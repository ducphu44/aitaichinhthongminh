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34d41ab52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toan_ngan_sach" sheetId="1" r:id="Rbca080b313ec48c5"/>
    <x:sheet xmlns:r="http://schemas.openxmlformats.org/officeDocument/2006/relationships" name="Ke_hoach_chi_tieu" sheetId="2" r:id="Rcb1a142ea15348ee"/>
    <x:sheet xmlns:r="http://schemas.openxmlformats.org/officeDocument/2006/relationships" name="De_nghi_thanh_toan" sheetId="3" r:id="R4e072942a79a4410"/>
    <x:sheet xmlns:r="http://schemas.openxmlformats.org/officeDocument/2006/relationships" name="Dashboard" sheetId="4" r:id="Rd1a566a5d7f94bc0"/>
    <x:sheet xmlns:r="http://schemas.openxmlformats.org/officeDocument/2006/relationships" name="Danh_muc" sheetId="5" r:id="R4302e3ed51c4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 &quot;VND&quot;"/>
    <x:numFmt numFmtId="201" formatCode="#,##0"/>
    <x:numFmt numFmtId="202" formatCode="yyyy-mm"/>
    <x:numFmt numFmtId="203" formatCode="0%"/>
    <x:numFmt numFmtId="204" formatCode="yyyy-mm-dd"/>
    <x:numFmt numFmtId="205" formatCode="mmm-yy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5" fontId="3" fillId="0" borderId="1" xfId="0" applyNumberFormat="1" applyFont="1" applyFill="1" applyBorder="1"/>
    <x:xf numFmtId="203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54b137dae430c" /><Relationship Type="http://schemas.openxmlformats.org/officeDocument/2006/relationships/theme" Target="/xl/theme/theme1.xml" Id="R637ce6c302a04bb1" /><Relationship Type="http://schemas.openxmlformats.org/officeDocument/2006/relationships/sharedStrings" Target="/xl/sharedStrings.xml" Id="R0d608476133947d4" /><Relationship Type="http://schemas.openxmlformats.org/officeDocument/2006/relationships/worksheet" Target="/xl/worksheets/sheet1.xml" Id="Rbca080b313ec48c5" /><Relationship Type="http://schemas.openxmlformats.org/officeDocument/2006/relationships/worksheet" Target="/xl/worksheets/sheet2.xml" Id="Rcb1a142ea15348ee" /><Relationship Type="http://schemas.openxmlformats.org/officeDocument/2006/relationships/worksheet" Target="/xl/worksheets/sheet3.xml" Id="R4e072942a79a4410" /><Relationship Type="http://schemas.openxmlformats.org/officeDocument/2006/relationships/worksheet" Target="/xl/worksheets/sheet4.xml" Id="Rd1a566a5d7f94bc0" /><Relationship Type="http://schemas.openxmlformats.org/officeDocument/2006/relationships/worksheet" Target="/xl/worksheets/sheet5.xml" Id="R4302e3ed51c440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c54542571341ff" /><Relationship Type="http://schemas.openxmlformats.org/officeDocument/2006/relationships/chart" Target="/xl/drawings/charts/chart2.xml" Id="R66ca6cfa07be424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Dự toán</c:v>
          </c:tx>
          <c:cat>
            <c:strRef>
              <c:f>'Dashboard'!$A$10:$A$17</c:f>
              <c:strCache>
                <c:ptCount val="0"/>
              </c:strCache>
            </c:strRef>
          </c:cat>
          <c:val>
            <c:numRef>
              <c:f>'Dashboard'!$B$10:$B$17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Kế hoạch vs thực chi theo tháng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Ngân sách kế hoạch</c:v>
          </c:tx>
          <c:cat>
            <c:strRef>
              <c:f>'Dashboard'!$G$4:$G$15</c:f>
              <c:strCache>
                <c:ptCount val="0"/>
              </c:strCache>
            </c:strRef>
          </c:cat>
          <c:val>
            <c:numRef>
              <c:f>'Dashboard'!$H$4:$H$15</c:f>
              <c:numCache>
                <c:formatCode>#,##0 "VND"</c:formatCode>
                <c:ptCount val="0"/>
              </c:numCache>
            </c:numRef>
          </c:val>
          <c:smooth val="0"/>
        </c:ser>
        <c:ser>
          <c:idx val="1"/>
          <c:order val="1"/>
          <c:tx>
            <c:v>Thực chi</c:v>
          </c:tx>
          <c:cat>
            <c:strRef>
              <c:f>'Dashboard'!$G$4:$G$15</c:f>
              <c:strCache>
                <c:ptCount val="0"/>
              </c:strCache>
            </c:strRef>
          </c:cat>
          <c:val>
            <c:numRef>
              <c:f>'Dashboard'!$I$4:$I$15</c:f>
              <c:numCache>
                <c:formatCode>#,##0 "VND"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16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c54542571341ff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905500" cy="3048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ca6cfa07be424a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BudgetIT" displayName="BudgetIT" ref="A1:M151" headerRowCount="1">
  <x:tableColumns count="13">
    <x:tableColumn id="1" name="Mã dự toán"/>
    <x:tableColumn id="2" name="Năm"/>
    <x:tableColumn id="3" name="Quý"/>
    <x:tableColumn id="4" name="Chương trình"/>
    <x:tableColumn id="5" name="Hạng mục"/>
    <x:tableColumn id="6" name="Mô tả"/>
    <x:tableColumn id="7" name="Đơn vị tính"/>
    <x:tableColumn id="8" name="Số lượng"/>
    <x:tableColumn id="9" name="Đơn giá"/>
    <x:tableColumn id="10" name="Thành tiền"/>
    <x:tableColumn id="11" name="Ưu tiên"/>
    <x:tableColumn id="12" name="Trạng thái"/>
    <x:tableColumn id="13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MonthlyPlanIT" displayName="MonthlyPlanIT" ref="A1:I121" headerRowCount="1">
  <x:tableColumns count="9">
    <x:tableColumn id="1" name="Tháng"/>
    <x:tableColumn id="2" name="Quý"/>
    <x:tableColumn id="3" name="Chương trình"/>
    <x:tableColumn id="4" name="Hạng mục"/>
    <x:tableColumn id="5" name="Ngân sách kế hoạch"/>
    <x:tableColumn id="6" name="Thực chi"/>
    <x:tableColumn id="7" name="Chênh lệch"/>
    <x:tableColumn id="8" name="Tỷ lệ sử dụng"/>
    <x:tableColumn id="9" name="Cảnh báo"/>
  </x:tableColumns>
  <x:tableStyleInfo name="TableStyleMedium2" showRowStripes="1"/>
</x:table>
</file>

<file path=xl/tables/table3.xml><?xml version="1.0" encoding="utf-8"?>
<x:table xmlns:x="http://schemas.openxmlformats.org/spreadsheetml/2006/main" id="3" name="PaymentIT" displayName="PaymentIT" ref="A1:M251" headerRowCount="1">
  <x:tableColumns count="13">
    <x:tableColumn id="1" name="Mã đề nghị"/>
    <x:tableColumn id="2" name="Ngày đề nghị"/>
    <x:tableColumn id="3" name="Quý"/>
    <x:tableColumn id="4" name="Chương trình"/>
    <x:tableColumn id="5" name="Hạng mục"/>
    <x:tableColumn id="6" name="Nhà cung cấp"/>
    <x:tableColumn id="7" name="Nội dung thanh toán"/>
    <x:tableColumn id="8" name="Giá trị trước VAT"/>
    <x:tableColumn id="9" name="VAT 10%"/>
    <x:tableColumn id="10" name="Tổng thanh toán"/>
    <x:tableColumn id="11" name="Trạng thái"/>
    <x:tableColumn id="12" name="Ưu tiên"/>
    <x:tableColumn id="13" name="Mã dự toán liên quan"/>
  </x:tableColumns>
  <x:tableStyleInfo name="TableStyleMedium2" showRowStripes="1"/>
</x:table>
</file>

<file path=xl/tables/table4.xml><?xml version="1.0" encoding="utf-8"?>
<x:table xmlns:x="http://schemas.openxmlformats.org/spreadsheetml/2006/main" id="4" name="DanhMucIT" displayName="DanhMucIT" ref="A1:D13" headerRowCount="1">
  <x:tableColumns count="4">
    <x:tableColumn id="1" name="Danh mục chương trình"/>
    <x:tableColumn id="2" name="Trạng thái"/>
    <x:tableColumn id="3" name="Ưu tiên"/>
    <x:tableColumn id="4" name="Nhà cung cấ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8876f740934a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5f80b3d90140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8d563e30434b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10301b890b84c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0528e90de0409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4" hidden="0" customWidth="1"/>
    <x:col min="6" max="6" width="28" hidden="0" customWidth="1"/>
    <x:col min="7" max="7" width="28" hidden="0" customWidth="1"/>
    <x:col min="8" max="8" width="9.420000076293945" hidden="0" customWidth="1"/>
    <x:col min="9" max="9" width="8.479999542236328" hidden="0" customWidth="1"/>
    <x:col min="10" max="10" width="10.630000114440918" hidden="0" customWidth="1"/>
    <x:col min="11" max="11" width="8.210000038146973" hidden="0" customWidth="1"/>
    <x:col min="12" max="12" width="11.039999961853027" hidden="0" customWidth="1"/>
    <x:col min="13" max="13" width="8.210000038146973" hidden="0" customWidth="1"/>
  </x:cols>
  <x:sheetData>
    <x:row r="1" ht="32" customHeight="1">
      <x:c r="A1" s="12" t="str">
        <x:v>Mã dự toán</x:v>
      </x:c>
      <x:c r="B1" s="12" t="str">
        <x:v>Năm</x:v>
      </x:c>
      <x:c r="C1" s="12" t="str">
        <x:v>Quý</x:v>
      </x:c>
      <x:c r="D1" s="12" t="str">
        <x:v>Chương trình</x:v>
      </x:c>
      <x:c r="E1" s="12" t="str">
        <x:v>Hạng mục</x:v>
      </x:c>
      <x:c r="F1" s="12" t="str">
        <x:v>Mô tả</x:v>
      </x:c>
      <x:c r="G1" s="12" t="str">
        <x:v>Đơn vị tính</x:v>
      </x:c>
      <x:c r="H1" s="12" t="str">
        <x:v>Số lượng</x:v>
      </x:c>
      <x:c r="I1" s="12" t="str">
        <x:v>Đơn giá</x:v>
      </x:c>
      <x:c r="J1" s="12" t="str">
        <x:v>Thành tiền</x:v>
      </x:c>
      <x:c r="K1" s="12" t="str">
        <x:v>Ưu tiên</x:v>
      </x:c>
      <x:c r="L1" s="12" t="str">
        <x:v>Trạng thái</x:v>
      </x:c>
      <x:c r="M1" s="12" t="str">
        <x:v>Ghi chú</x:v>
      </x:c>
    </x:row>
    <x:row r="2">
      <x:c r="A2" s="13" t="str">
        <x:v>IT-DT-2026-001</x:v>
      </x:c>
      <x:c r="B2" s="13" t="n">
        <x:v>2026</x:v>
      </x:c>
      <x:c r="C2" s="13" t="str">
        <x:v>Q1</x:v>
      </x:c>
      <x:c r="D2" s="13" t="str">
        <x:v>Hạ tầng mạng</x:v>
      </x:c>
      <x:c r="E2" s="13" t="str">
        <x:v>Bảo trì hệ thống mạng</x:v>
      </x:c>
      <x:c r="F2" s="13" t="str">
        <x:v>Dự toán cho bảo trì hệ thống mạng thuộc chương trình hạ tầng mạng</x:v>
      </x:c>
      <x:c r="G2" s="13" t="str">
        <x:v>Bộ</x:v>
      </x:c>
      <x:c r="H2" s="18" t="n">
        <x:v>200</x:v>
      </x:c>
      <x:c r="I2" s="16" t="n">
        <x:v>60000000</x:v>
      </x:c>
      <x:c r="J2" s="16" t="n">
        <x:f>H2*I2</x:f>
        <x:v>12000000000</x:v>
      </x:c>
      <x:c r="K2" s="13" t="str">
        <x:v>Cao</x:v>
      </x:c>
      <x:c r="L2" s="13" t="str">
        <x:v>Hoàn thành</x:v>
      </x:c>
      <x:c r="M2" s="13" t="str"/>
    </x:row>
    <x:row r="3">
      <x:c r="A3" s="13" t="str">
        <x:v>IT-DT-2026-002</x:v>
      </x:c>
      <x:c r="B3" s="13" t="n">
        <x:v>2026</x:v>
      </x:c>
      <x:c r="C3" s="13" t="str">
        <x:v>Q2</x:v>
      </x:c>
      <x:c r="D3" s="13" t="str">
        <x:v>Hệ thống máy chủ</x:v>
      </x:c>
      <x:c r="E3" s="13" t="str">
        <x:v>Lưu trữ NAS/SAN</x:v>
      </x:c>
      <x:c r="F3" s="13" t="str">
        <x:v>Dự toán cho lưu trữ nas/san thuộc chương trình hệ thống máy chủ</x:v>
      </x:c>
      <x:c r="G3" s="13" t="str">
        <x:v>Gói</x:v>
      </x:c>
      <x:c r="H3" s="18" t="n">
        <x:v>200</x:v>
      </x:c>
      <x:c r="I3" s="16" t="n">
        <x:v>60000000</x:v>
      </x:c>
      <x:c r="J3" s="16" t="n">
        <x:f>H3*I3</x:f>
        <x:v>12000000000</x:v>
      </x:c>
      <x:c r="K3" s="13" t="str">
        <x:v>Trung bình</x:v>
      </x:c>
      <x:c r="L3" s="13" t="str">
        <x:v>Đang thực hiện</x:v>
      </x:c>
      <x:c r="M3" s="13" t="str"/>
    </x:row>
    <x:row r="4">
      <x:c r="A4" s="13" t="str">
        <x:v>IT-DT-2026-003</x:v>
      </x:c>
      <x:c r="B4" s="13" t="n">
        <x:v>2026</x:v>
      </x:c>
      <x:c r="C4" s="13" t="str">
        <x:v>Q3</x:v>
      </x:c>
      <x:c r="D4" s="13" t="str">
        <x:v>Bảo mật thông tin</x:v>
      </x:c>
      <x:c r="E4" s="13" t="str">
        <x:v>Giám sát SOC</x:v>
      </x:c>
      <x:c r="F4" s="13" t="str">
        <x:v>Dự toán cho giám sát soc thuộc chương trình bảo mật thông tin</x:v>
      </x:c>
      <x:c r="G4" s="13" t="str">
        <x:v>Dịch vụ</x:v>
      </x:c>
      <x:c r="H4" s="18" t="n">
        <x:v>10</x:v>
      </x:c>
      <x:c r="I4" s="16" t="n">
        <x:v>8000000</x:v>
      </x:c>
      <x:c r="J4" s="16" t="n">
        <x:f>H4*I4</x:f>
        <x:v>80000000</x:v>
      </x:c>
      <x:c r="K4" s="13" t="str">
        <x:v>Cao</x:v>
      </x:c>
      <x:c r="L4" s="13" t="str">
        <x:v>Hoàn thành</x:v>
      </x:c>
      <x:c r="M4" s="13" t="str"/>
    </x:row>
    <x:row r="5">
      <x:c r="A5" s="13" t="str">
        <x:v>IT-DT-2026-004</x:v>
      </x:c>
      <x:c r="B5" s="13" t="n">
        <x:v>2026</x:v>
      </x:c>
      <x:c r="C5" s="13" t="str">
        <x:v>Q4</x:v>
      </x:c>
      <x:c r="D5" s="13" t="str">
        <x:v>Phần mềm bản quyền</x:v>
      </x:c>
      <x:c r="E5" s="13" t="str">
        <x:v>Microsoft 365</x:v>
      </x:c>
      <x:c r="F5" s="13" t="str">
        <x:v>Dự toán cho microsoft 365 thuộc chương trình phần mềm bản quyền</x:v>
      </x:c>
      <x:c r="G5" s="13" t="str">
        <x:v>Bộ</x:v>
      </x:c>
      <x:c r="H5" s="18" t="n">
        <x:v>50</x:v>
      </x:c>
      <x:c r="I5" s="16" t="n">
        <x:v>60000000</x:v>
      </x:c>
      <x:c r="J5" s="16" t="n">
        <x:f>H5*I5</x:f>
        <x:v>3000000000</x:v>
      </x:c>
      <x:c r="K5" s="13" t="str">
        <x:v>Trung bình</x:v>
      </x:c>
      <x:c r="L5" s="13" t="str">
        <x:v>Đang thực hiện</x:v>
      </x:c>
      <x:c r="M5" s="13" t="str"/>
    </x:row>
    <x:row r="6">
      <x:c r="A6" s="13" t="str">
        <x:v>IT-DT-2026-005</x:v>
      </x:c>
      <x:c r="B6" s="13" t="n">
        <x:v>2026</x:v>
      </x:c>
      <x:c r="C6" s="13" t="str">
        <x:v>Q1</x:v>
      </x:c>
      <x:c r="D6" s="13" t="str">
        <x:v>Hỗ trợ người dùng</x:v>
      </x:c>
      <x:c r="E6" s="13" t="str">
        <x:v>Máy tính cho cán bộ</x:v>
      </x:c>
      <x:c r="F6" s="13" t="str">
        <x:v>Dự toán cho máy tính cho cán bộ thuộc chương trình hỗ trợ người dùng</x:v>
      </x:c>
      <x:c r="G6" s="13" t="str">
        <x:v>Bộ</x:v>
      </x:c>
      <x:c r="H6" s="18" t="n">
        <x:v>200</x:v>
      </x:c>
      <x:c r="I6" s="16" t="n">
        <x:v>5000000</x:v>
      </x:c>
      <x:c r="J6" s="16" t="n">
        <x:f>H6*I6</x:f>
        <x:v>1000000000</x:v>
      </x:c>
      <x:c r="K6" s="13" t="str">
        <x:v>Cao</x:v>
      </x:c>
      <x:c r="L6" s="13" t="str">
        <x:v>Lập kế hoạch</x:v>
      </x:c>
      <x:c r="M6" s="13" t="str"/>
    </x:row>
    <x:row r="7">
      <x:c r="A7" s="13" t="str">
        <x:v>IT-DT-2026-006</x:v>
      </x:c>
      <x:c r="B7" s="13" t="n">
        <x:v>2026</x:v>
      </x:c>
      <x:c r="C7" s="13" t="str">
        <x:v>Q2</x:v>
      </x:c>
      <x:c r="D7" s="13" t="str">
        <x:v>Chuyển đổi số</x:v>
      </x:c>
      <x:c r="E7" s="13" t="str">
        <x:v>Phát triển chatbot nội bộ</x:v>
      </x:c>
      <x:c r="F7" s="13" t="str">
        <x:v>Dự toán cho phát triển chatbot nội bộ thuộc chương trình chuyển đổi số</x:v>
      </x:c>
      <x:c r="G7" s="13" t="str">
        <x:v>Tháng</x:v>
      </x:c>
      <x:c r="H7" s="18" t="n">
        <x:v>100</x:v>
      </x:c>
      <x:c r="I7" s="16" t="n">
        <x:v>25000000</x:v>
      </x:c>
      <x:c r="J7" s="16" t="n">
        <x:f>H7*I7</x:f>
        <x:v>2500000000</x:v>
      </x:c>
      <x:c r="K7" s="13" t="str">
        <x:v>Cao</x:v>
      </x:c>
      <x:c r="L7" s="13" t="str">
        <x:v>Hoàn thành</x:v>
      </x:c>
      <x:c r="M7" s="13" t="str"/>
    </x:row>
    <x:row r="8">
      <x:c r="A8" s="13" t="str">
        <x:v>IT-DT-2026-007</x:v>
      </x:c>
      <x:c r="B8" s="13" t="n">
        <x:v>2026</x:v>
      </x:c>
      <x:c r="C8" s="13" t="str">
        <x:v>Q3</x:v>
      </x:c>
      <x:c r="D8" s="13" t="str">
        <x:v>LMS/SIS</x:v>
      </x:c>
      <x:c r="E8" s="13" t="str">
        <x:v>Nâng cấp cổng sinh viên</x:v>
      </x:c>
      <x:c r="F8" s="13" t="str">
        <x:v>Dự toán cho nâng cấp cổng sinh viên thuộc chương trình lms/sis</x:v>
      </x:c>
      <x:c r="G8" s="13" t="str">
        <x:v>Dịch vụ</x:v>
      </x:c>
      <x:c r="H8" s="18" t="n">
        <x:v>10</x:v>
      </x:c>
      <x:c r="I8" s="16" t="n">
        <x:v>60000000</x:v>
      </x:c>
      <x:c r="J8" s="16" t="n">
        <x:f>H8*I8</x:f>
        <x:v>600000000</x:v>
      </x:c>
      <x:c r="K8" s="13" t="str">
        <x:v>Cao</x:v>
      </x:c>
      <x:c r="L8" s="13" t="str">
        <x:v>Lập kế hoạch</x:v>
      </x:c>
      <x:c r="M8" s="13" t="str"/>
    </x:row>
    <x:row r="9">
      <x:c r="A9" s="13" t="str">
        <x:v>IT-DT-2026-008</x:v>
      </x:c>
      <x:c r="B9" s="13" t="n">
        <x:v>2026</x:v>
      </x:c>
      <x:c r="C9" s="13" t="str">
        <x:v>Q4</x:v>
      </x:c>
      <x:c r="D9" s="13" t="str">
        <x:v>Phòng máy tính</x:v>
      </x:c>
      <x:c r="E9" s="13" t="str">
        <x:v>Thiết bị âm thanh</x:v>
      </x:c>
      <x:c r="F9" s="13" t="str">
        <x:v>Dự toán cho thiết bị âm thanh thuộc chương trình phòng máy tính</x:v>
      </x:c>
      <x:c r="G9" s="13" t="str">
        <x:v>Dịch vụ</x:v>
      </x:c>
      <x:c r="H9" s="18" t="n">
        <x:v>50</x:v>
      </x:c>
      <x:c r="I9" s="16" t="n">
        <x:v>90000000</x:v>
      </x:c>
      <x:c r="J9" s="16" t="n">
        <x:f>H9*I9</x:f>
        <x:v>4500000000</x:v>
      </x:c>
      <x:c r="K9" s="13" t="str">
        <x:v>Thấp</x:v>
      </x:c>
      <x:c r="L9" s="13" t="str">
        <x:v>Hoàn thành</x:v>
      </x:c>
      <x:c r="M9" s="13" t="str"/>
    </x:row>
    <x:row r="10">
      <x:c r="A10" s="13" t="str">
        <x:v>IT-DT-2026-009</x:v>
      </x:c>
      <x:c r="B10" s="13" t="n">
        <x:v>2026</x:v>
      </x:c>
      <x:c r="C10" s="13" t="str">
        <x:v>Q1</x:v>
      </x:c>
      <x:c r="D10" s="13" t="str">
        <x:v>Hạ tầng mạng</x:v>
      </x:c>
      <x:c r="E10" s="13" t="str">
        <x:v>Wi-Fi access point</x:v>
      </x:c>
      <x:c r="F10" s="13" t="str">
        <x:v>Dự toán cho wi-fi access point thuộc chương trình hạ tầng mạng</x:v>
      </x:c>
      <x:c r="G10" s="13" t="str">
        <x:v>Tháng</x:v>
      </x:c>
      <x:c r="H10" s="18" t="n">
        <x:v>20</x:v>
      </x:c>
      <x:c r="I10" s="16" t="n">
        <x:v>12000000</x:v>
      </x:c>
      <x:c r="J10" s="16" t="n">
        <x:f>H10*I10</x:f>
        <x:v>240000000</x:v>
      </x:c>
      <x:c r="K10" s="13" t="str">
        <x:v>Cao</x:v>
      </x:c>
      <x:c r="L10" s="13" t="str">
        <x:v>Lập kế hoạch</x:v>
      </x:c>
      <x:c r="M10" s="13" t="str"/>
    </x:row>
    <x:row r="11">
      <x:c r="A11" s="13" t="str">
        <x:v>IT-DT-2026-010</x:v>
      </x:c>
      <x:c r="B11" s="13" t="n">
        <x:v>2026</x:v>
      </x:c>
      <x:c r="C11" s="13" t="str">
        <x:v>Q2</x:v>
      </x:c>
      <x:c r="D11" s="13" t="str">
        <x:v>Hệ thống máy chủ</x:v>
      </x:c>
      <x:c r="E11" s="13" t="str">
        <x:v>Máy chủ ứng dụng</x:v>
      </x:c>
      <x:c r="F11" s="13" t="str">
        <x:v>Dự toán cho máy chủ ứng dụng thuộc chương trình hệ thống máy chủ</x:v>
      </x:c>
      <x:c r="G11" s="13" t="str">
        <x:v>Gói</x:v>
      </x:c>
      <x:c r="H11" s="18" t="n">
        <x:v>50</x:v>
      </x:c>
      <x:c r="I11" s="16" t="n">
        <x:v>5000000</x:v>
      </x:c>
      <x:c r="J11" s="16" t="n">
        <x:f>H11*I11</x:f>
        <x:v>250000000</x:v>
      </x:c>
      <x:c r="K11" s="13" t="str">
        <x:v>Trung bình</x:v>
      </x:c>
      <x:c r="L11" s="13" t="str">
        <x:v>Đã duyệt</x:v>
      </x:c>
      <x:c r="M11" s="13" t="str"/>
    </x:row>
    <x:row r="12">
      <x:c r="A12" s="13" t="str">
        <x:v>IT-DT-2026-011</x:v>
      </x:c>
      <x:c r="B12" s="13" t="n">
        <x:v>2026</x:v>
      </x:c>
      <x:c r="C12" s="13" t="str">
        <x:v>Q3</x:v>
      </x:c>
      <x:c r="D12" s="13" t="str">
        <x:v>Bảo mật thông tin</x:v>
      </x:c>
      <x:c r="E12" s="13" t="str">
        <x:v>Phần mềm antivirus/EDR</x:v>
      </x:c>
      <x:c r="F12" s="13" t="str">
        <x:v>Dự toán cho phần mềm antivirus/edr thuộc chương trình bảo mật thông tin</x:v>
      </x:c>
      <x:c r="G12" s="13" t="str">
        <x:v>Thiết bị</x:v>
      </x:c>
      <x:c r="H12" s="18" t="n">
        <x:v>5</x:v>
      </x:c>
      <x:c r="I12" s="16" t="n">
        <x:v>12000000</x:v>
      </x:c>
      <x:c r="J12" s="16" t="n">
        <x:f>H12*I12</x:f>
        <x:v>60000000</x:v>
      </x:c>
      <x:c r="K12" s="13" t="str">
        <x:v>Thấp</x:v>
      </x:c>
      <x:c r="L12" s="13" t="str">
        <x:v>Lập kế hoạch</x:v>
      </x:c>
      <x:c r="M12" s="13" t="str"/>
    </x:row>
    <x:row r="13">
      <x:c r="A13" s="13" t="str">
        <x:v>IT-DT-2026-012</x:v>
      </x:c>
      <x:c r="B13" s="13" t="n">
        <x:v>2026</x:v>
      </x:c>
      <x:c r="C13" s="13" t="str">
        <x:v>Q4</x:v>
      </x:c>
      <x:c r="D13" s="13" t="str">
        <x:v>Phần mềm bản quyền</x:v>
      </x:c>
      <x:c r="E13" s="13" t="str">
        <x:v>Phần mềm thống kê/dữ liệu</x:v>
      </x:c>
      <x:c r="F13" s="13" t="str">
        <x:v>Dự toán cho phần mềm thống kê/dữ liệu thuộc chương trình phần mềm bản quyền</x:v>
      </x:c>
      <x:c r="G13" s="13" t="str">
        <x:v>Dịch vụ</x:v>
      </x:c>
      <x:c r="H13" s="18" t="n">
        <x:v>50</x:v>
      </x:c>
      <x:c r="I13" s="16" t="n">
        <x:v>5000000</x:v>
      </x:c>
      <x:c r="J13" s="16" t="n">
        <x:f>H13*I13</x:f>
        <x:v>250000000</x:v>
      </x:c>
      <x:c r="K13" s="13" t="str">
        <x:v>Trung bình</x:v>
      </x:c>
      <x:c r="L13" s="13" t="str">
        <x:v>Lập kế hoạch</x:v>
      </x:c>
      <x:c r="M13" s="13" t="str"/>
    </x:row>
    <x:row r="14">
      <x:c r="A14" s="13" t="str">
        <x:v>IT-DT-2026-013</x:v>
      </x:c>
      <x:c r="B14" s="13" t="n">
        <x:v>2026</x:v>
      </x:c>
      <x:c r="C14" s="13" t="str">
        <x:v>Q1</x:v>
      </x:c>
      <x:c r="D14" s="13" t="str">
        <x:v>Hỗ trợ người dùng</x:v>
      </x:c>
      <x:c r="E14" s="13" t="str">
        <x:v>Helpdesk system</x:v>
      </x:c>
      <x:c r="F14" s="13" t="str">
        <x:v>Dự toán cho helpdesk system thuộc chương trình hỗ trợ người dùng</x:v>
      </x:c>
      <x:c r="G14" s="13" t="str">
        <x:v>Thiết bị</x:v>
      </x:c>
      <x:c r="H14" s="18" t="n">
        <x:v>20</x:v>
      </x:c>
      <x:c r="I14" s="16" t="n">
        <x:v>5000000</x:v>
      </x:c>
      <x:c r="J14" s="16" t="n">
        <x:f>H14*I14</x:f>
        <x:v>100000000</x:v>
      </x:c>
      <x:c r="K14" s="13" t="str">
        <x:v>Cao</x:v>
      </x:c>
      <x:c r="L14" s="13" t="str">
        <x:v>Lập kế hoạch</x:v>
      </x:c>
      <x:c r="M14" s="13" t="str"/>
    </x:row>
    <x:row r="15">
      <x:c r="A15" s="13" t="str">
        <x:v>IT-DT-2026-014</x:v>
      </x:c>
      <x:c r="B15" s="13" t="n">
        <x:v>2026</x:v>
      </x:c>
      <x:c r="C15" s="13" t="str">
        <x:v>Q2</x:v>
      </x:c>
      <x:c r="D15" s="13" t="str">
        <x:v>Chuyển đổi số</x:v>
      </x:c>
      <x:c r="E15" s="13" t="str">
        <x:v>Phát triển chatbot nội bộ</x:v>
      </x:c>
      <x:c r="F15" s="13" t="str">
        <x:v>Dự toán cho phát triển chatbot nội bộ thuộc chương trình chuyển đổi số</x:v>
      </x:c>
      <x:c r="G15" s="13" t="str">
        <x:v>Thiết bị</x:v>
      </x:c>
      <x:c r="H15" s="18" t="n">
        <x:v>3</x:v>
      </x:c>
      <x:c r="I15" s="16" t="n">
        <x:v>12000000</x:v>
      </x:c>
      <x:c r="J15" s="16" t="n">
        <x:f>H15*I15</x:f>
        <x:v>36000000</x:v>
      </x:c>
      <x:c r="K15" s="13" t="str">
        <x:v>Trung bình</x:v>
      </x:c>
      <x:c r="L15" s="13" t="str">
        <x:v>Lập kế hoạch</x:v>
      </x:c>
      <x:c r="M15" s="13" t="str"/>
    </x:row>
    <x:row r="16">
      <x:c r="A16" s="13" t="str">
        <x:v>IT-DT-2026-015</x:v>
      </x:c>
      <x:c r="B16" s="13" t="n">
        <x:v>2026</x:v>
      </x:c>
      <x:c r="C16" s="13" t="str">
        <x:v>Q3</x:v>
      </x:c>
      <x:c r="D16" s="13" t="str">
        <x:v>LMS/SIS</x:v>
      </x:c>
      <x:c r="E16" s="13" t="str">
        <x:v>Tối ưu cơ sở dữ liệu</x:v>
      </x:c>
      <x:c r="F16" s="13" t="str">
        <x:v>Dự toán cho tối ưu cơ sở dữ liệu thuộc chương trình lms/sis</x:v>
      </x:c>
      <x:c r="G16" s="13" t="str">
        <x:v>Dịch vụ</x:v>
      </x:c>
      <x:c r="H16" s="18" t="n">
        <x:v>3</x:v>
      </x:c>
      <x:c r="I16" s="16" t="n">
        <x:v>90000000</x:v>
      </x:c>
      <x:c r="J16" s="16" t="n">
        <x:f>H16*I16</x:f>
        <x:v>270000000</x:v>
      </x:c>
      <x:c r="K16" s="13" t="str">
        <x:v>Cao</x:v>
      </x:c>
      <x:c r="L16" s="13" t="str">
        <x:v>Đã duyệt</x:v>
      </x:c>
      <x:c r="M16" s="13" t="str"/>
    </x:row>
    <x:row r="17">
      <x:c r="A17" s="13" t="str">
        <x:v>IT-DT-2026-016</x:v>
      </x:c>
      <x:c r="B17" s="13" t="n">
        <x:v>2026</x:v>
      </x:c>
      <x:c r="C17" s="13" t="str">
        <x:v>Q4</x:v>
      </x:c>
      <x:c r="D17" s="13" t="str">
        <x:v>Phòng máy tính</x:v>
      </x:c>
      <x:c r="E17" s="13" t="str">
        <x:v>Máy chiếu/màn hình</x:v>
      </x:c>
      <x:c r="F17" s="13" t="str">
        <x:v>Dự toán cho máy chiếu/màn hình thuộc chương trình phòng máy tính</x:v>
      </x:c>
      <x:c r="G17" s="13" t="str">
        <x:v>Bộ</x:v>
      </x:c>
      <x:c r="H17" s="18" t="n">
        <x:v>50</x:v>
      </x:c>
      <x:c r="I17" s="16" t="n">
        <x:v>40000000</x:v>
      </x:c>
      <x:c r="J17" s="16" t="n">
        <x:f>H17*I17</x:f>
        <x:v>2000000000</x:v>
      </x:c>
      <x:c r="K17" s="13" t="str">
        <x:v>Cao</x:v>
      </x:c>
      <x:c r="L17" s="13" t="str">
        <x:v>Đã duyệt</x:v>
      </x:c>
      <x:c r="M17" s="13" t="str"/>
    </x:row>
    <x:row r="18">
      <x:c r="A18" s="13" t="str">
        <x:v>IT-DT-2026-017</x:v>
      </x:c>
      <x:c r="B18" s="13" t="n">
        <x:v>2026</x:v>
      </x:c>
      <x:c r="C18" s="13" t="str">
        <x:v>Q1</x:v>
      </x:c>
      <x:c r="D18" s="13" t="str">
        <x:v>Hạ tầng mạng</x:v>
      </x:c>
      <x:c r="E18" s="13" t="str">
        <x:v>Nâng cấp switch core</x:v>
      </x:c>
      <x:c r="F18" s="13" t="str">
        <x:v>Dự toán cho nâng cấp switch core thuộc chương trình hạ tầng mạng</x:v>
      </x:c>
      <x:c r="G18" s="13" t="str">
        <x:v>Bộ</x:v>
      </x:c>
      <x:c r="H18" s="18" t="n">
        <x:v>10</x:v>
      </x:c>
      <x:c r="I18" s="16" t="n">
        <x:v>120000000</x:v>
      </x:c>
      <x:c r="J18" s="16" t="n">
        <x:f>H18*I18</x:f>
        <x:v>1200000000</x:v>
      </x:c>
      <x:c r="K18" s="13" t="str">
        <x:v>Cao</x:v>
      </x:c>
      <x:c r="L18" s="13" t="str">
        <x:v>Hoàn thành</x:v>
      </x:c>
      <x:c r="M18" s="13" t="str"/>
    </x:row>
    <x:row r="19">
      <x:c r="A19" s="13" t="str">
        <x:v>IT-DT-2026-018</x:v>
      </x:c>
      <x:c r="B19" s="13" t="n">
        <x:v>2026</x:v>
      </x:c>
      <x:c r="C19" s="13" t="str">
        <x:v>Q2</x:v>
      </x:c>
      <x:c r="D19" s="13" t="str">
        <x:v>Hệ thống máy chủ</x:v>
      </x:c>
      <x:c r="E19" s="13" t="str">
        <x:v>Lưu trữ NAS/SAN</x:v>
      </x:c>
      <x:c r="F19" s="13" t="str">
        <x:v>Dự toán cho lưu trữ nas/san thuộc chương trình hệ thống máy chủ</x:v>
      </x:c>
      <x:c r="G19" s="13" t="str">
        <x:v>Bộ</x:v>
      </x:c>
      <x:c r="H19" s="18" t="n">
        <x:v>50</x:v>
      </x:c>
      <x:c r="I19" s="16" t="n">
        <x:v>120000000</x:v>
      </x:c>
      <x:c r="J19" s="16" t="n">
        <x:f>H19*I19</x:f>
        <x:v>6000000000</x:v>
      </x:c>
      <x:c r="K19" s="13" t="str">
        <x:v>Trung bình</x:v>
      </x:c>
      <x:c r="L19" s="13" t="str">
        <x:v>Lập kế hoạch</x:v>
      </x:c>
      <x:c r="M19" s="13" t="str"/>
    </x:row>
    <x:row r="20">
      <x:c r="A20" s="13" t="str">
        <x:v>IT-DT-2026-019</x:v>
      </x:c>
      <x:c r="B20" s="13" t="n">
        <x:v>2026</x:v>
      </x:c>
      <x:c r="C20" s="13" t="str">
        <x:v>Q3</x:v>
      </x:c>
      <x:c r="D20" s="13" t="str">
        <x:v>Bảo mật thông tin</x:v>
      </x:c>
      <x:c r="E20" s="13" t="str">
        <x:v>Kiểm thử xâm nhập</x:v>
      </x:c>
      <x:c r="F20" s="13" t="str">
        <x:v>Dự toán cho kiểm thử xâm nhập thuộc chương trình bảo mật thông tin</x:v>
      </x:c>
      <x:c r="G20" s="13" t="str">
        <x:v>License</x:v>
      </x:c>
      <x:c r="H20" s="18" t="n">
        <x:v>100</x:v>
      </x:c>
      <x:c r="I20" s="16" t="n">
        <x:v>15000000</x:v>
      </x:c>
      <x:c r="J20" s="16" t="n">
        <x:f>H20*I20</x:f>
        <x:v>1500000000</x:v>
      </x:c>
      <x:c r="K20" s="13" t="str">
        <x:v>Cao</x:v>
      </x:c>
      <x:c r="L20" s="13" t="str">
        <x:v>Đang thực hiện</x:v>
      </x:c>
      <x:c r="M20" s="13" t="str"/>
    </x:row>
    <x:row r="21">
      <x:c r="A21" s="13" t="str">
        <x:v>IT-DT-2026-020</x:v>
      </x:c>
      <x:c r="B21" s="13" t="n">
        <x:v>2026</x:v>
      </x:c>
      <x:c r="C21" s="13" t="str">
        <x:v>Q4</x:v>
      </x:c>
      <x:c r="D21" s="13" t="str">
        <x:v>Phần mềm bản quyền</x:v>
      </x:c>
      <x:c r="E21" s="13" t="str">
        <x:v>Phần mềm thống kê/dữ liệu</x:v>
      </x:c>
      <x:c r="F21" s="13" t="str">
        <x:v>Dự toán cho phần mềm thống kê/dữ liệu thuộc chương trình phần mềm bản quyền</x:v>
      </x:c>
      <x:c r="G21" s="13" t="str">
        <x:v>Bộ</x:v>
      </x:c>
      <x:c r="H21" s="18" t="n">
        <x:v>2</x:v>
      </x:c>
      <x:c r="I21" s="16" t="n">
        <x:v>5000000</x:v>
      </x:c>
      <x:c r="J21" s="16" t="n">
        <x:f>H21*I21</x:f>
        <x:v>10000000</x:v>
      </x:c>
      <x:c r="K21" s="13" t="str">
        <x:v>Cao</x:v>
      </x:c>
      <x:c r="L21" s="13" t="str">
        <x:v>Đang thực hiện</x:v>
      </x:c>
      <x:c r="M21" s="13" t="str"/>
    </x:row>
    <x:row r="22">
      <x:c r="A22" s="13" t="str">
        <x:v>IT-DT-2026-021</x:v>
      </x:c>
      <x:c r="B22" s="13" t="n">
        <x:v>2026</x:v>
      </x:c>
      <x:c r="C22" s="13" t="str">
        <x:v>Q1</x:v>
      </x:c>
      <x:c r="D22" s="13" t="str">
        <x:v>Hỗ trợ người dùng</x:v>
      </x:c>
      <x:c r="E22" s="13" t="str">
        <x:v>Máy tính cho cán bộ</x:v>
      </x:c>
      <x:c r="F22" s="13" t="str">
        <x:v>Dự toán cho máy tính cho cán bộ thuộc chương trình hỗ trợ người dùng</x:v>
      </x:c>
      <x:c r="G22" s="13" t="str">
        <x:v>Tháng</x:v>
      </x:c>
      <x:c r="H22" s="18" t="n">
        <x:v>20</x:v>
      </x:c>
      <x:c r="I22" s="16" t="n">
        <x:v>25000000</x:v>
      </x:c>
      <x:c r="J22" s="16" t="n">
        <x:f>H22*I22</x:f>
        <x:v>500000000</x:v>
      </x:c>
      <x:c r="K22" s="13" t="str">
        <x:v>Trung bình</x:v>
      </x:c>
      <x:c r="L22" s="13" t="str">
        <x:v>Lập kế hoạch</x:v>
      </x:c>
      <x:c r="M22" s="13" t="str"/>
    </x:row>
    <x:row r="23">
      <x:c r="A23" s="13" t="str">
        <x:v>IT-DT-2026-022</x:v>
      </x:c>
      <x:c r="B23" s="13" t="n">
        <x:v>2026</x:v>
      </x:c>
      <x:c r="C23" s="13" t="str">
        <x:v>Q2</x:v>
      </x:c>
      <x:c r="D23" s="13" t="str">
        <x:v>Chuyển đổi số</x:v>
      </x:c>
      <x:c r="E23" s="13" t="str">
        <x:v>Tự động hóa quy trình</x:v>
      </x:c>
      <x:c r="F23" s="13" t="str">
        <x:v>Dự toán cho tự động hóa quy trình thuộc chương trình chuyển đổi số</x:v>
      </x:c>
      <x:c r="G23" s="13" t="str">
        <x:v>Bộ</x:v>
      </x:c>
      <x:c r="H23" s="18" t="n">
        <x:v>3</x:v>
      </x:c>
      <x:c r="I23" s="16" t="n">
        <x:v>40000000</x:v>
      </x:c>
      <x:c r="J23" s="16" t="n">
        <x:f>H23*I23</x:f>
        <x:v>120000000</x:v>
      </x:c>
      <x:c r="K23" s="13" t="str">
        <x:v>Cao</x:v>
      </x:c>
      <x:c r="L23" s="13" t="str">
        <x:v>Lập kế hoạch</x:v>
      </x:c>
      <x:c r="M23" s="13" t="str"/>
    </x:row>
    <x:row r="24">
      <x:c r="A24" s="13" t="str">
        <x:v>IT-DT-2026-023</x:v>
      </x:c>
      <x:c r="B24" s="13" t="n">
        <x:v>2026</x:v>
      </x:c>
      <x:c r="C24" s="13" t="str">
        <x:v>Q3</x:v>
      </x:c>
      <x:c r="D24" s="13" t="str">
        <x:v>LMS/SIS</x:v>
      </x:c>
      <x:c r="E24" s="13" t="str">
        <x:v>Nâng cấp cổng sinh viên</x:v>
      </x:c>
      <x:c r="F24" s="13" t="str">
        <x:v>Dự toán cho nâng cấp cổng sinh viên thuộc chương trình lms/sis</x:v>
      </x:c>
      <x:c r="G24" s="13" t="str">
        <x:v>Bộ</x:v>
      </x:c>
      <x:c r="H24" s="18" t="n">
        <x:v>5</x:v>
      </x:c>
      <x:c r="I24" s="16" t="n">
        <x:v>8000000</x:v>
      </x:c>
      <x:c r="J24" s="16" t="n">
        <x:f>H24*I24</x:f>
        <x:v>40000000</x:v>
      </x:c>
      <x:c r="K24" s="13" t="str">
        <x:v>Trung bình</x:v>
      </x:c>
      <x:c r="L24" s="13" t="str">
        <x:v>Hoàn thành</x:v>
      </x:c>
      <x:c r="M24" s="13" t="str"/>
    </x:row>
    <x:row r="25">
      <x:c r="A25" s="13" t="str">
        <x:v>IT-DT-2026-024</x:v>
      </x:c>
      <x:c r="B25" s="13" t="n">
        <x:v>2026</x:v>
      </x:c>
      <x:c r="C25" s="13" t="str">
        <x:v>Q4</x:v>
      </x:c>
      <x:c r="D25" s="13" t="str">
        <x:v>Phòng máy tính</x:v>
      </x:c>
      <x:c r="E25" s="13" t="str">
        <x:v>Bảo trì phòng lab</x:v>
      </x:c>
      <x:c r="F25" s="13" t="str">
        <x:v>Dự toán cho bảo trì phòng lab thuộc chương trình phòng máy tính</x:v>
      </x:c>
      <x:c r="G25" s="13" t="str">
        <x:v>Gói</x:v>
      </x:c>
      <x:c r="H25" s="18" t="n">
        <x:v>100</x:v>
      </x:c>
      <x:c r="I25" s="16" t="n">
        <x:v>120000000</x:v>
      </x:c>
      <x:c r="J25" s="16" t="n">
        <x:f>H25*I25</x:f>
        <x:v>12000000000</x:v>
      </x:c>
      <x:c r="K25" s="13" t="str">
        <x:v>Cao</x:v>
      </x:c>
      <x:c r="L25" s="13" t="str">
        <x:v>Lập kế hoạch</x:v>
      </x:c>
      <x:c r="M25" s="13" t="str"/>
    </x:row>
    <x:row r="26">
      <x:c r="A26" s="13" t="str">
        <x:v>IT-DT-2026-025</x:v>
      </x:c>
      <x:c r="B26" s="13" t="n">
        <x:v>2026</x:v>
      </x:c>
      <x:c r="C26" s="13" t="str">
        <x:v>Q1</x:v>
      </x:c>
      <x:c r="D26" s="13" t="str">
        <x:v>Hạ tầng mạng</x:v>
      </x:c>
      <x:c r="E26" s="13" t="str">
        <x:v>Nâng cấp switch core</x:v>
      </x:c>
      <x:c r="F26" s="13" t="str">
        <x:v>Dự toán cho nâng cấp switch core thuộc chương trình hạ tầng mạng</x:v>
      </x:c>
      <x:c r="G26" s="13" t="str">
        <x:v>License</x:v>
      </x:c>
      <x:c r="H26" s="18" t="n">
        <x:v>200</x:v>
      </x:c>
      <x:c r="I26" s="16" t="n">
        <x:v>15000000</x:v>
      </x:c>
      <x:c r="J26" s="16" t="n">
        <x:f>H26*I26</x:f>
        <x:v>3000000000</x:v>
      </x:c>
      <x:c r="K26" s="13" t="str">
        <x:v>Cao</x:v>
      </x:c>
      <x:c r="L26" s="13" t="str">
        <x:v>Đang thực hiện</x:v>
      </x:c>
      <x:c r="M26" s="13" t="str"/>
    </x:row>
    <x:row r="27">
      <x:c r="A27" s="13" t="str">
        <x:v>IT-DT-2026-026</x:v>
      </x:c>
      <x:c r="B27" s="13" t="n">
        <x:v>2026</x:v>
      </x:c>
      <x:c r="C27" s="13" t="str">
        <x:v>Q2</x:v>
      </x:c>
      <x:c r="D27" s="13" t="str">
        <x:v>Hệ thống máy chủ</x:v>
      </x:c>
      <x:c r="E27" s="13" t="str">
        <x:v>Gia hạn bảo hành server</x:v>
      </x:c>
      <x:c r="F27" s="13" t="str">
        <x:v>Dự toán cho gia hạn bảo hành server thuộc chương trình hệ thống máy chủ</x:v>
      </x:c>
      <x:c r="G27" s="13" t="str">
        <x:v>Gói</x:v>
      </x:c>
      <x:c r="H27" s="18" t="n">
        <x:v>100</x:v>
      </x:c>
      <x:c r="I27" s="16" t="n">
        <x:v>15000000</x:v>
      </x:c>
      <x:c r="J27" s="16" t="n">
        <x:f>H27*I27</x:f>
        <x:v>1500000000</x:v>
      </x:c>
      <x:c r="K27" s="13" t="str">
        <x:v>Cao</x:v>
      </x:c>
      <x:c r="L27" s="13" t="str">
        <x:v>Hoàn thành</x:v>
      </x:c>
      <x:c r="M27" s="13" t="str"/>
    </x:row>
    <x:row r="28">
      <x:c r="A28" s="13" t="str">
        <x:v>IT-DT-2026-027</x:v>
      </x:c>
      <x:c r="B28" s="13" t="n">
        <x:v>2026</x:v>
      </x:c>
      <x:c r="C28" s="13" t="str">
        <x:v>Q3</x:v>
      </x:c>
      <x:c r="D28" s="13" t="str">
        <x:v>Bảo mật thông tin</x:v>
      </x:c>
      <x:c r="E28" s="13" t="str">
        <x:v>Kiểm thử xâm nhập</x:v>
      </x:c>
      <x:c r="F28" s="13" t="str">
        <x:v>Dự toán cho kiểm thử xâm nhập thuộc chương trình bảo mật thông tin</x:v>
      </x:c>
      <x:c r="G28" s="13" t="str">
        <x:v>Tháng</x:v>
      </x:c>
      <x:c r="H28" s="18" t="n">
        <x:v>5</x:v>
      </x:c>
      <x:c r="I28" s="16" t="n">
        <x:v>60000000</x:v>
      </x:c>
      <x:c r="J28" s="16" t="n">
        <x:f>H28*I28</x:f>
        <x:v>300000000</x:v>
      </x:c>
      <x:c r="K28" s="13" t="str">
        <x:v>Trung bình</x:v>
      </x:c>
      <x:c r="L28" s="13" t="str">
        <x:v>Hoàn thành</x:v>
      </x:c>
      <x:c r="M28" s="13" t="str"/>
    </x:row>
    <x:row r="29">
      <x:c r="A29" s="13" t="str">
        <x:v>IT-DT-2026-028</x:v>
      </x:c>
      <x:c r="B29" s="13" t="n">
        <x:v>2026</x:v>
      </x:c>
      <x:c r="C29" s="13" t="str">
        <x:v>Q4</x:v>
      </x:c>
      <x:c r="D29" s="13" t="str">
        <x:v>Phần mềm bản quyền</x:v>
      </x:c>
      <x:c r="E29" s="13" t="str">
        <x:v>Microsoft 365</x:v>
      </x:c>
      <x:c r="F29" s="13" t="str">
        <x:v>Dự toán cho microsoft 365 thuộc chương trình phần mềm bản quyền</x:v>
      </x:c>
      <x:c r="G29" s="13" t="str">
        <x:v>Gói</x:v>
      </x:c>
      <x:c r="H29" s="18" t="n">
        <x:v>10</x:v>
      </x:c>
      <x:c r="I29" s="16" t="n">
        <x:v>12000000</x:v>
      </x:c>
      <x:c r="J29" s="16" t="n">
        <x:f>H29*I29</x:f>
        <x:v>120000000</x:v>
      </x:c>
      <x:c r="K29" s="13" t="str">
        <x:v>Thấp</x:v>
      </x:c>
      <x:c r="L29" s="13" t="str">
        <x:v>Lập kế hoạch</x:v>
      </x:c>
      <x:c r="M29" s="13" t="str"/>
    </x:row>
    <x:row r="30">
      <x:c r="A30" s="13" t="str">
        <x:v>IT-DT-2026-029</x:v>
      </x:c>
      <x:c r="B30" s="13" t="n">
        <x:v>2026</x:v>
      </x:c>
      <x:c r="C30" s="13" t="str">
        <x:v>Q1</x:v>
      </x:c>
      <x:c r="D30" s="13" t="str">
        <x:v>Hỗ trợ người dùng</x:v>
      </x:c>
      <x:c r="E30" s="13" t="str">
        <x:v>Máy tính cho cán bộ</x:v>
      </x:c>
      <x:c r="F30" s="13" t="str">
        <x:v>Dự toán cho máy tính cho cán bộ thuộc chương trình hỗ trợ người dùng</x:v>
      </x:c>
      <x:c r="G30" s="13" t="str">
        <x:v>Bộ</x:v>
      </x:c>
      <x:c r="H30" s="18" t="n">
        <x:v>10</x:v>
      </x:c>
      <x:c r="I30" s="16" t="n">
        <x:v>40000000</x:v>
      </x:c>
      <x:c r="J30" s="16" t="n">
        <x:f>H30*I30</x:f>
        <x:v>400000000</x:v>
      </x:c>
      <x:c r="K30" s="13" t="str">
        <x:v>Cao</x:v>
      </x:c>
      <x:c r="L30" s="13" t="str">
        <x:v>Lập kế hoạch</x:v>
      </x:c>
      <x:c r="M30" s="13" t="str"/>
    </x:row>
    <x:row r="31">
      <x:c r="A31" s="13" t="str">
        <x:v>IT-DT-2026-030</x:v>
      </x:c>
      <x:c r="B31" s="13" t="n">
        <x:v>2026</x:v>
      </x:c>
      <x:c r="C31" s="13" t="str">
        <x:v>Q2</x:v>
      </x:c>
      <x:c r="D31" s="13" t="str">
        <x:v>Chuyển đổi số</x:v>
      </x:c>
      <x:c r="E31" s="13" t="str">
        <x:v>Dashboard quản trị</x:v>
      </x:c>
      <x:c r="F31" s="13" t="str">
        <x:v>Dự toán cho dashboard quản trị thuộc chương trình chuyển đổi số</x:v>
      </x:c>
      <x:c r="G31" s="13" t="str">
        <x:v>License</x:v>
      </x:c>
      <x:c r="H31" s="18" t="n">
        <x:v>20</x:v>
      </x:c>
      <x:c r="I31" s="16" t="n">
        <x:v>90000000</x:v>
      </x:c>
      <x:c r="J31" s="16" t="n">
        <x:f>H31*I31</x:f>
        <x:v>1800000000</x:v>
      </x:c>
      <x:c r="K31" s="13" t="str">
        <x:v>Trung bình</x:v>
      </x:c>
      <x:c r="L31" s="13" t="str">
        <x:v>Lập kế hoạch</x:v>
      </x:c>
      <x:c r="M31" s="13" t="str"/>
    </x:row>
    <x:row r="32">
      <x:c r="A32" s="13" t="str">
        <x:v>IT-DT-2026-031</x:v>
      </x:c>
      <x:c r="B32" s="13" t="n">
        <x:v>2026</x:v>
      </x:c>
      <x:c r="C32" s="13" t="str">
        <x:v>Q3</x:v>
      </x:c>
      <x:c r="D32" s="13" t="str">
        <x:v>LMS/SIS</x:v>
      </x:c>
      <x:c r="E32" s="13" t="str">
        <x:v>Nâng cấp cổng sinh viên</x:v>
      </x:c>
      <x:c r="F32" s="13" t="str">
        <x:v>Dự toán cho nâng cấp cổng sinh viên thuộc chương trình lms/sis</x:v>
      </x:c>
      <x:c r="G32" s="13" t="str">
        <x:v>Tháng</x:v>
      </x:c>
      <x:c r="H32" s="18" t="n">
        <x:v>100</x:v>
      </x:c>
      <x:c r="I32" s="16" t="n">
        <x:v>25000000</x:v>
      </x:c>
      <x:c r="J32" s="16" t="n">
        <x:f>H32*I32</x:f>
        <x:v>2500000000</x:v>
      </x:c>
      <x:c r="K32" s="13" t="str">
        <x:v>Trung bình</x:v>
      </x:c>
      <x:c r="L32" s="13" t="str">
        <x:v>Đang thực hiện</x:v>
      </x:c>
      <x:c r="M32" s="13" t="str"/>
    </x:row>
    <x:row r="33">
      <x:c r="A33" s="13" t="str">
        <x:v>IT-DT-2026-032</x:v>
      </x:c>
      <x:c r="B33" s="13" t="n">
        <x:v>2026</x:v>
      </x:c>
      <x:c r="C33" s="13" t="str">
        <x:v>Q4</x:v>
      </x:c>
      <x:c r="D33" s="13" t="str">
        <x:v>Phòng máy tính</x:v>
      </x:c>
      <x:c r="E33" s="13" t="str">
        <x:v>Máy chiếu/màn hình</x:v>
      </x:c>
      <x:c r="F33" s="13" t="str">
        <x:v>Dự toán cho máy chiếu/màn hình thuộc chương trình phòng máy tính</x:v>
      </x:c>
      <x:c r="G33" s="13" t="str">
        <x:v>License</x:v>
      </x:c>
      <x:c r="H33" s="18" t="n">
        <x:v>1</x:v>
      </x:c>
      <x:c r="I33" s="16" t="n">
        <x:v>3000000</x:v>
      </x:c>
      <x:c r="J33" s="16" t="n">
        <x:f>H33*I33</x:f>
        <x:v>3000000</x:v>
      </x:c>
      <x:c r="K33" s="13" t="str">
        <x:v>Cao</x:v>
      </x:c>
      <x:c r="L33" s="13" t="str">
        <x:v>Đã duyệt</x:v>
      </x:c>
      <x:c r="M33" s="13" t="str"/>
    </x:row>
    <x:row r="34">
      <x:c r="A34" s="13" t="str">
        <x:v>IT-DT-2026-033</x:v>
      </x:c>
      <x:c r="B34" s="13" t="n">
        <x:v>2026</x:v>
      </x:c>
      <x:c r="C34" s="13" t="str">
        <x:v>Q1</x:v>
      </x:c>
      <x:c r="D34" s="13" t="str">
        <x:v>Hạ tầng mạng</x:v>
      </x:c>
      <x:c r="E34" s="13" t="str">
        <x:v>Nâng cấp switch core</x:v>
      </x:c>
      <x:c r="F34" s="13" t="str">
        <x:v>Dự toán cho nâng cấp switch core thuộc chương trình hạ tầng mạng</x:v>
      </x:c>
      <x:c r="G34" s="13" t="str">
        <x:v>Dịch vụ</x:v>
      </x:c>
      <x:c r="H34" s="18" t="n">
        <x:v>1</x:v>
      </x:c>
      <x:c r="I34" s="16" t="n">
        <x:v>120000000</x:v>
      </x:c>
      <x:c r="J34" s="16" t="n">
        <x:f>H34*I34</x:f>
        <x:v>120000000</x:v>
      </x:c>
      <x:c r="K34" s="13" t="str">
        <x:v>Trung bình</x:v>
      </x:c>
      <x:c r="L34" s="13" t="str">
        <x:v>Đã duyệt</x:v>
      </x:c>
      <x:c r="M34" s="13" t="str"/>
    </x:row>
    <x:row r="35">
      <x:c r="A35" s="13" t="str">
        <x:v>IT-DT-2026-034</x:v>
      </x:c>
      <x:c r="B35" s="13" t="n">
        <x:v>2026</x:v>
      </x:c>
      <x:c r="C35" s="13" t="str">
        <x:v>Q2</x:v>
      </x:c>
      <x:c r="D35" s="13" t="str">
        <x:v>Hệ thống máy chủ</x:v>
      </x:c>
      <x:c r="E35" s="13" t="str">
        <x:v>Backup server</x:v>
      </x:c>
      <x:c r="F35" s="13" t="str">
        <x:v>Dự toán cho backup server thuộc chương trình hệ thống máy chủ</x:v>
      </x:c>
      <x:c r="G35" s="13" t="str">
        <x:v>Tháng</x:v>
      </x:c>
      <x:c r="H35" s="18" t="n">
        <x:v>20</x:v>
      </x:c>
      <x:c r="I35" s="16" t="n">
        <x:v>8000000</x:v>
      </x:c>
      <x:c r="J35" s="16" t="n">
        <x:f>H35*I35</x:f>
        <x:v>160000000</x:v>
      </x:c>
      <x:c r="K35" s="13" t="str">
        <x:v>Thấp</x:v>
      </x:c>
      <x:c r="L35" s="13" t="str">
        <x:v>Lập kế hoạch</x:v>
      </x:c>
      <x:c r="M35" s="13" t="str"/>
    </x:row>
    <x:row r="36">
      <x:c r="A36" s="13" t="str">
        <x:v>IT-DT-2026-035</x:v>
      </x:c>
      <x:c r="B36" s="13" t="n">
        <x:v>2026</x:v>
      </x:c>
      <x:c r="C36" s="13" t="str">
        <x:v>Q3</x:v>
      </x:c>
      <x:c r="D36" s="13" t="str">
        <x:v>Bảo mật thông tin</x:v>
      </x:c>
      <x:c r="E36" s="13" t="str">
        <x:v>Đào tạo an toàn thông tin</x:v>
      </x:c>
      <x:c r="F36" s="13" t="str">
        <x:v>Dự toán cho đào tạo an toàn thông tin thuộc chương trình bảo mật thông tin</x:v>
      </x:c>
      <x:c r="G36" s="13" t="str">
        <x:v>License</x:v>
      </x:c>
      <x:c r="H36" s="18" t="n">
        <x:v>1</x:v>
      </x:c>
      <x:c r="I36" s="16" t="n">
        <x:v>8000000</x:v>
      </x:c>
      <x:c r="J36" s="16" t="n">
        <x:f>H36*I36</x:f>
        <x:v>8000000</x:v>
      </x:c>
      <x:c r="K36" s="13" t="str">
        <x:v>Trung bình</x:v>
      </x:c>
      <x:c r="L36" s="13" t="str">
        <x:v>Hoàn thành</x:v>
      </x:c>
      <x:c r="M36" s="13" t="str"/>
    </x:row>
    <x:row r="37">
      <x:c r="A37" s="13" t="str">
        <x:v>IT-DT-2026-036</x:v>
      </x:c>
      <x:c r="B37" s="13" t="n">
        <x:v>2026</x:v>
      </x:c>
      <x:c r="C37" s="13" t="str">
        <x:v>Q4</x:v>
      </x:c>
      <x:c r="D37" s="13" t="str">
        <x:v>Phần mềm bản quyền</x:v>
      </x:c>
      <x:c r="E37" s="13" t="str">
        <x:v>Microsoft 365</x:v>
      </x:c>
      <x:c r="F37" s="13" t="str">
        <x:v>Dự toán cho microsoft 365 thuộc chương trình phần mềm bản quyền</x:v>
      </x:c>
      <x:c r="G37" s="13" t="str">
        <x:v>Gói</x:v>
      </x:c>
      <x:c r="H37" s="18" t="n">
        <x:v>100</x:v>
      </x:c>
      <x:c r="I37" s="16" t="n">
        <x:v>5000000</x:v>
      </x:c>
      <x:c r="J37" s="16" t="n">
        <x:f>H37*I37</x:f>
        <x:v>500000000</x:v>
      </x:c>
      <x:c r="K37" s="13" t="str">
        <x:v>Trung bình</x:v>
      </x:c>
      <x:c r="L37" s="13" t="str">
        <x:v>Đã duyệt</x:v>
      </x:c>
      <x:c r="M37" s="13" t="str"/>
    </x:row>
    <x:row r="38">
      <x:c r="A38" s="13" t="str">
        <x:v>IT-DT-2026-037</x:v>
      </x:c>
      <x:c r="B38" s="13" t="n">
        <x:v>2026</x:v>
      </x:c>
      <x:c r="C38" s="13" t="str">
        <x:v>Q1</x:v>
      </x:c>
      <x:c r="D38" s="13" t="str">
        <x:v>Hỗ trợ người dùng</x:v>
      </x:c>
      <x:c r="E38" s="13" t="str">
        <x:v>Đào tạo sử dụng hệ thống</x:v>
      </x:c>
      <x:c r="F38" s="13" t="str">
        <x:v>Dự toán cho đào tạo sử dụng hệ thống thuộc chương trình hỗ trợ người dùng</x:v>
      </x:c>
      <x:c r="G38" s="13" t="str">
        <x:v>Gói</x:v>
      </x:c>
      <x:c r="H38" s="18" t="n">
        <x:v>1</x:v>
      </x:c>
      <x:c r="I38" s="16" t="n">
        <x:v>120000000</x:v>
      </x:c>
      <x:c r="J38" s="16" t="n">
        <x:f>H38*I38</x:f>
        <x:v>120000000</x:v>
      </x:c>
      <x:c r="K38" s="13" t="str">
        <x:v>Trung bình</x:v>
      </x:c>
      <x:c r="L38" s="13" t="str">
        <x:v>Đã duyệt</x:v>
      </x:c>
      <x:c r="M38" s="13" t="str"/>
    </x:row>
    <x:row r="39">
      <x:c r="A39" s="13" t="str">
        <x:v>IT-DT-2026-038</x:v>
      </x:c>
      <x:c r="B39" s="13" t="n">
        <x:v>2026</x:v>
      </x:c>
      <x:c r="C39" s="13" t="str">
        <x:v>Q2</x:v>
      </x:c>
      <x:c r="D39" s="13" t="str">
        <x:v>Chuyển đổi số</x:v>
      </x:c>
      <x:c r="E39" s="13" t="str">
        <x:v>Phát triển chatbot nội bộ</x:v>
      </x:c>
      <x:c r="F39" s="13" t="str">
        <x:v>Dự toán cho phát triển chatbot nội bộ thuộc chương trình chuyển đổi số</x:v>
      </x:c>
      <x:c r="G39" s="13" t="str">
        <x:v>Thiết bị</x:v>
      </x:c>
      <x:c r="H39" s="18" t="n">
        <x:v>2</x:v>
      </x:c>
      <x:c r="I39" s="16" t="n">
        <x:v>5000000</x:v>
      </x:c>
      <x:c r="J39" s="16" t="n">
        <x:f>H39*I39</x:f>
        <x:v>10000000</x:v>
      </x:c>
      <x:c r="K39" s="13" t="str">
        <x:v>Trung bình</x:v>
      </x:c>
      <x:c r="L39" s="13" t="str">
        <x:v>Tạm hoãn</x:v>
      </x:c>
      <x:c r="M39" s="13" t="str"/>
    </x:row>
    <x:row r="40">
      <x:c r="A40" s="13" t="str">
        <x:v>IT-DT-2026-039</x:v>
      </x:c>
      <x:c r="B40" s="13" t="n">
        <x:v>2026</x:v>
      </x:c>
      <x:c r="C40" s="13" t="str">
        <x:v>Q3</x:v>
      </x:c>
      <x:c r="D40" s="13" t="str">
        <x:v>LMS/SIS</x:v>
      </x:c>
      <x:c r="E40" s="13" t="str">
        <x:v>Tích hợp SSO</x:v>
      </x:c>
      <x:c r="F40" s="13" t="str">
        <x:v>Dự toán cho tích hợp sso thuộc chương trình lms/sis</x:v>
      </x:c>
      <x:c r="G40" s="13" t="str">
        <x:v>Tháng</x:v>
      </x:c>
      <x:c r="H40" s="18" t="n">
        <x:v>50</x:v>
      </x:c>
      <x:c r="I40" s="16" t="n">
        <x:v>120000000</x:v>
      </x:c>
      <x:c r="J40" s="16" t="n">
        <x:f>H40*I40</x:f>
        <x:v>6000000000</x:v>
      </x:c>
      <x:c r="K40" s="13" t="str">
        <x:v>Cao</x:v>
      </x:c>
      <x:c r="L40" s="13" t="str">
        <x:v>Đã duyệt</x:v>
      </x:c>
      <x:c r="M40" s="13" t="str"/>
    </x:row>
    <x:row r="41">
      <x:c r="A41" s="13" t="str">
        <x:v>IT-DT-2026-040</x:v>
      </x:c>
      <x:c r="B41" s="13" t="n">
        <x:v>2026</x:v>
      </x:c>
      <x:c r="C41" s="13" t="str">
        <x:v>Q4</x:v>
      </x:c>
      <x:c r="D41" s="13" t="str">
        <x:v>Phòng máy tính</x:v>
      </x:c>
      <x:c r="E41" s="13" t="str">
        <x:v>Nâng cấp PC lab</x:v>
      </x:c>
      <x:c r="F41" s="13" t="str">
        <x:v>Dự toán cho nâng cấp pc lab thuộc chương trình phòng máy tính</x:v>
      </x:c>
      <x:c r="G41" s="13" t="str">
        <x:v>Thiết bị</x:v>
      </x:c>
      <x:c r="H41" s="18" t="n">
        <x:v>200</x:v>
      </x:c>
      <x:c r="I41" s="16" t="n">
        <x:v>90000000</x:v>
      </x:c>
      <x:c r="J41" s="16" t="n">
        <x:f>H41*I41</x:f>
        <x:v>18000000000</x:v>
      </x:c>
      <x:c r="K41" s="13" t="str">
        <x:v>Cao</x:v>
      </x:c>
      <x:c r="L41" s="13" t="str">
        <x:v>Đang thực hiện</x:v>
      </x:c>
      <x:c r="M41" s="13" t="str"/>
    </x:row>
    <x:row r="42">
      <x:c r="A42" s="13" t="str">
        <x:v>IT-DT-2026-041</x:v>
      </x:c>
      <x:c r="B42" s="13" t="n">
        <x:v>2026</x:v>
      </x:c>
      <x:c r="C42" s="13" t="str">
        <x:v>Q1</x:v>
      </x:c>
      <x:c r="D42" s="13" t="str">
        <x:v>Hạ tầng mạng</x:v>
      </x:c>
      <x:c r="E42" s="13" t="str">
        <x:v>Nâng cấp switch core</x:v>
      </x:c>
      <x:c r="F42" s="13" t="str">
        <x:v>Dự toán cho nâng cấp switch core thuộc chương trình hạ tầng mạng</x:v>
      </x:c>
      <x:c r="G42" s="13" t="str">
        <x:v>Thiết bị</x:v>
      </x:c>
      <x:c r="H42" s="18" t="n">
        <x:v>5</x:v>
      </x:c>
      <x:c r="I42" s="16" t="n">
        <x:v>5000000</x:v>
      </x:c>
      <x:c r="J42" s="16" t="n">
        <x:f>H42*I42</x:f>
        <x:v>25000000</x:v>
      </x:c>
      <x:c r="K42" s="13" t="str">
        <x:v>Cao</x:v>
      </x:c>
      <x:c r="L42" s="13" t="str">
        <x:v>Đang thực hiện</x:v>
      </x:c>
      <x:c r="M42" s="13" t="str"/>
    </x:row>
    <x:row r="43">
      <x:c r="A43" s="13" t="str">
        <x:v>IT-DT-2026-042</x:v>
      </x:c>
      <x:c r="B43" s="13" t="n">
        <x:v>2026</x:v>
      </x:c>
      <x:c r="C43" s="13" t="str">
        <x:v>Q2</x:v>
      </x:c>
      <x:c r="D43" s="13" t="str">
        <x:v>Hệ thống máy chủ</x:v>
      </x:c>
      <x:c r="E43" s="13" t="str">
        <x:v>Backup server</x:v>
      </x:c>
      <x:c r="F43" s="13" t="str">
        <x:v>Dự toán cho backup server thuộc chương trình hệ thống máy chủ</x:v>
      </x:c>
      <x:c r="G43" s="13" t="str">
        <x:v>Bộ</x:v>
      </x:c>
      <x:c r="H43" s="18" t="n">
        <x:v>1</x:v>
      </x:c>
      <x:c r="I43" s="16" t="n">
        <x:v>25000000</x:v>
      </x:c>
      <x:c r="J43" s="16" t="n">
        <x:f>H43*I43</x:f>
        <x:v>25000000</x:v>
      </x:c>
      <x:c r="K43" s="13" t="str">
        <x:v>Cao</x:v>
      </x:c>
      <x:c r="L43" s="13" t="str">
        <x:v>Đang thực hiện</x:v>
      </x:c>
      <x:c r="M43" s="13" t="str"/>
    </x:row>
    <x:row r="44">
      <x:c r="A44" s="13" t="str">
        <x:v>IT-DT-2026-043</x:v>
      </x:c>
      <x:c r="B44" s="13" t="n">
        <x:v>2026</x:v>
      </x:c>
      <x:c r="C44" s="13" t="str">
        <x:v>Q3</x:v>
      </x:c>
      <x:c r="D44" s="13" t="str">
        <x:v>Bảo mật thông tin</x:v>
      </x:c>
      <x:c r="E44" s="13" t="str">
        <x:v>Kiểm thử xâm nhập</x:v>
      </x:c>
      <x:c r="F44" s="13" t="str">
        <x:v>Dự toán cho kiểm thử xâm nhập thuộc chương trình bảo mật thông tin</x:v>
      </x:c>
      <x:c r="G44" s="13" t="str">
        <x:v>Thiết bị</x:v>
      </x:c>
      <x:c r="H44" s="18" t="n">
        <x:v>20</x:v>
      </x:c>
      <x:c r="I44" s="16" t="n">
        <x:v>60000000</x:v>
      </x:c>
      <x:c r="J44" s="16" t="n">
        <x:f>H44*I44</x:f>
        <x:v>1200000000</x:v>
      </x:c>
      <x:c r="K44" s="13" t="str">
        <x:v>Cao</x:v>
      </x:c>
      <x:c r="L44" s="13" t="str">
        <x:v>Lập kế hoạch</x:v>
      </x:c>
      <x:c r="M44" s="13" t="str"/>
    </x:row>
    <x:row r="45">
      <x:c r="A45" s="13" t="str">
        <x:v>IT-DT-2026-044</x:v>
      </x:c>
      <x:c r="B45" s="13" t="n">
        <x:v>2026</x:v>
      </x:c>
      <x:c r="C45" s="13" t="str">
        <x:v>Q4</x:v>
      </x:c>
      <x:c r="D45" s="13" t="str">
        <x:v>Phần mềm bản quyền</x:v>
      </x:c>
      <x:c r="E45" s="13" t="str">
        <x:v>Adobe license</x:v>
      </x:c>
      <x:c r="F45" s="13" t="str">
        <x:v>Dự toán cho adobe license thuộc chương trình phần mềm bản quyền</x:v>
      </x:c>
      <x:c r="G45" s="13" t="str">
        <x:v>Bộ</x:v>
      </x:c>
      <x:c r="H45" s="18" t="n">
        <x:v>5</x:v>
      </x:c>
      <x:c r="I45" s="16" t="n">
        <x:v>40000000</x:v>
      </x:c>
      <x:c r="J45" s="16" t="n">
        <x:f>H45*I45</x:f>
        <x:v>200000000</x:v>
      </x:c>
      <x:c r="K45" s="13" t="str">
        <x:v>Trung bình</x:v>
      </x:c>
      <x:c r="L45" s="13" t="str">
        <x:v>Đang thực hiện</x:v>
      </x:c>
      <x:c r="M45" s="13" t="str"/>
    </x:row>
    <x:row r="46">
      <x:c r="A46" s="13" t="str">
        <x:v>IT-DT-2026-045</x:v>
      </x:c>
      <x:c r="B46" s="13" t="n">
        <x:v>2026</x:v>
      </x:c>
      <x:c r="C46" s="13" t="str">
        <x:v>Q1</x:v>
      </x:c>
      <x:c r="D46" s="13" t="str">
        <x:v>Hỗ trợ người dùng</x:v>
      </x:c>
      <x:c r="E46" s="13" t="str">
        <x:v>Thiết bị ngoại vi</x:v>
      </x:c>
      <x:c r="F46" s="13" t="str">
        <x:v>Dự toán cho thiết bị ngoại vi thuộc chương trình hỗ trợ người dùng</x:v>
      </x:c>
      <x:c r="G46" s="13" t="str">
        <x:v>Bộ</x:v>
      </x:c>
      <x:c r="H46" s="18" t="n">
        <x:v>50</x:v>
      </x:c>
      <x:c r="I46" s="16" t="n">
        <x:v>12000000</x:v>
      </x:c>
      <x:c r="J46" s="16" t="n">
        <x:f>H46*I46</x:f>
        <x:v>600000000</x:v>
      </x:c>
      <x:c r="K46" s="13" t="str">
        <x:v>Trung bình</x:v>
      </x:c>
      <x:c r="L46" s="13" t="str">
        <x:v>Đã duyệt</x:v>
      </x:c>
      <x:c r="M46" s="13" t="str"/>
    </x:row>
    <x:row r="47">
      <x:c r="A47" s="13" t="str">
        <x:v>IT-DT-2026-046</x:v>
      </x:c>
      <x:c r="B47" s="13" t="n">
        <x:v>2026</x:v>
      </x:c>
      <x:c r="C47" s="13" t="str">
        <x:v>Q2</x:v>
      </x:c>
      <x:c r="D47" s="13" t="str">
        <x:v>Chuyển đổi số</x:v>
      </x:c>
      <x:c r="E47" s="13" t="str">
        <x:v>Tích hợp API</x:v>
      </x:c>
      <x:c r="F47" s="13" t="str">
        <x:v>Dự toán cho tích hợp api thuộc chương trình chuyển đổi số</x:v>
      </x:c>
      <x:c r="G47" s="13" t="str">
        <x:v>Dịch vụ</x:v>
      </x:c>
      <x:c r="H47" s="18" t="n">
        <x:v>100</x:v>
      </x:c>
      <x:c r="I47" s="16" t="n">
        <x:v>25000000</x:v>
      </x:c>
      <x:c r="J47" s="16" t="n">
        <x:f>H47*I47</x:f>
        <x:v>2500000000</x:v>
      </x:c>
      <x:c r="K47" s="13" t="str">
        <x:v>Trung bình</x:v>
      </x:c>
      <x:c r="L47" s="13" t="str">
        <x:v>Hoàn thành</x:v>
      </x:c>
      <x:c r="M47" s="13" t="str"/>
    </x:row>
    <x:row r="48">
      <x:c r="A48" s="13" t="str">
        <x:v>IT-DT-2026-047</x:v>
      </x:c>
      <x:c r="B48" s="13" t="n">
        <x:v>2026</x:v>
      </x:c>
      <x:c r="C48" s="13" t="str">
        <x:v>Q3</x:v>
      </x:c>
      <x:c r="D48" s="13" t="str">
        <x:v>LMS/SIS</x:v>
      </x:c>
      <x:c r="E48" s="13" t="str">
        <x:v>Bảo trì LMS</x:v>
      </x:c>
      <x:c r="F48" s="13" t="str">
        <x:v>Dự toán cho bảo trì lms thuộc chương trình lms/sis</x:v>
      </x:c>
      <x:c r="G48" s="13" t="str">
        <x:v>Bộ</x:v>
      </x:c>
      <x:c r="H48" s="18" t="n">
        <x:v>10</x:v>
      </x:c>
      <x:c r="I48" s="16" t="n">
        <x:v>8000000</x:v>
      </x:c>
      <x:c r="J48" s="16" t="n">
        <x:f>H48*I48</x:f>
        <x:v>80000000</x:v>
      </x:c>
      <x:c r="K48" s="13" t="str">
        <x:v>Cao</x:v>
      </x:c>
      <x:c r="L48" s="13" t="str">
        <x:v>Đã duyệt</x:v>
      </x:c>
      <x:c r="M48" s="13" t="str"/>
    </x:row>
    <x:row r="49">
      <x:c r="A49" s="13" t="str">
        <x:v>IT-DT-2026-048</x:v>
      </x:c>
      <x:c r="B49" s="13" t="n">
        <x:v>2026</x:v>
      </x:c>
      <x:c r="C49" s="13" t="str">
        <x:v>Q4</x:v>
      </x:c>
      <x:c r="D49" s="13" t="str">
        <x:v>Phòng máy tính</x:v>
      </x:c>
      <x:c r="E49" s="13" t="str">
        <x:v>Bảo trì phòng lab</x:v>
      </x:c>
      <x:c r="F49" s="13" t="str">
        <x:v>Dự toán cho bảo trì phòng lab thuộc chương trình phòng máy tính</x:v>
      </x:c>
      <x:c r="G49" s="13" t="str">
        <x:v>Tháng</x:v>
      </x:c>
      <x:c r="H49" s="18" t="n">
        <x:v>50</x:v>
      </x:c>
      <x:c r="I49" s="16" t="n">
        <x:v>90000000</x:v>
      </x:c>
      <x:c r="J49" s="16" t="n">
        <x:f>H49*I49</x:f>
        <x:v>4500000000</x:v>
      </x:c>
      <x:c r="K49" s="13" t="str">
        <x:v>Cao</x:v>
      </x:c>
      <x:c r="L49" s="13" t="str">
        <x:v>Đã duyệt</x:v>
      </x:c>
      <x:c r="M49" s="13" t="str"/>
    </x:row>
    <x:row r="50">
      <x:c r="A50" s="13" t="str">
        <x:v>IT-DT-2026-049</x:v>
      </x:c>
      <x:c r="B50" s="13" t="n">
        <x:v>2026</x:v>
      </x:c>
      <x:c r="C50" s="13" t="str">
        <x:v>Q1</x:v>
      </x:c>
      <x:c r="D50" s="13" t="str">
        <x:v>Hạ tầng mạng</x:v>
      </x:c>
      <x:c r="E50" s="13" t="str">
        <x:v>Bảo trì hệ thống mạng</x:v>
      </x:c>
      <x:c r="F50" s="13" t="str">
        <x:v>Dự toán cho bảo trì hệ thống mạng thuộc chương trình hạ tầng mạng</x:v>
      </x:c>
      <x:c r="G50" s="13" t="str">
        <x:v>Tháng</x:v>
      </x:c>
      <x:c r="H50" s="18" t="n">
        <x:v>20</x:v>
      </x:c>
      <x:c r="I50" s="16" t="n">
        <x:v>5000000</x:v>
      </x:c>
      <x:c r="J50" s="16" t="n">
        <x:f>H50*I50</x:f>
        <x:v>100000000</x:v>
      </x:c>
      <x:c r="K50" s="13" t="str">
        <x:v>Trung bình</x:v>
      </x:c>
      <x:c r="L50" s="13" t="str">
        <x:v>Đã duyệt</x:v>
      </x:c>
      <x:c r="M50" s="13" t="str"/>
    </x:row>
    <x:row r="51">
      <x:c r="A51" s="13" t="str">
        <x:v>IT-DT-2026-050</x:v>
      </x:c>
      <x:c r="B51" s="13" t="n">
        <x:v>2026</x:v>
      </x:c>
      <x:c r="C51" s="13" t="str">
        <x:v>Q2</x:v>
      </x:c>
      <x:c r="D51" s="13" t="str">
        <x:v>Hệ thống máy chủ</x:v>
      </x:c>
      <x:c r="E51" s="13" t="str">
        <x:v>Máy chủ ứng dụng</x:v>
      </x:c>
      <x:c r="F51" s="13" t="str">
        <x:v>Dự toán cho máy chủ ứng dụng thuộc chương trình hệ thống máy chủ</x:v>
      </x:c>
      <x:c r="G51" s="13" t="str">
        <x:v>Tháng</x:v>
      </x:c>
      <x:c r="H51" s="18" t="n">
        <x:v>10</x:v>
      </x:c>
      <x:c r="I51" s="16" t="n">
        <x:v>120000000</x:v>
      </x:c>
      <x:c r="J51" s="16" t="n">
        <x:f>H51*I51</x:f>
        <x:v>1200000000</x:v>
      </x:c>
      <x:c r="K51" s="13" t="str">
        <x:v>Cao</x:v>
      </x:c>
      <x:c r="L51" s="13" t="str">
        <x:v>Đang thực hiện</x:v>
      </x:c>
      <x:c r="M51" s="13" t="str"/>
    </x:row>
    <x:row r="52">
      <x:c r="A52" s="13" t="str">
        <x:v>IT-DT-2026-051</x:v>
      </x:c>
      <x:c r="B52" s="13" t="n">
        <x:v>2026</x:v>
      </x:c>
      <x:c r="C52" s="13" t="str">
        <x:v>Q3</x:v>
      </x:c>
      <x:c r="D52" s="13" t="str">
        <x:v>Bảo mật thông tin</x:v>
      </x:c>
      <x:c r="E52" s="13" t="str">
        <x:v>Phần mềm antivirus/EDR</x:v>
      </x:c>
      <x:c r="F52" s="13" t="str">
        <x:v>Dự toán cho phần mềm antivirus/edr thuộc chương trình bảo mật thông tin</x:v>
      </x:c>
      <x:c r="G52" s="13" t="str">
        <x:v>License</x:v>
      </x:c>
      <x:c r="H52" s="18" t="n">
        <x:v>3</x:v>
      </x:c>
      <x:c r="I52" s="16" t="n">
        <x:v>40000000</x:v>
      </x:c>
      <x:c r="J52" s="16" t="n">
        <x:f>H52*I52</x:f>
        <x:v>120000000</x:v>
      </x:c>
      <x:c r="K52" s="13" t="str">
        <x:v>Cao</x:v>
      </x:c>
      <x:c r="L52" s="13" t="str">
        <x:v>Lập kế hoạch</x:v>
      </x:c>
      <x:c r="M52" s="13" t="str"/>
    </x:row>
    <x:row r="53">
      <x:c r="A53" s="13" t="str">
        <x:v>IT-DT-2026-052</x:v>
      </x:c>
      <x:c r="B53" s="13" t="n">
        <x:v>2026</x:v>
      </x:c>
      <x:c r="C53" s="13" t="str">
        <x:v>Q4</x:v>
      </x:c>
      <x:c r="D53" s="13" t="str">
        <x:v>Phần mềm bản quyền</x:v>
      </x:c>
      <x:c r="E53" s="13" t="str">
        <x:v>Zoom/Teams license</x:v>
      </x:c>
      <x:c r="F53" s="13" t="str">
        <x:v>Dự toán cho zoom/teams license thuộc chương trình phần mềm bản quyền</x:v>
      </x:c>
      <x:c r="G53" s="13" t="str">
        <x:v>Gói</x:v>
      </x:c>
      <x:c r="H53" s="18" t="n">
        <x:v>3</x:v>
      </x:c>
      <x:c r="I53" s="16" t="n">
        <x:v>3000000</x:v>
      </x:c>
      <x:c r="J53" s="16" t="n">
        <x:f>H53*I53</x:f>
        <x:v>9000000</x:v>
      </x:c>
      <x:c r="K53" s="13" t="str">
        <x:v>Thấp</x:v>
      </x:c>
      <x:c r="L53" s="13" t="str">
        <x:v>Lập kế hoạch</x:v>
      </x:c>
      <x:c r="M53" s="13" t="str"/>
    </x:row>
    <x:row r="54">
      <x:c r="A54" s="13" t="str">
        <x:v>IT-DT-2026-053</x:v>
      </x:c>
      <x:c r="B54" s="13" t="n">
        <x:v>2026</x:v>
      </x:c>
      <x:c r="C54" s="13" t="str">
        <x:v>Q1</x:v>
      </x:c>
      <x:c r="D54" s="13" t="str">
        <x:v>Hỗ trợ người dùng</x:v>
      </x:c>
      <x:c r="E54" s="13" t="str">
        <x:v>Helpdesk system</x:v>
      </x:c>
      <x:c r="F54" s="13" t="str">
        <x:v>Dự toán cho helpdesk system thuộc chương trình hỗ trợ người dùng</x:v>
      </x:c>
      <x:c r="G54" s="13" t="str">
        <x:v>Bộ</x:v>
      </x:c>
      <x:c r="H54" s="18" t="n">
        <x:v>2</x:v>
      </x:c>
      <x:c r="I54" s="16" t="n">
        <x:v>12000000</x:v>
      </x:c>
      <x:c r="J54" s="16" t="n">
        <x:f>H54*I54</x:f>
        <x:v>24000000</x:v>
      </x:c>
      <x:c r="K54" s="13" t="str">
        <x:v>Cao</x:v>
      </x:c>
      <x:c r="L54" s="13" t="str">
        <x:v>Đã duyệt</x:v>
      </x:c>
      <x:c r="M54" s="13" t="str"/>
    </x:row>
    <x:row r="55">
      <x:c r="A55" s="13" t="str">
        <x:v>IT-DT-2026-054</x:v>
      </x:c>
      <x:c r="B55" s="13" t="n">
        <x:v>2026</x:v>
      </x:c>
      <x:c r="C55" s="13" t="str">
        <x:v>Q2</x:v>
      </x:c>
      <x:c r="D55" s="13" t="str">
        <x:v>Chuyển đổi số</x:v>
      </x:c>
      <x:c r="E55" s="13" t="str">
        <x:v>Phát triển chatbot nội bộ</x:v>
      </x:c>
      <x:c r="F55" s="13" t="str">
        <x:v>Dự toán cho phát triển chatbot nội bộ thuộc chương trình chuyển đổi số</x:v>
      </x:c>
      <x:c r="G55" s="13" t="str">
        <x:v>License</x:v>
      </x:c>
      <x:c r="H55" s="18" t="n">
        <x:v>100</x:v>
      </x:c>
      <x:c r="I55" s="16" t="n">
        <x:v>90000000</x:v>
      </x:c>
      <x:c r="J55" s="16" t="n">
        <x:f>H55*I55</x:f>
        <x:v>9000000000</x:v>
      </x:c>
      <x:c r="K55" s="13" t="str">
        <x:v>Trung bình</x:v>
      </x:c>
      <x:c r="L55" s="13" t="str">
        <x:v>Lập kế hoạch</x:v>
      </x:c>
      <x:c r="M55" s="13" t="str"/>
    </x:row>
    <x:row r="56">
      <x:c r="A56" s="13" t="str">
        <x:v>IT-DT-2026-055</x:v>
      </x:c>
      <x:c r="B56" s="13" t="n">
        <x:v>2026</x:v>
      </x:c>
      <x:c r="C56" s="13" t="str">
        <x:v>Q3</x:v>
      </x:c>
      <x:c r="D56" s="13" t="str">
        <x:v>LMS/SIS</x:v>
      </x:c>
      <x:c r="E56" s="13" t="str">
        <x:v>Tích hợp SSO</x:v>
      </x:c>
      <x:c r="F56" s="13" t="str">
        <x:v>Dự toán cho tích hợp sso thuộc chương trình lms/sis</x:v>
      </x:c>
      <x:c r="G56" s="13" t="str">
        <x:v>Bộ</x:v>
      </x:c>
      <x:c r="H56" s="18" t="n">
        <x:v>200</x:v>
      </x:c>
      <x:c r="I56" s="16" t="n">
        <x:v>90000000</x:v>
      </x:c>
      <x:c r="J56" s="16" t="n">
        <x:f>H56*I56</x:f>
        <x:v>18000000000</x:v>
      </x:c>
      <x:c r="K56" s="13" t="str">
        <x:v>Cao</x:v>
      </x:c>
      <x:c r="L56" s="13" t="str">
        <x:v>Tạm hoãn</x:v>
      </x:c>
      <x:c r="M56" s="13" t="str"/>
    </x:row>
    <x:row r="57">
      <x:c r="A57" s="13" t="str">
        <x:v>IT-DT-2026-056</x:v>
      </x:c>
      <x:c r="B57" s="13" t="n">
        <x:v>2026</x:v>
      </x:c>
      <x:c r="C57" s="13" t="str">
        <x:v>Q4</x:v>
      </x:c>
      <x:c r="D57" s="13" t="str">
        <x:v>Phòng máy tính</x:v>
      </x:c>
      <x:c r="E57" s="13" t="str">
        <x:v>Bảo trì phòng lab</x:v>
      </x:c>
      <x:c r="F57" s="13" t="str">
        <x:v>Dự toán cho bảo trì phòng lab thuộc chương trình phòng máy tính</x:v>
      </x:c>
      <x:c r="G57" s="13" t="str">
        <x:v>Thiết bị</x:v>
      </x:c>
      <x:c r="H57" s="18" t="n">
        <x:v>5</x:v>
      </x:c>
      <x:c r="I57" s="16" t="n">
        <x:v>5000000</x:v>
      </x:c>
      <x:c r="J57" s="16" t="n">
        <x:f>H57*I57</x:f>
        <x:v>25000000</x:v>
      </x:c>
      <x:c r="K57" s="13" t="str">
        <x:v>Cao</x:v>
      </x:c>
      <x:c r="L57" s="13" t="str">
        <x:v>Hoàn thành</x:v>
      </x:c>
      <x:c r="M57" s="13" t="str"/>
    </x:row>
    <x:row r="58">
      <x:c r="A58" s="13" t="str">
        <x:v>IT-DT-2026-057</x:v>
      </x:c>
      <x:c r="B58" s="13" t="n">
        <x:v>2026</x:v>
      </x:c>
      <x:c r="C58" s="13" t="str">
        <x:v>Q1</x:v>
      </x:c>
      <x:c r="D58" s="13" t="str">
        <x:v>Hạ tầng mạng</x:v>
      </x:c>
      <x:c r="E58" s="13" t="str">
        <x:v>Thiết bị firewall</x:v>
      </x:c>
      <x:c r="F58" s="13" t="str">
        <x:v>Dự toán cho thiết bị firewall thuộc chương trình hạ tầng mạng</x:v>
      </x:c>
      <x:c r="G58" s="13" t="str">
        <x:v>Gói</x:v>
      </x:c>
      <x:c r="H58" s="18" t="n">
        <x:v>100</x:v>
      </x:c>
      <x:c r="I58" s="16" t="n">
        <x:v>60000000</x:v>
      </x:c>
      <x:c r="J58" s="16" t="n">
        <x:f>H58*I58</x:f>
        <x:v>6000000000</x:v>
      </x:c>
      <x:c r="K58" s="13" t="str">
        <x:v>Cao</x:v>
      </x:c>
      <x:c r="L58" s="13" t="str">
        <x:v>Hoàn thành</x:v>
      </x:c>
      <x:c r="M58" s="13" t="str"/>
    </x:row>
    <x:row r="59">
      <x:c r="A59" s="13" t="str">
        <x:v>IT-DT-2026-058</x:v>
      </x:c>
      <x:c r="B59" s="13" t="n">
        <x:v>2026</x:v>
      </x:c>
      <x:c r="C59" s="13" t="str">
        <x:v>Q2</x:v>
      </x:c>
      <x:c r="D59" s="13" t="str">
        <x:v>Hệ thống máy chủ</x:v>
      </x:c>
      <x:c r="E59" s="13" t="str">
        <x:v>Gia hạn bảo hành server</x:v>
      </x:c>
      <x:c r="F59" s="13" t="str">
        <x:v>Dự toán cho gia hạn bảo hành server thuộc chương trình hệ thống máy chủ</x:v>
      </x:c>
      <x:c r="G59" s="13" t="str">
        <x:v>License</x:v>
      </x:c>
      <x:c r="H59" s="18" t="n">
        <x:v>200</x:v>
      </x:c>
      <x:c r="I59" s="16" t="n">
        <x:v>120000000</x:v>
      </x:c>
      <x:c r="J59" s="16" t="n">
        <x:f>H59*I59</x:f>
        <x:v>24000000000</x:v>
      </x:c>
      <x:c r="K59" s="13" t="str">
        <x:v>Trung bình</x:v>
      </x:c>
      <x:c r="L59" s="13" t="str">
        <x:v>Đã duyệt</x:v>
      </x:c>
      <x:c r="M59" s="13" t="str"/>
    </x:row>
    <x:row r="60">
      <x:c r="A60" s="13" t="str">
        <x:v>IT-DT-2026-059</x:v>
      </x:c>
      <x:c r="B60" s="13" t="n">
        <x:v>2026</x:v>
      </x:c>
      <x:c r="C60" s="13" t="str">
        <x:v>Q3</x:v>
      </x:c>
      <x:c r="D60" s="13" t="str">
        <x:v>Bảo mật thông tin</x:v>
      </x:c>
      <x:c r="E60" s="13" t="str">
        <x:v>Giám sát SOC</x:v>
      </x:c>
      <x:c r="F60" s="13" t="str">
        <x:v>Dự toán cho giám sát soc thuộc chương trình bảo mật thông tin</x:v>
      </x:c>
      <x:c r="G60" s="13" t="str">
        <x:v>Dịch vụ</x:v>
      </x:c>
      <x:c r="H60" s="18" t="n">
        <x:v>20</x:v>
      </x:c>
      <x:c r="I60" s="16" t="n">
        <x:v>12000000</x:v>
      </x:c>
      <x:c r="J60" s="16" t="n">
        <x:f>H60*I60</x:f>
        <x:v>240000000</x:v>
      </x:c>
      <x:c r="K60" s="13" t="str">
        <x:v>Cao</x:v>
      </x:c>
      <x:c r="L60" s="13" t="str">
        <x:v>Hoàn thành</x:v>
      </x:c>
      <x:c r="M60" s="13" t="str"/>
    </x:row>
    <x:row r="61">
      <x:c r="A61" s="13" t="str">
        <x:v>IT-DT-2026-060</x:v>
      </x:c>
      <x:c r="B61" s="13" t="n">
        <x:v>2026</x:v>
      </x:c>
      <x:c r="C61" s="13" t="str">
        <x:v>Q4</x:v>
      </x:c>
      <x:c r="D61" s="13" t="str">
        <x:v>Phần mềm bản quyền</x:v>
      </x:c>
      <x:c r="E61" s="13" t="str">
        <x:v>Microsoft 365</x:v>
      </x:c>
      <x:c r="F61" s="13" t="str">
        <x:v>Dự toán cho microsoft 365 thuộc chương trình phần mềm bản quyền</x:v>
      </x:c>
      <x:c r="G61" s="13" t="str">
        <x:v>License</x:v>
      </x:c>
      <x:c r="H61" s="18" t="n">
        <x:v>5</x:v>
      </x:c>
      <x:c r="I61" s="16" t="n">
        <x:v>12000000</x:v>
      </x:c>
      <x:c r="J61" s="16" t="n">
        <x:f>H61*I61</x:f>
        <x:v>60000000</x:v>
      </x:c>
      <x:c r="K61" s="13" t="str">
        <x:v>Trung bình</x:v>
      </x:c>
      <x:c r="L61" s="13" t="str">
        <x:v>Tạm hoãn</x:v>
      </x:c>
      <x:c r="M61" s="13" t="str"/>
    </x:row>
    <x:row r="62">
      <x:c r="A62" s="13" t="str">
        <x:v>IT-DT-2026-061</x:v>
      </x:c>
      <x:c r="B62" s="13" t="n">
        <x:v>2026</x:v>
      </x:c>
      <x:c r="C62" s="13" t="str">
        <x:v>Q1</x:v>
      </x:c>
      <x:c r="D62" s="13" t="str">
        <x:v>Hỗ trợ người dùng</x:v>
      </x:c>
      <x:c r="E62" s="13" t="str">
        <x:v>Helpdesk system</x:v>
      </x:c>
      <x:c r="F62" s="13" t="str">
        <x:v>Dự toán cho helpdesk system thuộc chương trình hỗ trợ người dùng</x:v>
      </x:c>
      <x:c r="G62" s="13" t="str">
        <x:v>Thiết bị</x:v>
      </x:c>
      <x:c r="H62" s="18" t="n">
        <x:v>10</x:v>
      </x:c>
      <x:c r="I62" s="16" t="n">
        <x:v>3000000</x:v>
      </x:c>
      <x:c r="J62" s="16" t="n">
        <x:f>H62*I62</x:f>
        <x:v>30000000</x:v>
      </x:c>
      <x:c r="K62" s="13" t="str">
        <x:v>Cao</x:v>
      </x:c>
      <x:c r="L62" s="13" t="str">
        <x:v>Lập kế hoạch</x:v>
      </x:c>
      <x:c r="M62" s="13" t="str"/>
    </x:row>
    <x:row r="63">
      <x:c r="A63" s="13" t="str">
        <x:v>IT-DT-2026-062</x:v>
      </x:c>
      <x:c r="B63" s="13" t="n">
        <x:v>2026</x:v>
      </x:c>
      <x:c r="C63" s="13" t="str">
        <x:v>Q2</x:v>
      </x:c>
      <x:c r="D63" s="13" t="str">
        <x:v>Chuyển đổi số</x:v>
      </x:c>
      <x:c r="E63" s="13" t="str">
        <x:v>Dashboard quản trị</x:v>
      </x:c>
      <x:c r="F63" s="13" t="str">
        <x:v>Dự toán cho dashboard quản trị thuộc chương trình chuyển đổi số</x:v>
      </x:c>
      <x:c r="G63" s="13" t="str">
        <x:v>Gói</x:v>
      </x:c>
      <x:c r="H63" s="18" t="n">
        <x:v>200</x:v>
      </x:c>
      <x:c r="I63" s="16" t="n">
        <x:v>40000000</x:v>
      </x:c>
      <x:c r="J63" s="16" t="n">
        <x:f>H63*I63</x:f>
        <x:v>8000000000</x:v>
      </x:c>
      <x:c r="K63" s="13" t="str">
        <x:v>Trung bình</x:v>
      </x:c>
      <x:c r="L63" s="13" t="str">
        <x:v>Đã duyệt</x:v>
      </x:c>
      <x:c r="M63" s="13" t="str"/>
    </x:row>
    <x:row r="64">
      <x:c r="A64" s="13" t="str">
        <x:v>IT-DT-2026-063</x:v>
      </x:c>
      <x:c r="B64" s="13" t="n">
        <x:v>2026</x:v>
      </x:c>
      <x:c r="C64" s="13" t="str">
        <x:v>Q3</x:v>
      </x:c>
      <x:c r="D64" s="13" t="str">
        <x:v>LMS/SIS</x:v>
      </x:c>
      <x:c r="E64" s="13" t="str">
        <x:v>Nâng cấp cổng sinh viên</x:v>
      </x:c>
      <x:c r="F64" s="13" t="str">
        <x:v>Dự toán cho nâng cấp cổng sinh viên thuộc chương trình lms/sis</x:v>
      </x:c>
      <x:c r="G64" s="13" t="str">
        <x:v>License</x:v>
      </x:c>
      <x:c r="H64" s="18" t="n">
        <x:v>2</x:v>
      </x:c>
      <x:c r="I64" s="16" t="n">
        <x:v>40000000</x:v>
      </x:c>
      <x:c r="J64" s="16" t="n">
        <x:f>H64*I64</x:f>
        <x:v>80000000</x:v>
      </x:c>
      <x:c r="K64" s="13" t="str">
        <x:v>Trung bình</x:v>
      </x:c>
      <x:c r="L64" s="13" t="str">
        <x:v>Lập kế hoạch</x:v>
      </x:c>
      <x:c r="M64" s="13" t="str"/>
    </x:row>
    <x:row r="65">
      <x:c r="A65" s="13" t="str">
        <x:v>IT-DT-2026-064</x:v>
      </x:c>
      <x:c r="B65" s="13" t="n">
        <x:v>2026</x:v>
      </x:c>
      <x:c r="C65" s="13" t="str">
        <x:v>Q4</x:v>
      </x:c>
      <x:c r="D65" s="13" t="str">
        <x:v>Phòng máy tính</x:v>
      </x:c>
      <x:c r="E65" s="13" t="str">
        <x:v>Máy chiếu/màn hình</x:v>
      </x:c>
      <x:c r="F65" s="13" t="str">
        <x:v>Dự toán cho máy chiếu/màn hình thuộc chương trình phòng máy tính</x:v>
      </x:c>
      <x:c r="G65" s="13" t="str">
        <x:v>Tháng</x:v>
      </x:c>
      <x:c r="H65" s="18" t="n">
        <x:v>100</x:v>
      </x:c>
      <x:c r="I65" s="16" t="n">
        <x:v>8000000</x:v>
      </x:c>
      <x:c r="J65" s="16" t="n">
        <x:f>H65*I65</x:f>
        <x:v>800000000</x:v>
      </x:c>
      <x:c r="K65" s="13" t="str">
        <x:v>Thấp</x:v>
      </x:c>
      <x:c r="L65" s="13" t="str">
        <x:v>Hoàn thành</x:v>
      </x:c>
      <x:c r="M65" s="13" t="str"/>
    </x:row>
    <x:row r="66">
      <x:c r="A66" s="13" t="str">
        <x:v>IT-DT-2026-065</x:v>
      </x:c>
      <x:c r="B66" s="13" t="n">
        <x:v>2026</x:v>
      </x:c>
      <x:c r="C66" s="13" t="str">
        <x:v>Q1</x:v>
      </x:c>
      <x:c r="D66" s="13" t="str">
        <x:v>Hạ tầng mạng</x:v>
      </x:c>
      <x:c r="E66" s="13" t="str">
        <x:v>Bảo trì hệ thống mạng</x:v>
      </x:c>
      <x:c r="F66" s="13" t="str">
        <x:v>Dự toán cho bảo trì hệ thống mạng thuộc chương trình hạ tầng mạng</x:v>
      </x:c>
      <x:c r="G66" s="13" t="str">
        <x:v>Bộ</x:v>
      </x:c>
      <x:c r="H66" s="18" t="n">
        <x:v>100</x:v>
      </x:c>
      <x:c r="I66" s="16" t="n">
        <x:v>120000000</x:v>
      </x:c>
      <x:c r="J66" s="16" t="n">
        <x:f>H66*I66</x:f>
        <x:v>12000000000</x:v>
      </x:c>
      <x:c r="K66" s="13" t="str">
        <x:v>Thấp</x:v>
      </x:c>
      <x:c r="L66" s="13" t="str">
        <x:v>Lập kế hoạch</x:v>
      </x:c>
      <x:c r="M66" s="13" t="str"/>
    </x:row>
    <x:row r="67">
      <x:c r="A67" s="13" t="str">
        <x:v>IT-DT-2026-066</x:v>
      </x:c>
      <x:c r="B67" s="13" t="n">
        <x:v>2026</x:v>
      </x:c>
      <x:c r="C67" s="13" t="str">
        <x:v>Q2</x:v>
      </x:c>
      <x:c r="D67" s="13" t="str">
        <x:v>Hệ thống máy chủ</x:v>
      </x:c>
      <x:c r="E67" s="13" t="str">
        <x:v>Gia hạn bảo hành server</x:v>
      </x:c>
      <x:c r="F67" s="13" t="str">
        <x:v>Dự toán cho gia hạn bảo hành server thuộc chương trình hệ thống máy chủ</x:v>
      </x:c>
      <x:c r="G67" s="13" t="str">
        <x:v>Dịch vụ</x:v>
      </x:c>
      <x:c r="H67" s="18" t="n">
        <x:v>200</x:v>
      </x:c>
      <x:c r="I67" s="16" t="n">
        <x:v>90000000</x:v>
      </x:c>
      <x:c r="J67" s="16" t="n">
        <x:f>H67*I67</x:f>
        <x:v>18000000000</x:v>
      </x:c>
      <x:c r="K67" s="13" t="str">
        <x:v>Cao</x:v>
      </x:c>
      <x:c r="L67" s="13" t="str">
        <x:v>Đang thực hiện</x:v>
      </x:c>
      <x:c r="M67" s="13" t="str"/>
    </x:row>
    <x:row r="68">
      <x:c r="A68" s="13" t="str">
        <x:v>IT-DT-2026-067</x:v>
      </x:c>
      <x:c r="B68" s="13" t="n">
        <x:v>2026</x:v>
      </x:c>
      <x:c r="C68" s="13" t="str">
        <x:v>Q3</x:v>
      </x:c>
      <x:c r="D68" s="13" t="str">
        <x:v>Bảo mật thông tin</x:v>
      </x:c>
      <x:c r="E68" s="13" t="str">
        <x:v>Kiểm thử xâm nhập</x:v>
      </x:c>
      <x:c r="F68" s="13" t="str">
        <x:v>Dự toán cho kiểm thử xâm nhập thuộc chương trình bảo mật thông tin</x:v>
      </x:c>
      <x:c r="G68" s="13" t="str">
        <x:v>License</x:v>
      </x:c>
      <x:c r="H68" s="18" t="n">
        <x:v>200</x:v>
      </x:c>
      <x:c r="I68" s="16" t="n">
        <x:v>90000000</x:v>
      </x:c>
      <x:c r="J68" s="16" t="n">
        <x:f>H68*I68</x:f>
        <x:v>18000000000</x:v>
      </x:c>
      <x:c r="K68" s="13" t="str">
        <x:v>Trung bình</x:v>
      </x:c>
      <x:c r="L68" s="13" t="str">
        <x:v>Đang thực hiện</x:v>
      </x:c>
      <x:c r="M68" s="13" t="str"/>
    </x:row>
    <x:row r="69">
      <x:c r="A69" s="13" t="str">
        <x:v>IT-DT-2026-068</x:v>
      </x:c>
      <x:c r="B69" s="13" t="n">
        <x:v>2026</x:v>
      </x:c>
      <x:c r="C69" s="13" t="str">
        <x:v>Q4</x:v>
      </x:c>
      <x:c r="D69" s="13" t="str">
        <x:v>Phần mềm bản quyền</x:v>
      </x:c>
      <x:c r="E69" s="13" t="str">
        <x:v>Phần mềm thống kê/dữ liệu</x:v>
      </x:c>
      <x:c r="F69" s="13" t="str">
        <x:v>Dự toán cho phần mềm thống kê/dữ liệu thuộc chương trình phần mềm bản quyền</x:v>
      </x:c>
      <x:c r="G69" s="13" t="str">
        <x:v>Tháng</x:v>
      </x:c>
      <x:c r="H69" s="18" t="n">
        <x:v>5</x:v>
      </x:c>
      <x:c r="I69" s="16" t="n">
        <x:v>15000000</x:v>
      </x:c>
      <x:c r="J69" s="16" t="n">
        <x:f>H69*I69</x:f>
        <x:v>75000000</x:v>
      </x:c>
      <x:c r="K69" s="13" t="str">
        <x:v>Trung bình</x:v>
      </x:c>
      <x:c r="L69" s="13" t="str">
        <x:v>Tạm hoãn</x:v>
      </x:c>
      <x:c r="M69" s="13" t="str"/>
    </x:row>
    <x:row r="70">
      <x:c r="A70" s="13" t="str">
        <x:v>IT-DT-2026-069</x:v>
      </x:c>
      <x:c r="B70" s="13" t="n">
        <x:v>2026</x:v>
      </x:c>
      <x:c r="C70" s="13" t="str">
        <x:v>Q1</x:v>
      </x:c>
      <x:c r="D70" s="13" t="str">
        <x:v>Hỗ trợ người dùng</x:v>
      </x:c>
      <x:c r="E70" s="13" t="str">
        <x:v>Helpdesk system</x:v>
      </x:c>
      <x:c r="F70" s="13" t="str">
        <x:v>Dự toán cho helpdesk system thuộc chương trình hỗ trợ người dùng</x:v>
      </x:c>
      <x:c r="G70" s="13" t="str">
        <x:v>Gói</x:v>
      </x:c>
      <x:c r="H70" s="18" t="n">
        <x:v>100</x:v>
      </x:c>
      <x:c r="I70" s="16" t="n">
        <x:v>12000000</x:v>
      </x:c>
      <x:c r="J70" s="16" t="n">
        <x:f>H70*I70</x:f>
        <x:v>1200000000</x:v>
      </x:c>
      <x:c r="K70" s="13" t="str">
        <x:v>Cao</x:v>
      </x:c>
      <x:c r="L70" s="13" t="str">
        <x:v>Lập kế hoạch</x:v>
      </x:c>
      <x:c r="M70" s="13" t="str"/>
    </x:row>
    <x:row r="71">
      <x:c r="A71" s="13" t="str">
        <x:v>IT-DT-2026-070</x:v>
      </x:c>
      <x:c r="B71" s="13" t="n">
        <x:v>2026</x:v>
      </x:c>
      <x:c r="C71" s="13" t="str">
        <x:v>Q2</x:v>
      </x:c>
      <x:c r="D71" s="13" t="str">
        <x:v>Chuyển đổi số</x:v>
      </x:c>
      <x:c r="E71" s="13" t="str">
        <x:v>Tự động hóa quy trình</x:v>
      </x:c>
      <x:c r="F71" s="13" t="str">
        <x:v>Dự toán cho tự động hóa quy trình thuộc chương trình chuyển đổi số</x:v>
      </x:c>
      <x:c r="G71" s="13" t="str">
        <x:v>Thiết bị</x:v>
      </x:c>
      <x:c r="H71" s="18" t="n">
        <x:v>1</x:v>
      </x:c>
      <x:c r="I71" s="16" t="n">
        <x:v>90000000</x:v>
      </x:c>
      <x:c r="J71" s="16" t="n">
        <x:f>H71*I71</x:f>
        <x:v>90000000</x:v>
      </x:c>
      <x:c r="K71" s="13" t="str">
        <x:v>Thấp</x:v>
      </x:c>
      <x:c r="L71" s="13" t="str">
        <x:v>Đã duyệt</x:v>
      </x:c>
      <x:c r="M71" s="13" t="str"/>
    </x:row>
    <x:row r="72">
      <x:c r="A72" s="13" t="str">
        <x:v>IT-DT-2026-071</x:v>
      </x:c>
      <x:c r="B72" s="13" t="n">
        <x:v>2026</x:v>
      </x:c>
      <x:c r="C72" s="13" t="str">
        <x:v>Q3</x:v>
      </x:c>
      <x:c r="D72" s="13" t="str">
        <x:v>LMS/SIS</x:v>
      </x:c>
      <x:c r="E72" s="13" t="str">
        <x:v>Bảo trì LMS</x:v>
      </x:c>
      <x:c r="F72" s="13" t="str">
        <x:v>Dự toán cho bảo trì lms thuộc chương trình lms/sis</x:v>
      </x:c>
      <x:c r="G72" s="13" t="str">
        <x:v>Tháng</x:v>
      </x:c>
      <x:c r="H72" s="18" t="n">
        <x:v>100</x:v>
      </x:c>
      <x:c r="I72" s="16" t="n">
        <x:v>5000000</x:v>
      </x:c>
      <x:c r="J72" s="16" t="n">
        <x:f>H72*I72</x:f>
        <x:v>500000000</x:v>
      </x:c>
      <x:c r="K72" s="13" t="str">
        <x:v>Trung bình</x:v>
      </x:c>
      <x:c r="L72" s="13" t="str">
        <x:v>Lập kế hoạch</x:v>
      </x:c>
      <x:c r="M72" s="13" t="str"/>
    </x:row>
    <x:row r="73">
      <x:c r="A73" s="13" t="str">
        <x:v>IT-DT-2026-072</x:v>
      </x:c>
      <x:c r="B73" s="13" t="n">
        <x:v>2026</x:v>
      </x:c>
      <x:c r="C73" s="13" t="str">
        <x:v>Q4</x:v>
      </x:c>
      <x:c r="D73" s="13" t="str">
        <x:v>Phòng máy tính</x:v>
      </x:c>
      <x:c r="E73" s="13" t="str">
        <x:v>Bảo trì phòng lab</x:v>
      </x:c>
      <x:c r="F73" s="13" t="str">
        <x:v>Dự toán cho bảo trì phòng lab thuộc chương trình phòng máy tính</x:v>
      </x:c>
      <x:c r="G73" s="13" t="str">
        <x:v>Bộ</x:v>
      </x:c>
      <x:c r="H73" s="18" t="n">
        <x:v>50</x:v>
      </x:c>
      <x:c r="I73" s="16" t="n">
        <x:v>40000000</x:v>
      </x:c>
      <x:c r="J73" s="16" t="n">
        <x:f>H73*I73</x:f>
        <x:v>2000000000</x:v>
      </x:c>
      <x:c r="K73" s="13" t="str">
        <x:v>Cao</x:v>
      </x:c>
      <x:c r="L73" s="13" t="str">
        <x:v>Đã duyệt</x:v>
      </x:c>
      <x:c r="M73" s="13" t="str"/>
    </x:row>
    <x:row r="74">
      <x:c r="A74" s="13" t="str">
        <x:v>IT-DT-2026-073</x:v>
      </x:c>
      <x:c r="B74" s="13" t="n">
        <x:v>2026</x:v>
      </x:c>
      <x:c r="C74" s="13" t="str">
        <x:v>Q1</x:v>
      </x:c>
      <x:c r="D74" s="13" t="str">
        <x:v>Hạ tầng mạng</x:v>
      </x:c>
      <x:c r="E74" s="13" t="str">
        <x:v>Wi-Fi access point</x:v>
      </x:c>
      <x:c r="F74" s="13" t="str">
        <x:v>Dự toán cho wi-fi access point thuộc chương trình hạ tầng mạng</x:v>
      </x:c>
      <x:c r="G74" s="13" t="str">
        <x:v>Thiết bị</x:v>
      </x:c>
      <x:c r="H74" s="18" t="n">
        <x:v>50</x:v>
      </x:c>
      <x:c r="I74" s="16" t="n">
        <x:v>60000000</x:v>
      </x:c>
      <x:c r="J74" s="16" t="n">
        <x:f>H74*I74</x:f>
        <x:v>3000000000</x:v>
      </x:c>
      <x:c r="K74" s="13" t="str">
        <x:v>Cao</x:v>
      </x:c>
      <x:c r="L74" s="13" t="str">
        <x:v>Lập kế hoạch</x:v>
      </x:c>
      <x:c r="M74" s="13" t="str"/>
    </x:row>
    <x:row r="75">
      <x:c r="A75" s="13" t="str">
        <x:v>IT-DT-2026-074</x:v>
      </x:c>
      <x:c r="B75" s="13" t="n">
        <x:v>2026</x:v>
      </x:c>
      <x:c r="C75" s="13" t="str">
        <x:v>Q2</x:v>
      </x:c>
      <x:c r="D75" s="13" t="str">
        <x:v>Hệ thống máy chủ</x:v>
      </x:c>
      <x:c r="E75" s="13" t="str">
        <x:v>Máy chủ ứng dụng</x:v>
      </x:c>
      <x:c r="F75" s="13" t="str">
        <x:v>Dự toán cho máy chủ ứng dụng thuộc chương trình hệ thống máy chủ</x:v>
      </x:c>
      <x:c r="G75" s="13" t="str">
        <x:v>Gói</x:v>
      </x:c>
      <x:c r="H75" s="18" t="n">
        <x:v>10</x:v>
      </x:c>
      <x:c r="I75" s="16" t="n">
        <x:v>8000000</x:v>
      </x:c>
      <x:c r="J75" s="16" t="n">
        <x:f>H75*I75</x:f>
        <x:v>80000000</x:v>
      </x:c>
      <x:c r="K75" s="13" t="str">
        <x:v>Trung bình</x:v>
      </x:c>
      <x:c r="L75" s="13" t="str">
        <x:v>Tạm hoãn</x:v>
      </x:c>
      <x:c r="M75" s="13" t="str"/>
    </x:row>
    <x:row r="76">
      <x:c r="A76" s="13" t="str">
        <x:v>IT-DT-2026-075</x:v>
      </x:c>
      <x:c r="B76" s="13" t="n">
        <x:v>2026</x:v>
      </x:c>
      <x:c r="C76" s="13" t="str">
        <x:v>Q3</x:v>
      </x:c>
      <x:c r="D76" s="13" t="str">
        <x:v>Bảo mật thông tin</x:v>
      </x:c>
      <x:c r="E76" s="13" t="str">
        <x:v>Kiểm thử xâm nhập</x:v>
      </x:c>
      <x:c r="F76" s="13" t="str">
        <x:v>Dự toán cho kiểm thử xâm nhập thuộc chương trình bảo mật thông tin</x:v>
      </x:c>
      <x:c r="G76" s="13" t="str">
        <x:v>Dịch vụ</x:v>
      </x:c>
      <x:c r="H76" s="18" t="n">
        <x:v>3</x:v>
      </x:c>
      <x:c r="I76" s="16" t="n">
        <x:v>12000000</x:v>
      </x:c>
      <x:c r="J76" s="16" t="n">
        <x:f>H76*I76</x:f>
        <x:v>36000000</x:v>
      </x:c>
      <x:c r="K76" s="13" t="str">
        <x:v>Cao</x:v>
      </x:c>
      <x:c r="L76" s="13" t="str">
        <x:v>Đã duyệt</x:v>
      </x:c>
      <x:c r="M76" s="13" t="str"/>
    </x:row>
    <x:row r="77">
      <x:c r="A77" s="13" t="str">
        <x:v>IT-DT-2026-076</x:v>
      </x:c>
      <x:c r="B77" s="13" t="n">
        <x:v>2026</x:v>
      </x:c>
      <x:c r="C77" s="13" t="str">
        <x:v>Q4</x:v>
      </x:c>
      <x:c r="D77" s="13" t="str">
        <x:v>Phần mềm bản quyền</x:v>
      </x:c>
      <x:c r="E77" s="13" t="str">
        <x:v>Adobe license</x:v>
      </x:c>
      <x:c r="F77" s="13" t="str">
        <x:v>Dự toán cho adobe license thuộc chương trình phần mềm bản quyền</x:v>
      </x:c>
      <x:c r="G77" s="13" t="str">
        <x:v>Tháng</x:v>
      </x:c>
      <x:c r="H77" s="18" t="n">
        <x:v>5</x:v>
      </x:c>
      <x:c r="I77" s="16" t="n">
        <x:v>120000000</x:v>
      </x:c>
      <x:c r="J77" s="16" t="n">
        <x:f>H77*I77</x:f>
        <x:v>600000000</x:v>
      </x:c>
      <x:c r="K77" s="13" t="str">
        <x:v>Cao</x:v>
      </x:c>
      <x:c r="L77" s="13" t="str">
        <x:v>Đã duyệt</x:v>
      </x:c>
      <x:c r="M77" s="13" t="str"/>
    </x:row>
    <x:row r="78">
      <x:c r="A78" s="13" t="str">
        <x:v>IT-DT-2026-077</x:v>
      </x:c>
      <x:c r="B78" s="13" t="n">
        <x:v>2026</x:v>
      </x:c>
      <x:c r="C78" s="13" t="str">
        <x:v>Q1</x:v>
      </x:c>
      <x:c r="D78" s="13" t="str">
        <x:v>Hỗ trợ người dùng</x:v>
      </x:c>
      <x:c r="E78" s="13" t="str">
        <x:v>Máy tính cho cán bộ</x:v>
      </x:c>
      <x:c r="F78" s="13" t="str">
        <x:v>Dự toán cho máy tính cho cán bộ thuộc chương trình hỗ trợ người dùng</x:v>
      </x:c>
      <x:c r="G78" s="13" t="str">
        <x:v>Tháng</x:v>
      </x:c>
      <x:c r="H78" s="18" t="n">
        <x:v>200</x:v>
      </x:c>
      <x:c r="I78" s="16" t="n">
        <x:v>120000000</x:v>
      </x:c>
      <x:c r="J78" s="16" t="n">
        <x:f>H78*I78</x:f>
        <x:v>24000000000</x:v>
      </x:c>
      <x:c r="K78" s="13" t="str">
        <x:v>Cao</x:v>
      </x:c>
      <x:c r="L78" s="13" t="str">
        <x:v>Lập kế hoạch</x:v>
      </x:c>
      <x:c r="M78" s="13" t="str"/>
    </x:row>
    <x:row r="79">
      <x:c r="A79" s="13" t="str">
        <x:v>IT-DT-2026-078</x:v>
      </x:c>
      <x:c r="B79" s="13" t="n">
        <x:v>2026</x:v>
      </x:c>
      <x:c r="C79" s="13" t="str">
        <x:v>Q2</x:v>
      </x:c>
      <x:c r="D79" s="13" t="str">
        <x:v>Chuyển đổi số</x:v>
      </x:c>
      <x:c r="E79" s="13" t="str">
        <x:v>Tự động hóa quy trình</x:v>
      </x:c>
      <x:c r="F79" s="13" t="str">
        <x:v>Dự toán cho tự động hóa quy trình thuộc chương trình chuyển đổi số</x:v>
      </x:c>
      <x:c r="G79" s="13" t="str">
        <x:v>Tháng</x:v>
      </x:c>
      <x:c r="H79" s="18" t="n">
        <x:v>1</x:v>
      </x:c>
      <x:c r="I79" s="16" t="n">
        <x:v>40000000</x:v>
      </x:c>
      <x:c r="J79" s="16" t="n">
        <x:f>H79*I79</x:f>
        <x:v>40000000</x:v>
      </x:c>
      <x:c r="K79" s="13" t="str">
        <x:v>Trung bình</x:v>
      </x:c>
      <x:c r="L79" s="13" t="str">
        <x:v>Hoàn thành</x:v>
      </x:c>
      <x:c r="M79" s="13" t="str"/>
    </x:row>
    <x:row r="80">
      <x:c r="A80" s="13" t="str">
        <x:v>IT-DT-2026-079</x:v>
      </x:c>
      <x:c r="B80" s="13" t="n">
        <x:v>2026</x:v>
      </x:c>
      <x:c r="C80" s="13" t="str">
        <x:v>Q3</x:v>
      </x:c>
      <x:c r="D80" s="13" t="str">
        <x:v>LMS/SIS</x:v>
      </x:c>
      <x:c r="E80" s="13" t="str">
        <x:v>Nâng cấp cổng sinh viên</x:v>
      </x:c>
      <x:c r="F80" s="13" t="str">
        <x:v>Dự toán cho nâng cấp cổng sinh viên thuộc chương trình lms/sis</x:v>
      </x:c>
      <x:c r="G80" s="13" t="str">
        <x:v>Bộ</x:v>
      </x:c>
      <x:c r="H80" s="18" t="n">
        <x:v>200</x:v>
      </x:c>
      <x:c r="I80" s="16" t="n">
        <x:v>12000000</x:v>
      </x:c>
      <x:c r="J80" s="16" t="n">
        <x:f>H80*I80</x:f>
        <x:v>2400000000</x:v>
      </x:c>
      <x:c r="K80" s="13" t="str">
        <x:v>Trung bình</x:v>
      </x:c>
      <x:c r="L80" s="13" t="str">
        <x:v>Đã duyệt</x:v>
      </x:c>
      <x:c r="M80" s="13" t="str"/>
    </x:row>
    <x:row r="81">
      <x:c r="A81" s="13" t="str">
        <x:v>IT-DT-2026-080</x:v>
      </x:c>
      <x:c r="B81" s="13" t="n">
        <x:v>2026</x:v>
      </x:c>
      <x:c r="C81" s="13" t="str">
        <x:v>Q4</x:v>
      </x:c>
      <x:c r="D81" s="13" t="str">
        <x:v>Phòng máy tính</x:v>
      </x:c>
      <x:c r="E81" s="13" t="str">
        <x:v>Máy chiếu/màn hình</x:v>
      </x:c>
      <x:c r="F81" s="13" t="str">
        <x:v>Dự toán cho máy chiếu/màn hình thuộc chương trình phòng máy tính</x:v>
      </x:c>
      <x:c r="G81" s="13" t="str">
        <x:v>Dịch vụ</x:v>
      </x:c>
      <x:c r="H81" s="18" t="n">
        <x:v>200</x:v>
      </x:c>
      <x:c r="I81" s="16" t="n">
        <x:v>120000000</x:v>
      </x:c>
      <x:c r="J81" s="16" t="n">
        <x:f>H81*I81</x:f>
        <x:v>24000000000</x:v>
      </x:c>
      <x:c r="K81" s="13" t="str">
        <x:v>Trung bình</x:v>
      </x:c>
      <x:c r="L81" s="13" t="str">
        <x:v>Lập kế hoạch</x:v>
      </x:c>
      <x:c r="M81" s="13" t="str"/>
    </x:row>
    <x:row r="82">
      <x:c r="A82" s="13" t="str">
        <x:v>IT-DT-2026-081</x:v>
      </x:c>
      <x:c r="B82" s="13" t="n">
        <x:v>2026</x:v>
      </x:c>
      <x:c r="C82" s="13" t="str">
        <x:v>Q1</x:v>
      </x:c>
      <x:c r="D82" s="13" t="str">
        <x:v>Hạ tầng mạng</x:v>
      </x:c>
      <x:c r="E82" s="13" t="str">
        <x:v>Wi-Fi access point</x:v>
      </x:c>
      <x:c r="F82" s="13" t="str">
        <x:v>Dự toán cho wi-fi access point thuộc chương trình hạ tầng mạng</x:v>
      </x:c>
      <x:c r="G82" s="13" t="str">
        <x:v>Bộ</x:v>
      </x:c>
      <x:c r="H82" s="18" t="n">
        <x:v>3</x:v>
      </x:c>
      <x:c r="I82" s="16" t="n">
        <x:v>25000000</x:v>
      </x:c>
      <x:c r="J82" s="16" t="n">
        <x:f>H82*I82</x:f>
        <x:v>75000000</x:v>
      </x:c>
      <x:c r="K82" s="13" t="str">
        <x:v>Trung bình</x:v>
      </x:c>
      <x:c r="L82" s="13" t="str">
        <x:v>Hoàn thành</x:v>
      </x:c>
      <x:c r="M82" s="13" t="str"/>
    </x:row>
    <x:row r="83">
      <x:c r="A83" s="13" t="str">
        <x:v>IT-DT-2026-082</x:v>
      </x:c>
      <x:c r="B83" s="13" t="n">
        <x:v>2026</x:v>
      </x:c>
      <x:c r="C83" s="13" t="str">
        <x:v>Q2</x:v>
      </x:c>
      <x:c r="D83" s="13" t="str">
        <x:v>Hệ thống máy chủ</x:v>
      </x:c>
      <x:c r="E83" s="13" t="str">
        <x:v>Lưu trữ NAS/SAN</x:v>
      </x:c>
      <x:c r="F83" s="13" t="str">
        <x:v>Dự toán cho lưu trữ nas/san thuộc chương trình hệ thống máy chủ</x:v>
      </x:c>
      <x:c r="G83" s="13" t="str">
        <x:v>Dịch vụ</x:v>
      </x:c>
      <x:c r="H83" s="18" t="n">
        <x:v>5</x:v>
      </x:c>
      <x:c r="I83" s="16" t="n">
        <x:v>5000000</x:v>
      </x:c>
      <x:c r="J83" s="16" t="n">
        <x:f>H83*I83</x:f>
        <x:v>25000000</x:v>
      </x:c>
      <x:c r="K83" s="13" t="str">
        <x:v>Cao</x:v>
      </x:c>
      <x:c r="L83" s="13" t="str">
        <x:v>Lập kế hoạch</x:v>
      </x:c>
      <x:c r="M83" s="13" t="str"/>
    </x:row>
    <x:row r="84">
      <x:c r="A84" s="13" t="str">
        <x:v>IT-DT-2026-083</x:v>
      </x:c>
      <x:c r="B84" s="13" t="n">
        <x:v>2026</x:v>
      </x:c>
      <x:c r="C84" s="13" t="str">
        <x:v>Q3</x:v>
      </x:c>
      <x:c r="D84" s="13" t="str">
        <x:v>Bảo mật thông tin</x:v>
      </x:c>
      <x:c r="E84" s="13" t="str">
        <x:v>Phần mềm antivirus/EDR</x:v>
      </x:c>
      <x:c r="F84" s="13" t="str">
        <x:v>Dự toán cho phần mềm antivirus/edr thuộc chương trình bảo mật thông tin</x:v>
      </x:c>
      <x:c r="G84" s="13" t="str">
        <x:v>Thiết bị</x:v>
      </x:c>
      <x:c r="H84" s="18" t="n">
        <x:v>10</x:v>
      </x:c>
      <x:c r="I84" s="16" t="n">
        <x:v>40000000</x:v>
      </x:c>
      <x:c r="J84" s="16" t="n">
        <x:f>H84*I84</x:f>
        <x:v>400000000</x:v>
      </x:c>
      <x:c r="K84" s="13" t="str">
        <x:v>Cao</x:v>
      </x:c>
      <x:c r="L84" s="13" t="str">
        <x:v>Hoàn thành</x:v>
      </x:c>
      <x:c r="M84" s="13" t="str"/>
    </x:row>
    <x:row r="85">
      <x:c r="A85" s="13" t="str">
        <x:v>IT-DT-2026-084</x:v>
      </x:c>
      <x:c r="B85" s="13" t="n">
        <x:v>2026</x:v>
      </x:c>
      <x:c r="C85" s="13" t="str">
        <x:v>Q4</x:v>
      </x:c>
      <x:c r="D85" s="13" t="str">
        <x:v>Phần mềm bản quyền</x:v>
      </x:c>
      <x:c r="E85" s="13" t="str">
        <x:v>Zoom/Teams license</x:v>
      </x:c>
      <x:c r="F85" s="13" t="str">
        <x:v>Dự toán cho zoom/teams license thuộc chương trình phần mềm bản quyền</x:v>
      </x:c>
      <x:c r="G85" s="13" t="str">
        <x:v>Gói</x:v>
      </x:c>
      <x:c r="H85" s="18" t="n">
        <x:v>5</x:v>
      </x:c>
      <x:c r="I85" s="16" t="n">
        <x:v>40000000</x:v>
      </x:c>
      <x:c r="J85" s="16" t="n">
        <x:f>H85*I85</x:f>
        <x:v>200000000</x:v>
      </x:c>
      <x:c r="K85" s="13" t="str">
        <x:v>Trung bình</x:v>
      </x:c>
      <x:c r="L85" s="13" t="str">
        <x:v>Đang thực hiện</x:v>
      </x:c>
      <x:c r="M85" s="13" t="str"/>
    </x:row>
    <x:row r="86">
      <x:c r="A86" s="13" t="str">
        <x:v>IT-DT-2026-085</x:v>
      </x:c>
      <x:c r="B86" s="13" t="n">
        <x:v>2026</x:v>
      </x:c>
      <x:c r="C86" s="13" t="str">
        <x:v>Q1</x:v>
      </x:c>
      <x:c r="D86" s="13" t="str">
        <x:v>Hỗ trợ người dùng</x:v>
      </x:c>
      <x:c r="E86" s="13" t="str">
        <x:v>Thiết bị ngoại vi</x:v>
      </x:c>
      <x:c r="F86" s="13" t="str">
        <x:v>Dự toán cho thiết bị ngoại vi thuộc chương trình hỗ trợ người dùng</x:v>
      </x:c>
      <x:c r="G86" s="13" t="str">
        <x:v>License</x:v>
      </x:c>
      <x:c r="H86" s="18" t="n">
        <x:v>20</x:v>
      </x:c>
      <x:c r="I86" s="16" t="n">
        <x:v>25000000</x:v>
      </x:c>
      <x:c r="J86" s="16" t="n">
        <x:f>H86*I86</x:f>
        <x:v>500000000</x:v>
      </x:c>
      <x:c r="K86" s="13" t="str">
        <x:v>Cao</x:v>
      </x:c>
      <x:c r="L86" s="13" t="str">
        <x:v>Đã duyệt</x:v>
      </x:c>
      <x:c r="M86" s="13" t="str"/>
    </x:row>
    <x:row r="87">
      <x:c r="A87" s="13" t="str">
        <x:v>IT-DT-2026-086</x:v>
      </x:c>
      <x:c r="B87" s="13" t="n">
        <x:v>2026</x:v>
      </x:c>
      <x:c r="C87" s="13" t="str">
        <x:v>Q2</x:v>
      </x:c>
      <x:c r="D87" s="13" t="str">
        <x:v>Chuyển đổi số</x:v>
      </x:c>
      <x:c r="E87" s="13" t="str">
        <x:v>Tích hợp API</x:v>
      </x:c>
      <x:c r="F87" s="13" t="str">
        <x:v>Dự toán cho tích hợp api thuộc chương trình chuyển đổi số</x:v>
      </x:c>
      <x:c r="G87" s="13" t="str">
        <x:v>Tháng</x:v>
      </x:c>
      <x:c r="H87" s="18" t="n">
        <x:v>2</x:v>
      </x:c>
      <x:c r="I87" s="16" t="n">
        <x:v>60000000</x:v>
      </x:c>
      <x:c r="J87" s="16" t="n">
        <x:f>H87*I87</x:f>
        <x:v>120000000</x:v>
      </x:c>
      <x:c r="K87" s="13" t="str">
        <x:v>Cao</x:v>
      </x:c>
      <x:c r="L87" s="13" t="str">
        <x:v>Lập kế hoạch</x:v>
      </x:c>
      <x:c r="M87" s="13" t="str"/>
    </x:row>
    <x:row r="88">
      <x:c r="A88" s="13" t="str">
        <x:v>IT-DT-2026-087</x:v>
      </x:c>
      <x:c r="B88" s="13" t="n">
        <x:v>2026</x:v>
      </x:c>
      <x:c r="C88" s="13" t="str">
        <x:v>Q3</x:v>
      </x:c>
      <x:c r="D88" s="13" t="str">
        <x:v>LMS/SIS</x:v>
      </x:c>
      <x:c r="E88" s="13" t="str">
        <x:v>Tối ưu cơ sở dữ liệu</x:v>
      </x:c>
      <x:c r="F88" s="13" t="str">
        <x:v>Dự toán cho tối ưu cơ sở dữ liệu thuộc chương trình lms/sis</x:v>
      </x:c>
      <x:c r="G88" s="13" t="str">
        <x:v>Bộ</x:v>
      </x:c>
      <x:c r="H88" s="18" t="n">
        <x:v>3</x:v>
      </x:c>
      <x:c r="I88" s="16" t="n">
        <x:v>12000000</x:v>
      </x:c>
      <x:c r="J88" s="16" t="n">
        <x:f>H88*I88</x:f>
        <x:v>36000000</x:v>
      </x:c>
      <x:c r="K88" s="13" t="str">
        <x:v>Cao</x:v>
      </x:c>
      <x:c r="L88" s="13" t="str">
        <x:v>Lập kế hoạch</x:v>
      </x:c>
      <x:c r="M88" s="13" t="str"/>
    </x:row>
    <x:row r="89">
      <x:c r="A89" s="13" t="str">
        <x:v>IT-DT-2026-088</x:v>
      </x:c>
      <x:c r="B89" s="13" t="n">
        <x:v>2026</x:v>
      </x:c>
      <x:c r="C89" s="13" t="str">
        <x:v>Q4</x:v>
      </x:c>
      <x:c r="D89" s="13" t="str">
        <x:v>Phòng máy tính</x:v>
      </x:c>
      <x:c r="E89" s="13" t="str">
        <x:v>Thiết bị âm thanh</x:v>
      </x:c>
      <x:c r="F89" s="13" t="str">
        <x:v>Dự toán cho thiết bị âm thanh thuộc chương trình phòng máy tính</x:v>
      </x:c>
      <x:c r="G89" s="13" t="str">
        <x:v>Thiết bị</x:v>
      </x:c>
      <x:c r="H89" s="18" t="n">
        <x:v>2</x:v>
      </x:c>
      <x:c r="I89" s="16" t="n">
        <x:v>120000000</x:v>
      </x:c>
      <x:c r="J89" s="16" t="n">
        <x:f>H89*I89</x:f>
        <x:v>240000000</x:v>
      </x:c>
      <x:c r="K89" s="13" t="str">
        <x:v>Cao</x:v>
      </x:c>
      <x:c r="L89" s="13" t="str">
        <x:v>Tạm hoãn</x:v>
      </x:c>
      <x:c r="M89" s="13" t="str"/>
    </x:row>
    <x:row r="90">
      <x:c r="A90" s="13" t="str">
        <x:v>IT-DT-2026-089</x:v>
      </x:c>
      <x:c r="B90" s="13" t="n">
        <x:v>2026</x:v>
      </x:c>
      <x:c r="C90" s="13" t="str">
        <x:v>Q1</x:v>
      </x:c>
      <x:c r="D90" s="13" t="str">
        <x:v>Hạ tầng mạng</x:v>
      </x:c>
      <x:c r="E90" s="13" t="str">
        <x:v>Nâng cấp switch core</x:v>
      </x:c>
      <x:c r="F90" s="13" t="str">
        <x:v>Dự toán cho nâng cấp switch core thuộc chương trình hạ tầng mạng</x:v>
      </x:c>
      <x:c r="G90" s="13" t="str">
        <x:v>License</x:v>
      </x:c>
      <x:c r="H90" s="18" t="n">
        <x:v>2</x:v>
      </x:c>
      <x:c r="I90" s="16" t="n">
        <x:v>25000000</x:v>
      </x:c>
      <x:c r="J90" s="16" t="n">
        <x:f>H90*I90</x:f>
        <x:v>50000000</x:v>
      </x:c>
      <x:c r="K90" s="13" t="str">
        <x:v>Cao</x:v>
      </x:c>
      <x:c r="L90" s="13" t="str">
        <x:v>Đã duyệt</x:v>
      </x:c>
      <x:c r="M90" s="13" t="str"/>
    </x:row>
    <x:row r="91">
      <x:c r="A91" s="13" t="str">
        <x:v>IT-DT-2026-090</x:v>
      </x:c>
      <x:c r="B91" s="13" t="n">
        <x:v>2026</x:v>
      </x:c>
      <x:c r="C91" s="13" t="str">
        <x:v>Q2</x:v>
      </x:c>
      <x:c r="D91" s="13" t="str">
        <x:v>Hệ thống máy chủ</x:v>
      </x:c>
      <x:c r="E91" s="13" t="str">
        <x:v>Gia hạn bảo hành server</x:v>
      </x:c>
      <x:c r="F91" s="13" t="str">
        <x:v>Dự toán cho gia hạn bảo hành server thuộc chương trình hệ thống máy chủ</x:v>
      </x:c>
      <x:c r="G91" s="13" t="str">
        <x:v>Gói</x:v>
      </x:c>
      <x:c r="H91" s="18" t="n">
        <x:v>5</x:v>
      </x:c>
      <x:c r="I91" s="16" t="n">
        <x:v>120000000</x:v>
      </x:c>
      <x:c r="J91" s="16" t="n">
        <x:f>H91*I91</x:f>
        <x:v>600000000</x:v>
      </x:c>
      <x:c r="K91" s="13" t="str">
        <x:v>Cao</x:v>
      </x:c>
      <x:c r="L91" s="13" t="str">
        <x:v>Đang thực hiện</x:v>
      </x:c>
      <x:c r="M91" s="13" t="str"/>
    </x:row>
    <x:row r="92">
      <x:c r="A92" s="13" t="str">
        <x:v>IT-DT-2026-091</x:v>
      </x:c>
      <x:c r="B92" s="13" t="n">
        <x:v>2026</x:v>
      </x:c>
      <x:c r="C92" s="13" t="str">
        <x:v>Q3</x:v>
      </x:c>
      <x:c r="D92" s="13" t="str">
        <x:v>Bảo mật thông tin</x:v>
      </x:c>
      <x:c r="E92" s="13" t="str">
        <x:v>Kiểm thử xâm nhập</x:v>
      </x:c>
      <x:c r="F92" s="13" t="str">
        <x:v>Dự toán cho kiểm thử xâm nhập thuộc chương trình bảo mật thông tin</x:v>
      </x:c>
      <x:c r="G92" s="13" t="str">
        <x:v>Thiết bị</x:v>
      </x:c>
      <x:c r="H92" s="18" t="n">
        <x:v>3</x:v>
      </x:c>
      <x:c r="I92" s="16" t="n">
        <x:v>40000000</x:v>
      </x:c>
      <x:c r="J92" s="16" t="n">
        <x:f>H92*I92</x:f>
        <x:v>120000000</x:v>
      </x:c>
      <x:c r="K92" s="13" t="str">
        <x:v>Cao</x:v>
      </x:c>
      <x:c r="L92" s="13" t="str">
        <x:v>Đang thực hiện</x:v>
      </x:c>
      <x:c r="M92" s="13" t="str"/>
    </x:row>
    <x:row r="93">
      <x:c r="A93" s="13" t="str">
        <x:v>IT-DT-2026-092</x:v>
      </x:c>
      <x:c r="B93" s="13" t="n">
        <x:v>2026</x:v>
      </x:c>
      <x:c r="C93" s="13" t="str">
        <x:v>Q4</x:v>
      </x:c>
      <x:c r="D93" s="13" t="str">
        <x:v>Phần mềm bản quyền</x:v>
      </x:c>
      <x:c r="E93" s="13" t="str">
        <x:v>Zoom/Teams license</x:v>
      </x:c>
      <x:c r="F93" s="13" t="str">
        <x:v>Dự toán cho zoom/teams license thuộc chương trình phần mềm bản quyền</x:v>
      </x:c>
      <x:c r="G93" s="13" t="str">
        <x:v>Gói</x:v>
      </x:c>
      <x:c r="H93" s="18" t="n">
        <x:v>3</x:v>
      </x:c>
      <x:c r="I93" s="16" t="n">
        <x:v>5000000</x:v>
      </x:c>
      <x:c r="J93" s="16" t="n">
        <x:f>H93*I93</x:f>
        <x:v>15000000</x:v>
      </x:c>
      <x:c r="K93" s="13" t="str">
        <x:v>Cao</x:v>
      </x:c>
      <x:c r="L93" s="13" t="str">
        <x:v>Lập kế hoạch</x:v>
      </x:c>
      <x:c r="M93" s="13" t="str"/>
    </x:row>
    <x:row r="94">
      <x:c r="A94" s="13" t="str">
        <x:v>IT-DT-2026-093</x:v>
      </x:c>
      <x:c r="B94" s="13" t="n">
        <x:v>2026</x:v>
      </x:c>
      <x:c r="C94" s="13" t="str">
        <x:v>Q1</x:v>
      </x:c>
      <x:c r="D94" s="13" t="str">
        <x:v>Hỗ trợ người dùng</x:v>
      </x:c>
      <x:c r="E94" s="13" t="str">
        <x:v>Đào tạo sử dụng hệ thống</x:v>
      </x:c>
      <x:c r="F94" s="13" t="str">
        <x:v>Dự toán cho đào tạo sử dụng hệ thống thuộc chương trình hỗ trợ người dùng</x:v>
      </x:c>
      <x:c r="G94" s="13" t="str">
        <x:v>License</x:v>
      </x:c>
      <x:c r="H94" s="18" t="n">
        <x:v>5</x:v>
      </x:c>
      <x:c r="I94" s="16" t="n">
        <x:v>90000000</x:v>
      </x:c>
      <x:c r="J94" s="16" t="n">
        <x:f>H94*I94</x:f>
        <x:v>450000000</x:v>
      </x:c>
      <x:c r="K94" s="13" t="str">
        <x:v>Trung bình</x:v>
      </x:c>
      <x:c r="L94" s="13" t="str">
        <x:v>Đã duyệt</x:v>
      </x:c>
      <x:c r="M94" s="13" t="str"/>
    </x:row>
    <x:row r="95">
      <x:c r="A95" s="13" t="str">
        <x:v>IT-DT-2026-094</x:v>
      </x:c>
      <x:c r="B95" s="13" t="n">
        <x:v>2026</x:v>
      </x:c>
      <x:c r="C95" s="13" t="str">
        <x:v>Q2</x:v>
      </x:c>
      <x:c r="D95" s="13" t="str">
        <x:v>Chuyển đổi số</x:v>
      </x:c>
      <x:c r="E95" s="13" t="str">
        <x:v>Dashboard quản trị</x:v>
      </x:c>
      <x:c r="F95" s="13" t="str">
        <x:v>Dự toán cho dashboard quản trị thuộc chương trình chuyển đổi số</x:v>
      </x:c>
      <x:c r="G95" s="13" t="str">
        <x:v>License</x:v>
      </x:c>
      <x:c r="H95" s="18" t="n">
        <x:v>2</x:v>
      </x:c>
      <x:c r="I95" s="16" t="n">
        <x:v>8000000</x:v>
      </x:c>
      <x:c r="J95" s="16" t="n">
        <x:f>H95*I95</x:f>
        <x:v>16000000</x:v>
      </x:c>
      <x:c r="K95" s="13" t="str">
        <x:v>Trung bình</x:v>
      </x:c>
      <x:c r="L95" s="13" t="str">
        <x:v>Đã duyệt</x:v>
      </x:c>
      <x:c r="M95" s="13" t="str"/>
    </x:row>
    <x:row r="96">
      <x:c r="A96" s="13" t="str">
        <x:v>IT-DT-2026-095</x:v>
      </x:c>
      <x:c r="B96" s="13" t="n">
        <x:v>2026</x:v>
      </x:c>
      <x:c r="C96" s="13" t="str">
        <x:v>Q3</x:v>
      </x:c>
      <x:c r="D96" s="13" t="str">
        <x:v>LMS/SIS</x:v>
      </x:c>
      <x:c r="E96" s="13" t="str">
        <x:v>Tích hợp SSO</x:v>
      </x:c>
      <x:c r="F96" s="13" t="str">
        <x:v>Dự toán cho tích hợp sso thuộc chương trình lms/sis</x:v>
      </x:c>
      <x:c r="G96" s="13" t="str">
        <x:v>Gói</x:v>
      </x:c>
      <x:c r="H96" s="18" t="n">
        <x:v>50</x:v>
      </x:c>
      <x:c r="I96" s="16" t="n">
        <x:v>8000000</x:v>
      </x:c>
      <x:c r="J96" s="16" t="n">
        <x:f>H96*I96</x:f>
        <x:v>400000000</x:v>
      </x:c>
      <x:c r="K96" s="13" t="str">
        <x:v>Cao</x:v>
      </x:c>
      <x:c r="L96" s="13" t="str">
        <x:v>Đang thực hiện</x:v>
      </x:c>
      <x:c r="M96" s="13" t="str"/>
    </x:row>
    <x:row r="97">
      <x:c r="A97" s="13" t="str">
        <x:v>IT-DT-2026-096</x:v>
      </x:c>
      <x:c r="B97" s="13" t="n">
        <x:v>2026</x:v>
      </x:c>
      <x:c r="C97" s="13" t="str">
        <x:v>Q4</x:v>
      </x:c>
      <x:c r="D97" s="13" t="str">
        <x:v>Phòng máy tính</x:v>
      </x:c>
      <x:c r="E97" s="13" t="str">
        <x:v>Thiết bị âm thanh</x:v>
      </x:c>
      <x:c r="F97" s="13" t="str">
        <x:v>Dự toán cho thiết bị âm thanh thuộc chương trình phòng máy tính</x:v>
      </x:c>
      <x:c r="G97" s="13" t="str">
        <x:v>Dịch vụ</x:v>
      </x:c>
      <x:c r="H97" s="18" t="n">
        <x:v>10</x:v>
      </x:c>
      <x:c r="I97" s="16" t="n">
        <x:v>60000000</x:v>
      </x:c>
      <x:c r="J97" s="16" t="n">
        <x:f>H97*I97</x:f>
        <x:v>600000000</x:v>
      </x:c>
      <x:c r="K97" s="13" t="str">
        <x:v>Cao</x:v>
      </x:c>
      <x:c r="L97" s="13" t="str">
        <x:v>Hoàn thành</x:v>
      </x:c>
      <x:c r="M97" s="13" t="str"/>
    </x:row>
    <x:row r="98">
      <x:c r="A98" s="13" t="str">
        <x:v>IT-DT-2026-097</x:v>
      </x:c>
      <x:c r="B98" s="13" t="n">
        <x:v>2026</x:v>
      </x:c>
      <x:c r="C98" s="13" t="str">
        <x:v>Q1</x:v>
      </x:c>
      <x:c r="D98" s="13" t="str">
        <x:v>Hạ tầng mạng</x:v>
      </x:c>
      <x:c r="E98" s="13" t="str">
        <x:v>Nâng cấp switch core</x:v>
      </x:c>
      <x:c r="F98" s="13" t="str">
        <x:v>Dự toán cho nâng cấp switch core thuộc chương trình hạ tầng mạng</x:v>
      </x:c>
      <x:c r="G98" s="13" t="str">
        <x:v>License</x:v>
      </x:c>
      <x:c r="H98" s="18" t="n">
        <x:v>5</x:v>
      </x:c>
      <x:c r="I98" s="16" t="n">
        <x:v>15000000</x:v>
      </x:c>
      <x:c r="J98" s="16" t="n">
        <x:f>H98*I98</x:f>
        <x:v>75000000</x:v>
      </x:c>
      <x:c r="K98" s="13" t="str">
        <x:v>Thấp</x:v>
      </x:c>
      <x:c r="L98" s="13" t="str">
        <x:v>Đang thực hiện</x:v>
      </x:c>
      <x:c r="M98" s="13" t="str"/>
    </x:row>
    <x:row r="99">
      <x:c r="A99" s="13" t="str">
        <x:v>IT-DT-2026-098</x:v>
      </x:c>
      <x:c r="B99" s="13" t="n">
        <x:v>2026</x:v>
      </x:c>
      <x:c r="C99" s="13" t="str">
        <x:v>Q2</x:v>
      </x:c>
      <x:c r="D99" s="13" t="str">
        <x:v>Hệ thống máy chủ</x:v>
      </x:c>
      <x:c r="E99" s="13" t="str">
        <x:v>Lưu trữ NAS/SAN</x:v>
      </x:c>
      <x:c r="F99" s="13" t="str">
        <x:v>Dự toán cho lưu trữ nas/san thuộc chương trình hệ thống máy chủ</x:v>
      </x:c>
      <x:c r="G99" s="13" t="str">
        <x:v>Tháng</x:v>
      </x:c>
      <x:c r="H99" s="18" t="n">
        <x:v>50</x:v>
      </x:c>
      <x:c r="I99" s="16" t="n">
        <x:v>120000000</x:v>
      </x:c>
      <x:c r="J99" s="16" t="n">
        <x:f>H99*I99</x:f>
        <x:v>6000000000</x:v>
      </x:c>
      <x:c r="K99" s="13" t="str">
        <x:v>Cao</x:v>
      </x:c>
      <x:c r="L99" s="13" t="str">
        <x:v>Lập kế hoạch</x:v>
      </x:c>
      <x:c r="M99" s="13" t="str"/>
    </x:row>
    <x:row r="100">
      <x:c r="A100" s="13" t="str">
        <x:v>IT-DT-2026-099</x:v>
      </x:c>
      <x:c r="B100" s="13" t="n">
        <x:v>2026</x:v>
      </x:c>
      <x:c r="C100" s="13" t="str">
        <x:v>Q3</x:v>
      </x:c>
      <x:c r="D100" s="13" t="str">
        <x:v>Bảo mật thông tin</x:v>
      </x:c>
      <x:c r="E100" s="13" t="str">
        <x:v>Giám sát SOC</x:v>
      </x:c>
      <x:c r="F100" s="13" t="str">
        <x:v>Dự toán cho giám sát soc thuộc chương trình bảo mật thông tin</x:v>
      </x:c>
      <x:c r="G100" s="13" t="str">
        <x:v>Gói</x:v>
      </x:c>
      <x:c r="H100" s="18" t="n">
        <x:v>5</x:v>
      </x:c>
      <x:c r="I100" s="16" t="n">
        <x:v>5000000</x:v>
      </x:c>
      <x:c r="J100" s="16" t="n">
        <x:f>H100*I100</x:f>
        <x:v>25000000</x:v>
      </x:c>
      <x:c r="K100" s="13" t="str">
        <x:v>Trung bình</x:v>
      </x:c>
      <x:c r="L100" s="13" t="str">
        <x:v>Tạm hoãn</x:v>
      </x:c>
      <x:c r="M100" s="13" t="str"/>
    </x:row>
    <x:row r="101">
      <x:c r="A101" s="13" t="str">
        <x:v>IT-DT-2026-100</x:v>
      </x:c>
      <x:c r="B101" s="13" t="n">
        <x:v>2026</x:v>
      </x:c>
      <x:c r="C101" s="13" t="str">
        <x:v>Q4</x:v>
      </x:c>
      <x:c r="D101" s="13" t="str">
        <x:v>Phần mềm bản quyền</x:v>
      </x:c>
      <x:c r="E101" s="13" t="str">
        <x:v>Microsoft 365</x:v>
      </x:c>
      <x:c r="F101" s="13" t="str">
        <x:v>Dự toán cho microsoft 365 thuộc chương trình phần mềm bản quyền</x:v>
      </x:c>
      <x:c r="G101" s="13" t="str">
        <x:v>Gói</x:v>
      </x:c>
      <x:c r="H101" s="18" t="n">
        <x:v>2</x:v>
      </x:c>
      <x:c r="I101" s="16" t="n">
        <x:v>12000000</x:v>
      </x:c>
      <x:c r="J101" s="16" t="n">
        <x:f>H101*I101</x:f>
        <x:v>24000000</x:v>
      </x:c>
      <x:c r="K101" s="13" t="str">
        <x:v>Cao</x:v>
      </x:c>
      <x:c r="L101" s="13" t="str">
        <x:v>Đã duyệt</x:v>
      </x:c>
      <x:c r="M101" s="13" t="str"/>
    </x:row>
    <x:row r="102">
      <x:c r="A102" s="13" t="str">
        <x:v>IT-DT-2026-101</x:v>
      </x:c>
      <x:c r="B102" s="13" t="n">
        <x:v>2026</x:v>
      </x:c>
      <x:c r="C102" s="13" t="str">
        <x:v>Q1</x:v>
      </x:c>
      <x:c r="D102" s="13" t="str">
        <x:v>Hỗ trợ người dùng</x:v>
      </x:c>
      <x:c r="E102" s="13" t="str">
        <x:v>Thiết bị ngoại vi</x:v>
      </x:c>
      <x:c r="F102" s="13" t="str">
        <x:v>Dự toán cho thiết bị ngoại vi thuộc chương trình hỗ trợ người dùng</x:v>
      </x:c>
      <x:c r="G102" s="13" t="str">
        <x:v>License</x:v>
      </x:c>
      <x:c r="H102" s="18" t="n">
        <x:v>50</x:v>
      </x:c>
      <x:c r="I102" s="16" t="n">
        <x:v>3000000</x:v>
      </x:c>
      <x:c r="J102" s="16" t="n">
        <x:f>H102*I102</x:f>
        <x:v>150000000</x:v>
      </x:c>
      <x:c r="K102" s="13" t="str">
        <x:v>Cao</x:v>
      </x:c>
      <x:c r="L102" s="13" t="str">
        <x:v>Đã duyệt</x:v>
      </x:c>
      <x:c r="M102" s="13" t="str"/>
    </x:row>
    <x:row r="103">
      <x:c r="A103" s="13" t="str">
        <x:v>IT-DT-2026-102</x:v>
      </x:c>
      <x:c r="B103" s="13" t="n">
        <x:v>2026</x:v>
      </x:c>
      <x:c r="C103" s="13" t="str">
        <x:v>Q2</x:v>
      </x:c>
      <x:c r="D103" s="13" t="str">
        <x:v>Chuyển đổi số</x:v>
      </x:c>
      <x:c r="E103" s="13" t="str">
        <x:v>Tự động hóa quy trình</x:v>
      </x:c>
      <x:c r="F103" s="13" t="str">
        <x:v>Dự toán cho tự động hóa quy trình thuộc chương trình chuyển đổi số</x:v>
      </x:c>
      <x:c r="G103" s="13" t="str">
        <x:v>Thiết bị</x:v>
      </x:c>
      <x:c r="H103" s="18" t="n">
        <x:v>200</x:v>
      </x:c>
      <x:c r="I103" s="16" t="n">
        <x:v>120000000</x:v>
      </x:c>
      <x:c r="J103" s="16" t="n">
        <x:f>H103*I103</x:f>
        <x:v>24000000000</x:v>
      </x:c>
      <x:c r="K103" s="13" t="str">
        <x:v>Trung bình</x:v>
      </x:c>
      <x:c r="L103" s="13" t="str">
        <x:v>Lập kế hoạch</x:v>
      </x:c>
      <x:c r="M103" s="13" t="str"/>
    </x:row>
    <x:row r="104">
      <x:c r="A104" s="13" t="str">
        <x:v>IT-DT-2026-103</x:v>
      </x:c>
      <x:c r="B104" s="13" t="n">
        <x:v>2026</x:v>
      </x:c>
      <x:c r="C104" s="13" t="str">
        <x:v>Q3</x:v>
      </x:c>
      <x:c r="D104" s="13" t="str">
        <x:v>LMS/SIS</x:v>
      </x:c>
      <x:c r="E104" s="13" t="str">
        <x:v>Bảo trì LMS</x:v>
      </x:c>
      <x:c r="F104" s="13" t="str">
        <x:v>Dự toán cho bảo trì lms thuộc chương trình lms/sis</x:v>
      </x:c>
      <x:c r="G104" s="13" t="str">
        <x:v>Thiết bị</x:v>
      </x:c>
      <x:c r="H104" s="18" t="n">
        <x:v>200</x:v>
      </x:c>
      <x:c r="I104" s="16" t="n">
        <x:v>120000000</x:v>
      </x:c>
      <x:c r="J104" s="16" t="n">
        <x:f>H104*I104</x:f>
        <x:v>24000000000</x:v>
      </x:c>
      <x:c r="K104" s="13" t="str">
        <x:v>Trung bình</x:v>
      </x:c>
      <x:c r="L104" s="13" t="str">
        <x:v>Tạm hoãn</x:v>
      </x:c>
      <x:c r="M104" s="13" t="str"/>
    </x:row>
    <x:row r="105">
      <x:c r="A105" s="13" t="str">
        <x:v>IT-DT-2026-104</x:v>
      </x:c>
      <x:c r="B105" s="13" t="n">
        <x:v>2026</x:v>
      </x:c>
      <x:c r="C105" s="13" t="str">
        <x:v>Q4</x:v>
      </x:c>
      <x:c r="D105" s="13" t="str">
        <x:v>Phòng máy tính</x:v>
      </x:c>
      <x:c r="E105" s="13" t="str">
        <x:v>Máy chiếu/màn hình</x:v>
      </x:c>
      <x:c r="F105" s="13" t="str">
        <x:v>Dự toán cho máy chiếu/màn hình thuộc chương trình phòng máy tính</x:v>
      </x:c>
      <x:c r="G105" s="13" t="str">
        <x:v>Tháng</x:v>
      </x:c>
      <x:c r="H105" s="18" t="n">
        <x:v>50</x:v>
      </x:c>
      <x:c r="I105" s="16" t="n">
        <x:v>60000000</x:v>
      </x:c>
      <x:c r="J105" s="16" t="n">
        <x:f>H105*I105</x:f>
        <x:v>3000000000</x:v>
      </x:c>
      <x:c r="K105" s="13" t="str">
        <x:v>Thấp</x:v>
      </x:c>
      <x:c r="L105" s="13" t="str">
        <x:v>Hoàn thành</x:v>
      </x:c>
      <x:c r="M105" s="13" t="str"/>
    </x:row>
    <x:row r="106">
      <x:c r="A106" s="13" t="str">
        <x:v>IT-DT-2026-105</x:v>
      </x:c>
      <x:c r="B106" s="13" t="n">
        <x:v>2026</x:v>
      </x:c>
      <x:c r="C106" s="13" t="str">
        <x:v>Q1</x:v>
      </x:c>
      <x:c r="D106" s="13" t="str">
        <x:v>Hạ tầng mạng</x:v>
      </x:c>
      <x:c r="E106" s="13" t="str">
        <x:v>Nâng cấp switch core</x:v>
      </x:c>
      <x:c r="F106" s="13" t="str">
        <x:v>Dự toán cho nâng cấp switch core thuộc chương trình hạ tầng mạng</x:v>
      </x:c>
      <x:c r="G106" s="13" t="str">
        <x:v>Tháng</x:v>
      </x:c>
      <x:c r="H106" s="18" t="n">
        <x:v>50</x:v>
      </x:c>
      <x:c r="I106" s="16" t="n">
        <x:v>60000000</x:v>
      </x:c>
      <x:c r="J106" s="16" t="n">
        <x:f>H106*I106</x:f>
        <x:v>3000000000</x:v>
      </x:c>
      <x:c r="K106" s="13" t="str">
        <x:v>Cao</x:v>
      </x:c>
      <x:c r="L106" s="13" t="str">
        <x:v>Đã duyệt</x:v>
      </x:c>
      <x:c r="M106" s="13" t="str"/>
    </x:row>
    <x:row r="107">
      <x:c r="A107" s="13" t="str">
        <x:v>IT-DT-2026-106</x:v>
      </x:c>
      <x:c r="B107" s="13" t="n">
        <x:v>2026</x:v>
      </x:c>
      <x:c r="C107" s="13" t="str">
        <x:v>Q2</x:v>
      </x:c>
      <x:c r="D107" s="13" t="str">
        <x:v>Hệ thống máy chủ</x:v>
      </x:c>
      <x:c r="E107" s="13" t="str">
        <x:v>Backup server</x:v>
      </x:c>
      <x:c r="F107" s="13" t="str">
        <x:v>Dự toán cho backup server thuộc chương trình hệ thống máy chủ</x:v>
      </x:c>
      <x:c r="G107" s="13" t="str">
        <x:v>Tháng</x:v>
      </x:c>
      <x:c r="H107" s="18" t="n">
        <x:v>20</x:v>
      </x:c>
      <x:c r="I107" s="16" t="n">
        <x:v>90000000</x:v>
      </x:c>
      <x:c r="J107" s="16" t="n">
        <x:f>H107*I107</x:f>
        <x:v>1800000000</x:v>
      </x:c>
      <x:c r="K107" s="13" t="str">
        <x:v>Cao</x:v>
      </x:c>
      <x:c r="L107" s="13" t="str">
        <x:v>Đang thực hiện</x:v>
      </x:c>
      <x:c r="M107" s="13" t="str"/>
    </x:row>
    <x:row r="108">
      <x:c r="A108" s="13" t="str">
        <x:v>IT-DT-2026-107</x:v>
      </x:c>
      <x:c r="B108" s="13" t="n">
        <x:v>2026</x:v>
      </x:c>
      <x:c r="C108" s="13" t="str">
        <x:v>Q3</x:v>
      </x:c>
      <x:c r="D108" s="13" t="str">
        <x:v>Bảo mật thông tin</x:v>
      </x:c>
      <x:c r="E108" s="13" t="str">
        <x:v>Đào tạo an toàn thông tin</x:v>
      </x:c>
      <x:c r="F108" s="13" t="str">
        <x:v>Dự toán cho đào tạo an toàn thông tin thuộc chương trình bảo mật thông tin</x:v>
      </x:c>
      <x:c r="G108" s="13" t="str">
        <x:v>Gói</x:v>
      </x:c>
      <x:c r="H108" s="18" t="n">
        <x:v>10</x:v>
      </x:c>
      <x:c r="I108" s="16" t="n">
        <x:v>3000000</x:v>
      </x:c>
      <x:c r="J108" s="16" t="n">
        <x:f>H108*I108</x:f>
        <x:v>30000000</x:v>
      </x:c>
      <x:c r="K108" s="13" t="str">
        <x:v>Cao</x:v>
      </x:c>
      <x:c r="L108" s="13" t="str">
        <x:v>Lập kế hoạch</x:v>
      </x:c>
      <x:c r="M108" s="13" t="str"/>
    </x:row>
    <x:row r="109">
      <x:c r="A109" s="13" t="str">
        <x:v>IT-DT-2026-108</x:v>
      </x:c>
      <x:c r="B109" s="13" t="n">
        <x:v>2026</x:v>
      </x:c>
      <x:c r="C109" s="13" t="str">
        <x:v>Q4</x:v>
      </x:c>
      <x:c r="D109" s="13" t="str">
        <x:v>Phần mềm bản quyền</x:v>
      </x:c>
      <x:c r="E109" s="13" t="str">
        <x:v>Zoom/Teams license</x:v>
      </x:c>
      <x:c r="F109" s="13" t="str">
        <x:v>Dự toán cho zoom/teams license thuộc chương trình phần mềm bản quyền</x:v>
      </x:c>
      <x:c r="G109" s="13" t="str">
        <x:v>Thiết bị</x:v>
      </x:c>
      <x:c r="H109" s="18" t="n">
        <x:v>50</x:v>
      </x:c>
      <x:c r="I109" s="16" t="n">
        <x:v>40000000</x:v>
      </x:c>
      <x:c r="J109" s="16" t="n">
        <x:f>H109*I109</x:f>
        <x:v>2000000000</x:v>
      </x:c>
      <x:c r="K109" s="13" t="str">
        <x:v>Cao</x:v>
      </x:c>
      <x:c r="L109" s="13" t="str">
        <x:v>Đã duyệt</x:v>
      </x:c>
      <x:c r="M109" s="13" t="str"/>
    </x:row>
    <x:row r="110">
      <x:c r="A110" s="13" t="str">
        <x:v>IT-DT-2026-109</x:v>
      </x:c>
      <x:c r="B110" s="13" t="n">
        <x:v>2026</x:v>
      </x:c>
      <x:c r="C110" s="13" t="str">
        <x:v>Q1</x:v>
      </x:c>
      <x:c r="D110" s="13" t="str">
        <x:v>Hỗ trợ người dùng</x:v>
      </x:c>
      <x:c r="E110" s="13" t="str">
        <x:v>Máy tính cho cán bộ</x:v>
      </x:c>
      <x:c r="F110" s="13" t="str">
        <x:v>Dự toán cho máy tính cho cán bộ thuộc chương trình hỗ trợ người dùng</x:v>
      </x:c>
      <x:c r="G110" s="13" t="str">
        <x:v>Dịch vụ</x:v>
      </x:c>
      <x:c r="H110" s="18" t="n">
        <x:v>20</x:v>
      </x:c>
      <x:c r="I110" s="16" t="n">
        <x:v>5000000</x:v>
      </x:c>
      <x:c r="J110" s="16" t="n">
        <x:f>H110*I110</x:f>
        <x:v>100000000</x:v>
      </x:c>
      <x:c r="K110" s="13" t="str">
        <x:v>Trung bình</x:v>
      </x:c>
      <x:c r="L110" s="13" t="str">
        <x:v>Lập kế hoạch</x:v>
      </x:c>
      <x:c r="M110" s="13" t="str"/>
    </x:row>
    <x:row r="111">
      <x:c r="A111" s="13" t="str">
        <x:v>IT-DT-2026-110</x:v>
      </x:c>
      <x:c r="B111" s="13" t="n">
        <x:v>2026</x:v>
      </x:c>
      <x:c r="C111" s="13" t="str">
        <x:v>Q2</x:v>
      </x:c>
      <x:c r="D111" s="13" t="str">
        <x:v>Chuyển đổi số</x:v>
      </x:c>
      <x:c r="E111" s="13" t="str">
        <x:v>Tự động hóa quy trình</x:v>
      </x:c>
      <x:c r="F111" s="13" t="str">
        <x:v>Dự toán cho tự động hóa quy trình thuộc chương trình chuyển đổi số</x:v>
      </x:c>
      <x:c r="G111" s="13" t="str">
        <x:v>Dịch vụ</x:v>
      </x:c>
      <x:c r="H111" s="18" t="n">
        <x:v>10</x:v>
      </x:c>
      <x:c r="I111" s="16" t="n">
        <x:v>12000000</x:v>
      </x:c>
      <x:c r="J111" s="16" t="n">
        <x:f>H111*I111</x:f>
        <x:v>120000000</x:v>
      </x:c>
      <x:c r="K111" s="13" t="str">
        <x:v>Cao</x:v>
      </x:c>
      <x:c r="L111" s="13" t="str">
        <x:v>Lập kế hoạch</x:v>
      </x:c>
      <x:c r="M111" s="13" t="str"/>
    </x:row>
    <x:row r="112">
      <x:c r="A112" s="13" t="str">
        <x:v>IT-DT-2026-111</x:v>
      </x:c>
      <x:c r="B112" s="13" t="n">
        <x:v>2026</x:v>
      </x:c>
      <x:c r="C112" s="13" t="str">
        <x:v>Q3</x:v>
      </x:c>
      <x:c r="D112" s="13" t="str">
        <x:v>LMS/SIS</x:v>
      </x:c>
      <x:c r="E112" s="13" t="str">
        <x:v>Tối ưu cơ sở dữ liệu</x:v>
      </x:c>
      <x:c r="F112" s="13" t="str">
        <x:v>Dự toán cho tối ưu cơ sở dữ liệu thuộc chương trình lms/sis</x:v>
      </x:c>
      <x:c r="G112" s="13" t="str">
        <x:v>Tháng</x:v>
      </x:c>
      <x:c r="H112" s="18" t="n">
        <x:v>3</x:v>
      </x:c>
      <x:c r="I112" s="16" t="n">
        <x:v>12000000</x:v>
      </x:c>
      <x:c r="J112" s="16" t="n">
        <x:f>H112*I112</x:f>
        <x:v>36000000</x:v>
      </x:c>
      <x:c r="K112" s="13" t="str">
        <x:v>Trung bình</x:v>
      </x:c>
      <x:c r="L112" s="13" t="str">
        <x:v>Lập kế hoạch</x:v>
      </x:c>
      <x:c r="M112" s="13" t="str"/>
    </x:row>
    <x:row r="113">
      <x:c r="A113" s="13" t="str">
        <x:v>IT-DT-2026-112</x:v>
      </x:c>
      <x:c r="B113" s="13" t="n">
        <x:v>2026</x:v>
      </x:c>
      <x:c r="C113" s="13" t="str">
        <x:v>Q4</x:v>
      </x:c>
      <x:c r="D113" s="13" t="str">
        <x:v>Phòng máy tính</x:v>
      </x:c>
      <x:c r="E113" s="13" t="str">
        <x:v>Bảo trì phòng lab</x:v>
      </x:c>
      <x:c r="F113" s="13" t="str">
        <x:v>Dự toán cho bảo trì phòng lab thuộc chương trình phòng máy tính</x:v>
      </x:c>
      <x:c r="G113" s="13" t="str">
        <x:v>Tháng</x:v>
      </x:c>
      <x:c r="H113" s="18" t="n">
        <x:v>100</x:v>
      </x:c>
      <x:c r="I113" s="16" t="n">
        <x:v>5000000</x:v>
      </x:c>
      <x:c r="J113" s="16" t="n">
        <x:f>H113*I113</x:f>
        <x:v>500000000</x:v>
      </x:c>
      <x:c r="K113" s="13" t="str">
        <x:v>Cao</x:v>
      </x:c>
      <x:c r="L113" s="13" t="str">
        <x:v>Lập kế hoạch</x:v>
      </x:c>
      <x:c r="M113" s="13" t="str"/>
    </x:row>
    <x:row r="114">
      <x:c r="A114" s="13" t="str">
        <x:v>IT-DT-2026-113</x:v>
      </x:c>
      <x:c r="B114" s="13" t="n">
        <x:v>2026</x:v>
      </x:c>
      <x:c r="C114" s="13" t="str">
        <x:v>Q1</x:v>
      </x:c>
      <x:c r="D114" s="13" t="str">
        <x:v>Hạ tầng mạng</x:v>
      </x:c>
      <x:c r="E114" s="13" t="str">
        <x:v>Thiết bị firewall</x:v>
      </x:c>
      <x:c r="F114" s="13" t="str">
        <x:v>Dự toán cho thiết bị firewall thuộc chương trình hạ tầng mạng</x:v>
      </x:c>
      <x:c r="G114" s="13" t="str">
        <x:v>Thiết bị</x:v>
      </x:c>
      <x:c r="H114" s="18" t="n">
        <x:v>2</x:v>
      </x:c>
      <x:c r="I114" s="16" t="n">
        <x:v>25000000</x:v>
      </x:c>
      <x:c r="J114" s="16" t="n">
        <x:f>H114*I114</x:f>
        <x:v>50000000</x:v>
      </x:c>
      <x:c r="K114" s="13" t="str">
        <x:v>Cao</x:v>
      </x:c>
      <x:c r="L114" s="13" t="str">
        <x:v>Đang thực hiện</x:v>
      </x:c>
      <x:c r="M114" s="13" t="str"/>
    </x:row>
    <x:row r="115">
      <x:c r="A115" s="13" t="str">
        <x:v>IT-DT-2026-114</x:v>
      </x:c>
      <x:c r="B115" s="13" t="n">
        <x:v>2026</x:v>
      </x:c>
      <x:c r="C115" s="13" t="str">
        <x:v>Q2</x:v>
      </x:c>
      <x:c r="D115" s="13" t="str">
        <x:v>Hệ thống máy chủ</x:v>
      </x:c>
      <x:c r="E115" s="13" t="str">
        <x:v>Backup server</x:v>
      </x:c>
      <x:c r="F115" s="13" t="str">
        <x:v>Dự toán cho backup server thuộc chương trình hệ thống máy chủ</x:v>
      </x:c>
      <x:c r="G115" s="13" t="str">
        <x:v>Bộ</x:v>
      </x:c>
      <x:c r="H115" s="18" t="n">
        <x:v>50</x:v>
      </x:c>
      <x:c r="I115" s="16" t="n">
        <x:v>25000000</x:v>
      </x:c>
      <x:c r="J115" s="16" t="n">
        <x:f>H115*I115</x:f>
        <x:v>1250000000</x:v>
      </x:c>
      <x:c r="K115" s="13" t="str">
        <x:v>Trung bình</x:v>
      </x:c>
      <x:c r="L115" s="13" t="str">
        <x:v>Đã duyệt</x:v>
      </x:c>
      <x:c r="M115" s="13" t="str"/>
    </x:row>
    <x:row r="116">
      <x:c r="A116" s="13" t="str">
        <x:v>IT-DT-2026-115</x:v>
      </x:c>
      <x:c r="B116" s="13" t="n">
        <x:v>2026</x:v>
      </x:c>
      <x:c r="C116" s="13" t="str">
        <x:v>Q3</x:v>
      </x:c>
      <x:c r="D116" s="13" t="str">
        <x:v>Bảo mật thông tin</x:v>
      </x:c>
      <x:c r="E116" s="13" t="str">
        <x:v>Đào tạo an toàn thông tin</x:v>
      </x:c>
      <x:c r="F116" s="13" t="str">
        <x:v>Dự toán cho đào tạo an toàn thông tin thuộc chương trình bảo mật thông tin</x:v>
      </x:c>
      <x:c r="G116" s="13" t="str">
        <x:v>License</x:v>
      </x:c>
      <x:c r="H116" s="18" t="n">
        <x:v>3</x:v>
      </x:c>
      <x:c r="I116" s="16" t="n">
        <x:v>12000000</x:v>
      </x:c>
      <x:c r="J116" s="16" t="n">
        <x:f>H116*I116</x:f>
        <x:v>36000000</x:v>
      </x:c>
      <x:c r="K116" s="13" t="str">
        <x:v>Cao</x:v>
      </x:c>
      <x:c r="L116" s="13" t="str">
        <x:v>Đã duyệt</x:v>
      </x:c>
      <x:c r="M116" s="13" t="str"/>
    </x:row>
    <x:row r="117">
      <x:c r="A117" s="13" t="str">
        <x:v>IT-DT-2026-116</x:v>
      </x:c>
      <x:c r="B117" s="13" t="n">
        <x:v>2026</x:v>
      </x:c>
      <x:c r="C117" s="13" t="str">
        <x:v>Q4</x:v>
      </x:c>
      <x:c r="D117" s="13" t="str">
        <x:v>Phần mềm bản quyền</x:v>
      </x:c>
      <x:c r="E117" s="13" t="str">
        <x:v>Adobe license</x:v>
      </x:c>
      <x:c r="F117" s="13" t="str">
        <x:v>Dự toán cho adobe license thuộc chương trình phần mềm bản quyền</x:v>
      </x:c>
      <x:c r="G117" s="13" t="str">
        <x:v>Dịch vụ</x:v>
      </x:c>
      <x:c r="H117" s="18" t="n">
        <x:v>10</x:v>
      </x:c>
      <x:c r="I117" s="16" t="n">
        <x:v>15000000</x:v>
      </x:c>
      <x:c r="J117" s="16" t="n">
        <x:f>H117*I117</x:f>
        <x:v>150000000</x:v>
      </x:c>
      <x:c r="K117" s="13" t="str">
        <x:v>Trung bình</x:v>
      </x:c>
      <x:c r="L117" s="13" t="str">
        <x:v>Đang thực hiện</x:v>
      </x:c>
      <x:c r="M117" s="13" t="str"/>
    </x:row>
    <x:row r="118">
      <x:c r="A118" s="13" t="str">
        <x:v>IT-DT-2026-117</x:v>
      </x:c>
      <x:c r="B118" s="13" t="n">
        <x:v>2026</x:v>
      </x:c>
      <x:c r="C118" s="13" t="str">
        <x:v>Q1</x:v>
      </x:c>
      <x:c r="D118" s="13" t="str">
        <x:v>Hỗ trợ người dùng</x:v>
      </x:c>
      <x:c r="E118" s="13" t="str">
        <x:v>Thiết bị ngoại vi</x:v>
      </x:c>
      <x:c r="F118" s="13" t="str">
        <x:v>Dự toán cho thiết bị ngoại vi thuộc chương trình hỗ trợ người dùng</x:v>
      </x:c>
      <x:c r="G118" s="13" t="str">
        <x:v>Dịch vụ</x:v>
      </x:c>
      <x:c r="H118" s="18" t="n">
        <x:v>10</x:v>
      </x:c>
      <x:c r="I118" s="16" t="n">
        <x:v>12000000</x:v>
      </x:c>
      <x:c r="J118" s="16" t="n">
        <x:f>H118*I118</x:f>
        <x:v>120000000</x:v>
      </x:c>
      <x:c r="K118" s="13" t="str">
        <x:v>Cao</x:v>
      </x:c>
      <x:c r="L118" s="13" t="str">
        <x:v>Lập kế hoạch</x:v>
      </x:c>
      <x:c r="M118" s="13" t="str"/>
    </x:row>
    <x:row r="119">
      <x:c r="A119" s="13" t="str">
        <x:v>IT-DT-2026-118</x:v>
      </x:c>
      <x:c r="B119" s="13" t="n">
        <x:v>2026</x:v>
      </x:c>
      <x:c r="C119" s="13" t="str">
        <x:v>Q2</x:v>
      </x:c>
      <x:c r="D119" s="13" t="str">
        <x:v>Chuyển đổi số</x:v>
      </x:c>
      <x:c r="E119" s="13" t="str">
        <x:v>Tích hợp API</x:v>
      </x:c>
      <x:c r="F119" s="13" t="str">
        <x:v>Dự toán cho tích hợp api thuộc chương trình chuyển đổi số</x:v>
      </x:c>
      <x:c r="G119" s="13" t="str">
        <x:v>Gói</x:v>
      </x:c>
      <x:c r="H119" s="18" t="n">
        <x:v>1</x:v>
      </x:c>
      <x:c r="I119" s="16" t="n">
        <x:v>3000000</x:v>
      </x:c>
      <x:c r="J119" s="16" t="n">
        <x:f>H119*I119</x:f>
        <x:v>3000000</x:v>
      </x:c>
      <x:c r="K119" s="13" t="str">
        <x:v>Cao</x:v>
      </x:c>
      <x:c r="L119" s="13" t="str">
        <x:v>Đã duyệt</x:v>
      </x:c>
      <x:c r="M119" s="13" t="str"/>
    </x:row>
    <x:row r="120">
      <x:c r="A120" s="13" t="str">
        <x:v>IT-DT-2026-119</x:v>
      </x:c>
      <x:c r="B120" s="13" t="n">
        <x:v>2026</x:v>
      </x:c>
      <x:c r="C120" s="13" t="str">
        <x:v>Q3</x:v>
      </x:c>
      <x:c r="D120" s="13" t="str">
        <x:v>LMS/SIS</x:v>
      </x:c>
      <x:c r="E120" s="13" t="str">
        <x:v>Bảo trì LMS</x:v>
      </x:c>
      <x:c r="F120" s="13" t="str">
        <x:v>Dự toán cho bảo trì lms thuộc chương trình lms/sis</x:v>
      </x:c>
      <x:c r="G120" s="13" t="str">
        <x:v>Gói</x:v>
      </x:c>
      <x:c r="H120" s="18" t="n">
        <x:v>2</x:v>
      </x:c>
      <x:c r="I120" s="16" t="n">
        <x:v>12000000</x:v>
      </x:c>
      <x:c r="J120" s="16" t="n">
        <x:f>H120*I120</x:f>
        <x:v>24000000</x:v>
      </x:c>
      <x:c r="K120" s="13" t="str">
        <x:v>Cao</x:v>
      </x:c>
      <x:c r="L120" s="13" t="str">
        <x:v>Lập kế hoạch</x:v>
      </x:c>
      <x:c r="M120" s="13" t="str"/>
    </x:row>
    <x:row r="121">
      <x:c r="A121" s="13" t="str">
        <x:v>IT-DT-2026-120</x:v>
      </x:c>
      <x:c r="B121" s="13" t="n">
        <x:v>2026</x:v>
      </x:c>
      <x:c r="C121" s="13" t="str">
        <x:v>Q4</x:v>
      </x:c>
      <x:c r="D121" s="13" t="str">
        <x:v>Phòng máy tính</x:v>
      </x:c>
      <x:c r="E121" s="13" t="str">
        <x:v>Máy chiếu/màn hình</x:v>
      </x:c>
      <x:c r="F121" s="13" t="str">
        <x:v>Dự toán cho máy chiếu/màn hình thuộc chương trình phòng máy tính</x:v>
      </x:c>
      <x:c r="G121" s="13" t="str">
        <x:v>Thiết bị</x:v>
      </x:c>
      <x:c r="H121" s="18" t="n">
        <x:v>200</x:v>
      </x:c>
      <x:c r="I121" s="16" t="n">
        <x:v>12000000</x:v>
      </x:c>
      <x:c r="J121" s="16" t="n">
        <x:f>H121*I121</x:f>
        <x:v>2400000000</x:v>
      </x:c>
      <x:c r="K121" s="13" t="str">
        <x:v>Trung bình</x:v>
      </x:c>
      <x:c r="L121" s="13" t="str">
        <x:v>Đã duyệt</x:v>
      </x:c>
      <x:c r="M121" s="13" t="str"/>
    </x:row>
    <x:row r="122">
      <x:c r="A122" s="13" t="str">
        <x:v>IT-DT-2026-121</x:v>
      </x:c>
      <x:c r="B122" s="13" t="n">
        <x:v>2026</x:v>
      </x:c>
      <x:c r="C122" s="13" t="str">
        <x:v>Q1</x:v>
      </x:c>
      <x:c r="D122" s="13" t="str">
        <x:v>Hạ tầng mạng</x:v>
      </x:c>
      <x:c r="E122" s="13" t="str">
        <x:v>Wi-Fi access point</x:v>
      </x:c>
      <x:c r="F122" s="13" t="str">
        <x:v>Dự toán cho wi-fi access point thuộc chương trình hạ tầng mạng</x:v>
      </x:c>
      <x:c r="G122" s="13" t="str">
        <x:v>Gói</x:v>
      </x:c>
      <x:c r="H122" s="18" t="n">
        <x:v>5</x:v>
      </x:c>
      <x:c r="I122" s="16" t="n">
        <x:v>25000000</x:v>
      </x:c>
      <x:c r="J122" s="16" t="n">
        <x:f>H122*I122</x:f>
        <x:v>125000000</x:v>
      </x:c>
      <x:c r="K122" s="13" t="str">
        <x:v>Cao</x:v>
      </x:c>
      <x:c r="L122" s="13" t="str">
        <x:v>Đang thực hiện</x:v>
      </x:c>
      <x:c r="M122" s="13" t="str"/>
    </x:row>
    <x:row r="123">
      <x:c r="A123" s="13" t="str">
        <x:v>IT-DT-2026-122</x:v>
      </x:c>
      <x:c r="B123" s="13" t="n">
        <x:v>2026</x:v>
      </x:c>
      <x:c r="C123" s="13" t="str">
        <x:v>Q2</x:v>
      </x:c>
      <x:c r="D123" s="13" t="str">
        <x:v>Hệ thống máy chủ</x:v>
      </x:c>
      <x:c r="E123" s="13" t="str">
        <x:v>Máy chủ ứng dụng</x:v>
      </x:c>
      <x:c r="F123" s="13" t="str">
        <x:v>Dự toán cho máy chủ ứng dụng thuộc chương trình hệ thống máy chủ</x:v>
      </x:c>
      <x:c r="G123" s="13" t="str">
        <x:v>Thiết bị</x:v>
      </x:c>
      <x:c r="H123" s="18" t="n">
        <x:v>100</x:v>
      </x:c>
      <x:c r="I123" s="16" t="n">
        <x:v>120000000</x:v>
      </x:c>
      <x:c r="J123" s="16" t="n">
        <x:f>H123*I123</x:f>
        <x:v>12000000000</x:v>
      </x:c>
      <x:c r="K123" s="13" t="str">
        <x:v>Trung bình</x:v>
      </x:c>
      <x:c r="L123" s="13" t="str">
        <x:v>Đang thực hiện</x:v>
      </x:c>
      <x:c r="M123" s="13" t="str"/>
    </x:row>
    <x:row r="124">
      <x:c r="A124" s="13" t="str">
        <x:v>IT-DT-2026-123</x:v>
      </x:c>
      <x:c r="B124" s="13" t="n">
        <x:v>2026</x:v>
      </x:c>
      <x:c r="C124" s="13" t="str">
        <x:v>Q3</x:v>
      </x:c>
      <x:c r="D124" s="13" t="str">
        <x:v>Bảo mật thông tin</x:v>
      </x:c>
      <x:c r="E124" s="13" t="str">
        <x:v>Giám sát SOC</x:v>
      </x:c>
      <x:c r="F124" s="13" t="str">
        <x:v>Dự toán cho giám sát soc thuộc chương trình bảo mật thông tin</x:v>
      </x:c>
      <x:c r="G124" s="13" t="str">
        <x:v>Dịch vụ</x:v>
      </x:c>
      <x:c r="H124" s="18" t="n">
        <x:v>10</x:v>
      </x:c>
      <x:c r="I124" s="16" t="n">
        <x:v>40000000</x:v>
      </x:c>
      <x:c r="J124" s="16" t="n">
        <x:f>H124*I124</x:f>
        <x:v>400000000</x:v>
      </x:c>
      <x:c r="K124" s="13" t="str">
        <x:v>Trung bình</x:v>
      </x:c>
      <x:c r="L124" s="13" t="str">
        <x:v>Đã duyệt</x:v>
      </x:c>
      <x:c r="M124" s="13" t="str"/>
    </x:row>
    <x:row r="125">
      <x:c r="A125" s="13" t="str">
        <x:v>IT-DT-2026-124</x:v>
      </x:c>
      <x:c r="B125" s="13" t="n">
        <x:v>2026</x:v>
      </x:c>
      <x:c r="C125" s="13" t="str">
        <x:v>Q4</x:v>
      </x:c>
      <x:c r="D125" s="13" t="str">
        <x:v>Phần mềm bản quyền</x:v>
      </x:c>
      <x:c r="E125" s="13" t="str">
        <x:v>Adobe license</x:v>
      </x:c>
      <x:c r="F125" s="13" t="str">
        <x:v>Dự toán cho adobe license thuộc chương trình phần mềm bản quyền</x:v>
      </x:c>
      <x:c r="G125" s="13" t="str">
        <x:v>Bộ</x:v>
      </x:c>
      <x:c r="H125" s="18" t="n">
        <x:v>10</x:v>
      </x:c>
      <x:c r="I125" s="16" t="n">
        <x:v>90000000</x:v>
      </x:c>
      <x:c r="J125" s="16" t="n">
        <x:f>H125*I125</x:f>
        <x:v>900000000</x:v>
      </x:c>
      <x:c r="K125" s="13" t="str">
        <x:v>Trung bình</x:v>
      </x:c>
      <x:c r="L125" s="13" t="str">
        <x:v>Hoàn thành</x:v>
      </x:c>
      <x:c r="M125" s="13" t="str"/>
    </x:row>
    <x:row r="126">
      <x:c r="A126" s="13" t="str">
        <x:v>IT-DT-2026-125</x:v>
      </x:c>
      <x:c r="B126" s="13" t="n">
        <x:v>2026</x:v>
      </x:c>
      <x:c r="C126" s="13" t="str">
        <x:v>Q1</x:v>
      </x:c>
      <x:c r="D126" s="13" t="str">
        <x:v>Hỗ trợ người dùng</x:v>
      </x:c>
      <x:c r="E126" s="13" t="str">
        <x:v>Đào tạo sử dụng hệ thống</x:v>
      </x:c>
      <x:c r="F126" s="13" t="str">
        <x:v>Dự toán cho đào tạo sử dụng hệ thống thuộc chương trình hỗ trợ người dùng</x:v>
      </x:c>
      <x:c r="G126" s="13" t="str">
        <x:v>Gói</x:v>
      </x:c>
      <x:c r="H126" s="18" t="n">
        <x:v>20</x:v>
      </x:c>
      <x:c r="I126" s="16" t="n">
        <x:v>120000000</x:v>
      </x:c>
      <x:c r="J126" s="16" t="n">
        <x:f>H126*I126</x:f>
        <x:v>2400000000</x:v>
      </x:c>
      <x:c r="K126" s="13" t="str">
        <x:v>Cao</x:v>
      </x:c>
      <x:c r="L126" s="13" t="str">
        <x:v>Hoàn thành</x:v>
      </x:c>
      <x:c r="M126" s="13" t="str"/>
    </x:row>
    <x:row r="127">
      <x:c r="A127" s="13" t="str">
        <x:v>IT-DT-2026-126</x:v>
      </x:c>
      <x:c r="B127" s="13" t="n">
        <x:v>2026</x:v>
      </x:c>
      <x:c r="C127" s="13" t="str">
        <x:v>Q2</x:v>
      </x:c>
      <x:c r="D127" s="13" t="str">
        <x:v>Chuyển đổi số</x:v>
      </x:c>
      <x:c r="E127" s="13" t="str">
        <x:v>Phát triển chatbot nội bộ</x:v>
      </x:c>
      <x:c r="F127" s="13" t="str">
        <x:v>Dự toán cho phát triển chatbot nội bộ thuộc chương trình chuyển đổi số</x:v>
      </x:c>
      <x:c r="G127" s="13" t="str">
        <x:v>Thiết bị</x:v>
      </x:c>
      <x:c r="H127" s="18" t="n">
        <x:v>50</x:v>
      </x:c>
      <x:c r="I127" s="16" t="n">
        <x:v>120000000</x:v>
      </x:c>
      <x:c r="J127" s="16" t="n">
        <x:f>H127*I127</x:f>
        <x:v>6000000000</x:v>
      </x:c>
      <x:c r="K127" s="13" t="str">
        <x:v>Trung bình</x:v>
      </x:c>
      <x:c r="L127" s="13" t="str">
        <x:v>Hoàn thành</x:v>
      </x:c>
      <x:c r="M127" s="13" t="str"/>
    </x:row>
    <x:row r="128">
      <x:c r="A128" s="13" t="str">
        <x:v>IT-DT-2026-127</x:v>
      </x:c>
      <x:c r="B128" s="13" t="n">
        <x:v>2026</x:v>
      </x:c>
      <x:c r="C128" s="13" t="str">
        <x:v>Q3</x:v>
      </x:c>
      <x:c r="D128" s="13" t="str">
        <x:v>LMS/SIS</x:v>
      </x:c>
      <x:c r="E128" s="13" t="str">
        <x:v>Tích hợp SSO</x:v>
      </x:c>
      <x:c r="F128" s="13" t="str">
        <x:v>Dự toán cho tích hợp sso thuộc chương trình lms/sis</x:v>
      </x:c>
      <x:c r="G128" s="13" t="str">
        <x:v>Tháng</x:v>
      </x:c>
      <x:c r="H128" s="18" t="n">
        <x:v>1</x:v>
      </x:c>
      <x:c r="I128" s="16" t="n">
        <x:v>5000000</x:v>
      </x:c>
      <x:c r="J128" s="16" t="n">
        <x:f>H128*I128</x:f>
        <x:v>5000000</x:v>
      </x:c>
      <x:c r="K128" s="13" t="str">
        <x:v>Cao</x:v>
      </x:c>
      <x:c r="L128" s="13" t="str">
        <x:v>Hoàn thành</x:v>
      </x:c>
      <x:c r="M128" s="13" t="str"/>
    </x:row>
    <x:row r="129">
      <x:c r="A129" s="13" t="str">
        <x:v>IT-DT-2026-128</x:v>
      </x:c>
      <x:c r="B129" s="13" t="n">
        <x:v>2026</x:v>
      </x:c>
      <x:c r="C129" s="13" t="str">
        <x:v>Q4</x:v>
      </x:c>
      <x:c r="D129" s="13" t="str">
        <x:v>Phòng máy tính</x:v>
      </x:c>
      <x:c r="E129" s="13" t="str">
        <x:v>Nâng cấp PC lab</x:v>
      </x:c>
      <x:c r="F129" s="13" t="str">
        <x:v>Dự toán cho nâng cấp pc lab thuộc chương trình phòng máy tính</x:v>
      </x:c>
      <x:c r="G129" s="13" t="str">
        <x:v>License</x:v>
      </x:c>
      <x:c r="H129" s="18" t="n">
        <x:v>10</x:v>
      </x:c>
      <x:c r="I129" s="16" t="n">
        <x:v>60000000</x:v>
      </x:c>
      <x:c r="J129" s="16" t="n">
        <x:f>H129*I129</x:f>
        <x:v>600000000</x:v>
      </x:c>
      <x:c r="K129" s="13" t="str">
        <x:v>Trung bình</x:v>
      </x:c>
      <x:c r="L129" s="13" t="str">
        <x:v>Đang thực hiện</x:v>
      </x:c>
      <x:c r="M129" s="13" t="str"/>
    </x:row>
    <x:row r="130">
      <x:c r="A130" s="13" t="str">
        <x:v>IT-DT-2026-129</x:v>
      </x:c>
      <x:c r="B130" s="13" t="n">
        <x:v>2026</x:v>
      </x:c>
      <x:c r="C130" s="13" t="str">
        <x:v>Q1</x:v>
      </x:c>
      <x:c r="D130" s="13" t="str">
        <x:v>Hạ tầng mạng</x:v>
      </x:c>
      <x:c r="E130" s="13" t="str">
        <x:v>Thiết bị firewall</x:v>
      </x:c>
      <x:c r="F130" s="13" t="str">
        <x:v>Dự toán cho thiết bị firewall thuộc chương trình hạ tầng mạng</x:v>
      </x:c>
      <x:c r="G130" s="13" t="str">
        <x:v>Gói</x:v>
      </x:c>
      <x:c r="H130" s="18" t="n">
        <x:v>5</x:v>
      </x:c>
      <x:c r="I130" s="16" t="n">
        <x:v>25000000</x:v>
      </x:c>
      <x:c r="J130" s="16" t="n">
        <x:f>H130*I130</x:f>
        <x:v>125000000</x:v>
      </x:c>
      <x:c r="K130" s="13" t="str">
        <x:v>Trung bình</x:v>
      </x:c>
      <x:c r="L130" s="13" t="str">
        <x:v>Đã duyệt</x:v>
      </x:c>
      <x:c r="M130" s="13" t="str"/>
    </x:row>
    <x:row r="131">
      <x:c r="A131" s="13" t="str">
        <x:v>IT-DT-2026-130</x:v>
      </x:c>
      <x:c r="B131" s="13" t="n">
        <x:v>2026</x:v>
      </x:c>
      <x:c r="C131" s="13" t="str">
        <x:v>Q2</x:v>
      </x:c>
      <x:c r="D131" s="13" t="str">
        <x:v>Hệ thống máy chủ</x:v>
      </x:c>
      <x:c r="E131" s="13" t="str">
        <x:v>Backup server</x:v>
      </x:c>
      <x:c r="F131" s="13" t="str">
        <x:v>Dự toán cho backup server thuộc chương trình hệ thống máy chủ</x:v>
      </x:c>
      <x:c r="G131" s="13" t="str">
        <x:v>Dịch vụ</x:v>
      </x:c>
      <x:c r="H131" s="18" t="n">
        <x:v>100</x:v>
      </x:c>
      <x:c r="I131" s="16" t="n">
        <x:v>120000000</x:v>
      </x:c>
      <x:c r="J131" s="16" t="n">
        <x:f>H131*I131</x:f>
        <x:v>12000000000</x:v>
      </x:c>
      <x:c r="K131" s="13" t="str">
        <x:v>Trung bình</x:v>
      </x:c>
      <x:c r="L131" s="13" t="str">
        <x:v>Hoàn thành</x:v>
      </x:c>
      <x:c r="M131" s="13" t="str"/>
    </x:row>
    <x:row r="132">
      <x:c r="A132" s="13" t="str">
        <x:v>IT-DT-2026-131</x:v>
      </x:c>
      <x:c r="B132" s="13" t="n">
        <x:v>2026</x:v>
      </x:c>
      <x:c r="C132" s="13" t="str">
        <x:v>Q3</x:v>
      </x:c>
      <x:c r="D132" s="13" t="str">
        <x:v>Bảo mật thông tin</x:v>
      </x:c>
      <x:c r="E132" s="13" t="str">
        <x:v>Đào tạo an toàn thông tin</x:v>
      </x:c>
      <x:c r="F132" s="13" t="str">
        <x:v>Dự toán cho đào tạo an toàn thông tin thuộc chương trình bảo mật thông tin</x:v>
      </x:c>
      <x:c r="G132" s="13" t="str">
        <x:v>License</x:v>
      </x:c>
      <x:c r="H132" s="18" t="n">
        <x:v>100</x:v>
      </x:c>
      <x:c r="I132" s="16" t="n">
        <x:v>90000000</x:v>
      </x:c>
      <x:c r="J132" s="16" t="n">
        <x:f>H132*I132</x:f>
        <x:v>9000000000</x:v>
      </x:c>
      <x:c r="K132" s="13" t="str">
        <x:v>Trung bình</x:v>
      </x:c>
      <x:c r="L132" s="13" t="str">
        <x:v>Đã duyệt</x:v>
      </x:c>
      <x:c r="M132" s="13" t="str"/>
    </x:row>
    <x:row r="133">
      <x:c r="A133" s="13" t="str">
        <x:v>IT-DT-2026-132</x:v>
      </x:c>
      <x:c r="B133" s="13" t="n">
        <x:v>2026</x:v>
      </x:c>
      <x:c r="C133" s="13" t="str">
        <x:v>Q4</x:v>
      </x:c>
      <x:c r="D133" s="13" t="str">
        <x:v>Phần mềm bản quyền</x:v>
      </x:c>
      <x:c r="E133" s="13" t="str">
        <x:v>Zoom/Teams license</x:v>
      </x:c>
      <x:c r="F133" s="13" t="str">
        <x:v>Dự toán cho zoom/teams license thuộc chương trình phần mềm bản quyền</x:v>
      </x:c>
      <x:c r="G133" s="13" t="str">
        <x:v>License</x:v>
      </x:c>
      <x:c r="H133" s="18" t="n">
        <x:v>50</x:v>
      </x:c>
      <x:c r="I133" s="16" t="n">
        <x:v>90000000</x:v>
      </x:c>
      <x:c r="J133" s="16" t="n">
        <x:f>H133*I133</x:f>
        <x:v>4500000000</x:v>
      </x:c>
      <x:c r="K133" s="13" t="str">
        <x:v>Cao</x:v>
      </x:c>
      <x:c r="L133" s="13" t="str">
        <x:v>Đã duyệt</x:v>
      </x:c>
      <x:c r="M133" s="13" t="str"/>
    </x:row>
    <x:row r="134">
      <x:c r="A134" s="13" t="str">
        <x:v>IT-DT-2026-133</x:v>
      </x:c>
      <x:c r="B134" s="13" t="n">
        <x:v>2026</x:v>
      </x:c>
      <x:c r="C134" s="13" t="str">
        <x:v>Q1</x:v>
      </x:c>
      <x:c r="D134" s="13" t="str">
        <x:v>Hỗ trợ người dùng</x:v>
      </x:c>
      <x:c r="E134" s="13" t="str">
        <x:v>Máy tính cho cán bộ</x:v>
      </x:c>
      <x:c r="F134" s="13" t="str">
        <x:v>Dự toán cho máy tính cho cán bộ thuộc chương trình hỗ trợ người dùng</x:v>
      </x:c>
      <x:c r="G134" s="13" t="str">
        <x:v>Dịch vụ</x:v>
      </x:c>
      <x:c r="H134" s="18" t="n">
        <x:v>20</x:v>
      </x:c>
      <x:c r="I134" s="16" t="n">
        <x:v>40000000</x:v>
      </x:c>
      <x:c r="J134" s="16" t="n">
        <x:f>H134*I134</x:f>
        <x:v>800000000</x:v>
      </x:c>
      <x:c r="K134" s="13" t="str">
        <x:v>Trung bình</x:v>
      </x:c>
      <x:c r="L134" s="13" t="str">
        <x:v>Đang thực hiện</x:v>
      </x:c>
      <x:c r="M134" s="13" t="str"/>
    </x:row>
    <x:row r="135">
      <x:c r="A135" s="13" t="str">
        <x:v>IT-DT-2026-134</x:v>
      </x:c>
      <x:c r="B135" s="13" t="n">
        <x:v>2026</x:v>
      </x:c>
      <x:c r="C135" s="13" t="str">
        <x:v>Q2</x:v>
      </x:c>
      <x:c r="D135" s="13" t="str">
        <x:v>Chuyển đổi số</x:v>
      </x:c>
      <x:c r="E135" s="13" t="str">
        <x:v>Dashboard quản trị</x:v>
      </x:c>
      <x:c r="F135" s="13" t="str">
        <x:v>Dự toán cho dashboard quản trị thuộc chương trình chuyển đổi số</x:v>
      </x:c>
      <x:c r="G135" s="13" t="str">
        <x:v>Bộ</x:v>
      </x:c>
      <x:c r="H135" s="18" t="n">
        <x:v>50</x:v>
      </x:c>
      <x:c r="I135" s="16" t="n">
        <x:v>90000000</x:v>
      </x:c>
      <x:c r="J135" s="16" t="n">
        <x:f>H135*I135</x:f>
        <x:v>4500000000</x:v>
      </x:c>
      <x:c r="K135" s="13" t="str">
        <x:v>Cao</x:v>
      </x:c>
      <x:c r="L135" s="13" t="str">
        <x:v>Đang thực hiện</x:v>
      </x:c>
      <x:c r="M135" s="13" t="str"/>
    </x:row>
    <x:row r="136">
      <x:c r="A136" s="13" t="str">
        <x:v>IT-DT-2026-135</x:v>
      </x:c>
      <x:c r="B136" s="13" t="n">
        <x:v>2026</x:v>
      </x:c>
      <x:c r="C136" s="13" t="str">
        <x:v>Q3</x:v>
      </x:c>
      <x:c r="D136" s="13" t="str">
        <x:v>LMS/SIS</x:v>
      </x:c>
      <x:c r="E136" s="13" t="str">
        <x:v>Nâng cấp cổng sinh viên</x:v>
      </x:c>
      <x:c r="F136" s="13" t="str">
        <x:v>Dự toán cho nâng cấp cổng sinh viên thuộc chương trình lms/sis</x:v>
      </x:c>
      <x:c r="G136" s="13" t="str">
        <x:v>Gói</x:v>
      </x:c>
      <x:c r="H136" s="18" t="n">
        <x:v>2</x:v>
      </x:c>
      <x:c r="I136" s="16" t="n">
        <x:v>60000000</x:v>
      </x:c>
      <x:c r="J136" s="16" t="n">
        <x:f>H136*I136</x:f>
        <x:v>120000000</x:v>
      </x:c>
      <x:c r="K136" s="13" t="str">
        <x:v>Trung bình</x:v>
      </x:c>
      <x:c r="L136" s="13" t="str">
        <x:v>Đã duyệt</x:v>
      </x:c>
      <x:c r="M136" s="13" t="str"/>
    </x:row>
    <x:row r="137">
      <x:c r="A137" s="13" t="str">
        <x:v>IT-DT-2026-136</x:v>
      </x:c>
      <x:c r="B137" s="13" t="n">
        <x:v>2026</x:v>
      </x:c>
      <x:c r="C137" s="13" t="str">
        <x:v>Q4</x:v>
      </x:c>
      <x:c r="D137" s="13" t="str">
        <x:v>Phòng máy tính</x:v>
      </x:c>
      <x:c r="E137" s="13" t="str">
        <x:v>Máy chiếu/màn hình</x:v>
      </x:c>
      <x:c r="F137" s="13" t="str">
        <x:v>Dự toán cho máy chiếu/màn hình thuộc chương trình phòng máy tính</x:v>
      </x:c>
      <x:c r="G137" s="13" t="str">
        <x:v>Gói</x:v>
      </x:c>
      <x:c r="H137" s="18" t="n">
        <x:v>200</x:v>
      </x:c>
      <x:c r="I137" s="16" t="n">
        <x:v>3000000</x:v>
      </x:c>
      <x:c r="J137" s="16" t="n">
        <x:f>H137*I137</x:f>
        <x:v>600000000</x:v>
      </x:c>
      <x:c r="K137" s="13" t="str">
        <x:v>Cao</x:v>
      </x:c>
      <x:c r="L137" s="13" t="str">
        <x:v>Đang thực hiện</x:v>
      </x:c>
      <x:c r="M137" s="13" t="str"/>
    </x:row>
    <x:row r="138">
      <x:c r="A138" s="13" t="str">
        <x:v>IT-DT-2026-137</x:v>
      </x:c>
      <x:c r="B138" s="13" t="n">
        <x:v>2026</x:v>
      </x:c>
      <x:c r="C138" s="13" t="str">
        <x:v>Q1</x:v>
      </x:c>
      <x:c r="D138" s="13" t="str">
        <x:v>Hạ tầng mạng</x:v>
      </x:c>
      <x:c r="E138" s="13" t="str">
        <x:v>Bảo trì hệ thống mạng</x:v>
      </x:c>
      <x:c r="F138" s="13" t="str">
        <x:v>Dự toán cho bảo trì hệ thống mạng thuộc chương trình hạ tầng mạng</x:v>
      </x:c>
      <x:c r="G138" s="13" t="str">
        <x:v>Gói</x:v>
      </x:c>
      <x:c r="H138" s="18" t="n">
        <x:v>2</x:v>
      </x:c>
      <x:c r="I138" s="16" t="n">
        <x:v>120000000</x:v>
      </x:c>
      <x:c r="J138" s="16" t="n">
        <x:f>H138*I138</x:f>
        <x:v>240000000</x:v>
      </x:c>
      <x:c r="K138" s="13" t="str">
        <x:v>Cao</x:v>
      </x:c>
      <x:c r="L138" s="13" t="str">
        <x:v>Đang thực hiện</x:v>
      </x:c>
      <x:c r="M138" s="13" t="str"/>
    </x:row>
    <x:row r="139">
      <x:c r="A139" s="13" t="str">
        <x:v>IT-DT-2026-138</x:v>
      </x:c>
      <x:c r="B139" s="13" t="n">
        <x:v>2026</x:v>
      </x:c>
      <x:c r="C139" s="13" t="str">
        <x:v>Q2</x:v>
      </x:c>
      <x:c r="D139" s="13" t="str">
        <x:v>Hệ thống máy chủ</x:v>
      </x:c>
      <x:c r="E139" s="13" t="str">
        <x:v>Backup server</x:v>
      </x:c>
      <x:c r="F139" s="13" t="str">
        <x:v>Dự toán cho backup server thuộc chương trình hệ thống máy chủ</x:v>
      </x:c>
      <x:c r="G139" s="13" t="str">
        <x:v>Gói</x:v>
      </x:c>
      <x:c r="H139" s="18" t="n">
        <x:v>2</x:v>
      </x:c>
      <x:c r="I139" s="16" t="n">
        <x:v>15000000</x:v>
      </x:c>
      <x:c r="J139" s="16" t="n">
        <x:f>H139*I139</x:f>
        <x:v>30000000</x:v>
      </x:c>
      <x:c r="K139" s="13" t="str">
        <x:v>Trung bình</x:v>
      </x:c>
      <x:c r="L139" s="13" t="str">
        <x:v>Hoàn thành</x:v>
      </x:c>
      <x:c r="M139" s="13" t="str"/>
    </x:row>
    <x:row r="140">
      <x:c r="A140" s="13" t="str">
        <x:v>IT-DT-2026-139</x:v>
      </x:c>
      <x:c r="B140" s="13" t="n">
        <x:v>2026</x:v>
      </x:c>
      <x:c r="C140" s="13" t="str">
        <x:v>Q3</x:v>
      </x:c>
      <x:c r="D140" s="13" t="str">
        <x:v>Bảo mật thông tin</x:v>
      </x:c>
      <x:c r="E140" s="13" t="str">
        <x:v>Phần mềm antivirus/EDR</x:v>
      </x:c>
      <x:c r="F140" s="13" t="str">
        <x:v>Dự toán cho phần mềm antivirus/edr thuộc chương trình bảo mật thông tin</x:v>
      </x:c>
      <x:c r="G140" s="13" t="str">
        <x:v>Bộ</x:v>
      </x:c>
      <x:c r="H140" s="18" t="n">
        <x:v>3</x:v>
      </x:c>
      <x:c r="I140" s="16" t="n">
        <x:v>5000000</x:v>
      </x:c>
      <x:c r="J140" s="16" t="n">
        <x:f>H140*I140</x:f>
        <x:v>15000000</x:v>
      </x:c>
      <x:c r="K140" s="13" t="str">
        <x:v>Trung bình</x:v>
      </x:c>
      <x:c r="L140" s="13" t="str">
        <x:v>Đang thực hiện</x:v>
      </x:c>
      <x:c r="M140" s="13" t="str"/>
    </x:row>
    <x:row r="141">
      <x:c r="A141" s="13" t="str">
        <x:v>IT-DT-2026-140</x:v>
      </x:c>
      <x:c r="B141" s="13" t="n">
        <x:v>2026</x:v>
      </x:c>
      <x:c r="C141" s="13" t="str">
        <x:v>Q4</x:v>
      </x:c>
      <x:c r="D141" s="13" t="str">
        <x:v>Phần mềm bản quyền</x:v>
      </x:c>
      <x:c r="E141" s="13" t="str">
        <x:v>Zoom/Teams license</x:v>
      </x:c>
      <x:c r="F141" s="13" t="str">
        <x:v>Dự toán cho zoom/teams license thuộc chương trình phần mềm bản quyền</x:v>
      </x:c>
      <x:c r="G141" s="13" t="str">
        <x:v>License</x:v>
      </x:c>
      <x:c r="H141" s="18" t="n">
        <x:v>100</x:v>
      </x:c>
      <x:c r="I141" s="16" t="n">
        <x:v>90000000</x:v>
      </x:c>
      <x:c r="J141" s="16" t="n">
        <x:f>H141*I141</x:f>
        <x:v>9000000000</x:v>
      </x:c>
      <x:c r="K141" s="13" t="str">
        <x:v>Cao</x:v>
      </x:c>
      <x:c r="L141" s="13" t="str">
        <x:v>Đã duyệt</x:v>
      </x:c>
      <x:c r="M141" s="13" t="str"/>
    </x:row>
    <x:row r="142">
      <x:c r="A142" s="13" t="str">
        <x:v>IT-DT-2026-141</x:v>
      </x:c>
      <x:c r="B142" s="13" t="n">
        <x:v>2026</x:v>
      </x:c>
      <x:c r="C142" s="13" t="str">
        <x:v>Q1</x:v>
      </x:c>
      <x:c r="D142" s="13" t="str">
        <x:v>Hỗ trợ người dùng</x:v>
      </x:c>
      <x:c r="E142" s="13" t="str">
        <x:v>Helpdesk system</x:v>
      </x:c>
      <x:c r="F142" s="13" t="str">
        <x:v>Dự toán cho helpdesk system thuộc chương trình hỗ trợ người dùng</x:v>
      </x:c>
      <x:c r="G142" s="13" t="str">
        <x:v>Dịch vụ</x:v>
      </x:c>
      <x:c r="H142" s="18" t="n">
        <x:v>20</x:v>
      </x:c>
      <x:c r="I142" s="16" t="n">
        <x:v>8000000</x:v>
      </x:c>
      <x:c r="J142" s="16" t="n">
        <x:f>H142*I142</x:f>
        <x:v>160000000</x:v>
      </x:c>
      <x:c r="K142" s="13" t="str">
        <x:v>Cao</x:v>
      </x:c>
      <x:c r="L142" s="13" t="str">
        <x:v>Đã duyệt</x:v>
      </x:c>
      <x:c r="M142" s="13" t="str"/>
    </x:row>
    <x:row r="143">
      <x:c r="A143" s="13" t="str">
        <x:v>IT-DT-2026-142</x:v>
      </x:c>
      <x:c r="B143" s="13" t="n">
        <x:v>2026</x:v>
      </x:c>
      <x:c r="C143" s="13" t="str">
        <x:v>Q2</x:v>
      </x:c>
      <x:c r="D143" s="13" t="str">
        <x:v>Chuyển đổi số</x:v>
      </x:c>
      <x:c r="E143" s="13" t="str">
        <x:v>Phát triển chatbot nội bộ</x:v>
      </x:c>
      <x:c r="F143" s="13" t="str">
        <x:v>Dự toán cho phát triển chatbot nội bộ thuộc chương trình chuyển đổi số</x:v>
      </x:c>
      <x:c r="G143" s="13" t="str">
        <x:v>License</x:v>
      </x:c>
      <x:c r="H143" s="18" t="n">
        <x:v>1</x:v>
      </x:c>
      <x:c r="I143" s="16" t="n">
        <x:v>40000000</x:v>
      </x:c>
      <x:c r="J143" s="16" t="n">
        <x:f>H143*I143</x:f>
        <x:v>40000000</x:v>
      </x:c>
      <x:c r="K143" s="13" t="str">
        <x:v>Trung bình</x:v>
      </x:c>
      <x:c r="L143" s="13" t="str">
        <x:v>Tạm hoãn</x:v>
      </x:c>
      <x:c r="M143" s="13" t="str"/>
    </x:row>
    <x:row r="144">
      <x:c r="A144" s="13" t="str">
        <x:v>IT-DT-2026-143</x:v>
      </x:c>
      <x:c r="B144" s="13" t="n">
        <x:v>2026</x:v>
      </x:c>
      <x:c r="C144" s="13" t="str">
        <x:v>Q3</x:v>
      </x:c>
      <x:c r="D144" s="13" t="str">
        <x:v>LMS/SIS</x:v>
      </x:c>
      <x:c r="E144" s="13" t="str">
        <x:v>Bảo trì LMS</x:v>
      </x:c>
      <x:c r="F144" s="13" t="str">
        <x:v>Dự toán cho bảo trì lms thuộc chương trình lms/sis</x:v>
      </x:c>
      <x:c r="G144" s="13" t="str">
        <x:v>Dịch vụ</x:v>
      </x:c>
      <x:c r="H144" s="18" t="n">
        <x:v>50</x:v>
      </x:c>
      <x:c r="I144" s="16" t="n">
        <x:v>5000000</x:v>
      </x:c>
      <x:c r="J144" s="16" t="n">
        <x:f>H144*I144</x:f>
        <x:v>250000000</x:v>
      </x:c>
      <x:c r="K144" s="13" t="str">
        <x:v>Trung bình</x:v>
      </x:c>
      <x:c r="L144" s="13" t="str">
        <x:v>Tạm hoãn</x:v>
      </x:c>
      <x:c r="M144" s="13" t="str"/>
    </x:row>
    <x:row r="145">
      <x:c r="A145" s="13" t="str">
        <x:v>IT-DT-2026-144</x:v>
      </x:c>
      <x:c r="B145" s="13" t="n">
        <x:v>2026</x:v>
      </x:c>
      <x:c r="C145" s="13" t="str">
        <x:v>Q4</x:v>
      </x:c>
      <x:c r="D145" s="13" t="str">
        <x:v>Phòng máy tính</x:v>
      </x:c>
      <x:c r="E145" s="13" t="str">
        <x:v>Nâng cấp PC lab</x:v>
      </x:c>
      <x:c r="F145" s="13" t="str">
        <x:v>Dự toán cho nâng cấp pc lab thuộc chương trình phòng máy tính</x:v>
      </x:c>
      <x:c r="G145" s="13" t="str">
        <x:v>Thiết bị</x:v>
      </x:c>
      <x:c r="H145" s="18" t="n">
        <x:v>200</x:v>
      </x:c>
      <x:c r="I145" s="16" t="n">
        <x:v>25000000</x:v>
      </x:c>
      <x:c r="J145" s="16" t="n">
        <x:f>H145*I145</x:f>
        <x:v>5000000000</x:v>
      </x:c>
      <x:c r="K145" s="13" t="str">
        <x:v>Trung bình</x:v>
      </x:c>
      <x:c r="L145" s="13" t="str">
        <x:v>Hoàn thành</x:v>
      </x:c>
      <x:c r="M145" s="13" t="str"/>
    </x:row>
    <x:row r="146">
      <x:c r="A146" s="13" t="str">
        <x:v>IT-DT-2026-145</x:v>
      </x:c>
      <x:c r="B146" s="13" t="n">
        <x:v>2026</x:v>
      </x:c>
      <x:c r="C146" s="13" t="str">
        <x:v>Q1</x:v>
      </x:c>
      <x:c r="D146" s="13" t="str">
        <x:v>Hạ tầng mạng</x:v>
      </x:c>
      <x:c r="E146" s="13" t="str">
        <x:v>Bảo trì hệ thống mạng</x:v>
      </x:c>
      <x:c r="F146" s="13" t="str">
        <x:v>Dự toán cho bảo trì hệ thống mạng thuộc chương trình hạ tầng mạng</x:v>
      </x:c>
      <x:c r="G146" s="13" t="str">
        <x:v>Thiết bị</x:v>
      </x:c>
      <x:c r="H146" s="18" t="n">
        <x:v>3</x:v>
      </x:c>
      <x:c r="I146" s="16" t="n">
        <x:v>12000000</x:v>
      </x:c>
      <x:c r="J146" s="16" t="n">
        <x:f>H146*I146</x:f>
        <x:v>36000000</x:v>
      </x:c>
      <x:c r="K146" s="13" t="str">
        <x:v>Trung bình</x:v>
      </x:c>
      <x:c r="L146" s="13" t="str">
        <x:v>Tạm hoãn</x:v>
      </x:c>
      <x:c r="M146" s="13" t="str"/>
    </x:row>
    <x:row r="147">
      <x:c r="A147" s="13" t="str">
        <x:v>IT-DT-2026-146</x:v>
      </x:c>
      <x:c r="B147" s="13" t="n">
        <x:v>2026</x:v>
      </x:c>
      <x:c r="C147" s="13" t="str">
        <x:v>Q2</x:v>
      </x:c>
      <x:c r="D147" s="13" t="str">
        <x:v>Hệ thống máy chủ</x:v>
      </x:c>
      <x:c r="E147" s="13" t="str">
        <x:v>Lưu trữ NAS/SAN</x:v>
      </x:c>
      <x:c r="F147" s="13" t="str">
        <x:v>Dự toán cho lưu trữ nas/san thuộc chương trình hệ thống máy chủ</x:v>
      </x:c>
      <x:c r="G147" s="13" t="str">
        <x:v>License</x:v>
      </x:c>
      <x:c r="H147" s="18" t="n">
        <x:v>20</x:v>
      </x:c>
      <x:c r="I147" s="16" t="n">
        <x:v>12000000</x:v>
      </x:c>
      <x:c r="J147" s="16" t="n">
        <x:f>H147*I147</x:f>
        <x:v>240000000</x:v>
      </x:c>
      <x:c r="K147" s="13" t="str">
        <x:v>Cao</x:v>
      </x:c>
      <x:c r="L147" s="13" t="str">
        <x:v>Đã duyệt</x:v>
      </x:c>
      <x:c r="M147" s="13" t="str"/>
    </x:row>
    <x:row r="148">
      <x:c r="A148" s="13" t="str">
        <x:v>IT-DT-2026-147</x:v>
      </x:c>
      <x:c r="B148" s="13" t="n">
        <x:v>2026</x:v>
      </x:c>
      <x:c r="C148" s="13" t="str">
        <x:v>Q3</x:v>
      </x:c>
      <x:c r="D148" s="13" t="str">
        <x:v>Bảo mật thông tin</x:v>
      </x:c>
      <x:c r="E148" s="13" t="str">
        <x:v>Phần mềm antivirus/EDR</x:v>
      </x:c>
      <x:c r="F148" s="13" t="str">
        <x:v>Dự toán cho phần mềm antivirus/edr thuộc chương trình bảo mật thông tin</x:v>
      </x:c>
      <x:c r="G148" s="13" t="str">
        <x:v>Bộ</x:v>
      </x:c>
      <x:c r="H148" s="18" t="n">
        <x:v>100</x:v>
      </x:c>
      <x:c r="I148" s="16" t="n">
        <x:v>15000000</x:v>
      </x:c>
      <x:c r="J148" s="16" t="n">
        <x:f>H148*I148</x:f>
        <x:v>1500000000</x:v>
      </x:c>
      <x:c r="K148" s="13" t="str">
        <x:v>Trung bình</x:v>
      </x:c>
      <x:c r="L148" s="13" t="str">
        <x:v>Đã duyệt</x:v>
      </x:c>
      <x:c r="M148" s="13" t="str"/>
    </x:row>
    <x:row r="149">
      <x:c r="A149" s="13" t="str">
        <x:v>IT-DT-2026-148</x:v>
      </x:c>
      <x:c r="B149" s="13" t="n">
        <x:v>2026</x:v>
      </x:c>
      <x:c r="C149" s="13" t="str">
        <x:v>Q4</x:v>
      </x:c>
      <x:c r="D149" s="13" t="str">
        <x:v>Phần mềm bản quyền</x:v>
      </x:c>
      <x:c r="E149" s="13" t="str">
        <x:v>Zoom/Teams license</x:v>
      </x:c>
      <x:c r="F149" s="13" t="str">
        <x:v>Dự toán cho zoom/teams license thuộc chương trình phần mềm bản quyền</x:v>
      </x:c>
      <x:c r="G149" s="13" t="str">
        <x:v>Gói</x:v>
      </x:c>
      <x:c r="H149" s="18" t="n">
        <x:v>1</x:v>
      </x:c>
      <x:c r="I149" s="16" t="n">
        <x:v>60000000</x:v>
      </x:c>
      <x:c r="J149" s="16" t="n">
        <x:f>H149*I149</x:f>
        <x:v>60000000</x:v>
      </x:c>
      <x:c r="K149" s="13" t="str">
        <x:v>Cao</x:v>
      </x:c>
      <x:c r="L149" s="13" t="str">
        <x:v>Đã duyệt</x:v>
      </x:c>
      <x:c r="M149" s="13" t="str"/>
    </x:row>
    <x:row r="150">
      <x:c r="A150" s="13" t="str">
        <x:v>IT-DT-2026-149</x:v>
      </x:c>
      <x:c r="B150" s="13" t="n">
        <x:v>2026</x:v>
      </x:c>
      <x:c r="C150" s="13" t="str">
        <x:v>Q1</x:v>
      </x:c>
      <x:c r="D150" s="13" t="str">
        <x:v>Hỗ trợ người dùng</x:v>
      </x:c>
      <x:c r="E150" s="13" t="str">
        <x:v>Helpdesk system</x:v>
      </x:c>
      <x:c r="F150" s="13" t="str">
        <x:v>Dự toán cho helpdesk system thuộc chương trình hỗ trợ người dùng</x:v>
      </x:c>
      <x:c r="G150" s="13" t="str">
        <x:v>Bộ</x:v>
      </x:c>
      <x:c r="H150" s="18" t="n">
        <x:v>2</x:v>
      </x:c>
      <x:c r="I150" s="16" t="n">
        <x:v>12000000</x:v>
      </x:c>
      <x:c r="J150" s="16" t="n">
        <x:f>H150*I150</x:f>
        <x:v>24000000</x:v>
      </x:c>
      <x:c r="K150" s="13" t="str">
        <x:v>Cao</x:v>
      </x:c>
      <x:c r="L150" s="13" t="str">
        <x:v>Lập kế hoạch</x:v>
      </x:c>
      <x:c r="M150" s="13" t="str"/>
    </x:row>
    <x:row r="151">
      <x:c r="A151" s="13" t="str">
        <x:v>IT-DT-2026-150</x:v>
      </x:c>
      <x:c r="B151" s="13" t="n">
        <x:v>2026</x:v>
      </x:c>
      <x:c r="C151" s="13" t="str">
        <x:v>Q2</x:v>
      </x:c>
      <x:c r="D151" s="13" t="str">
        <x:v>Chuyển đổi số</x:v>
      </x:c>
      <x:c r="E151" s="13" t="str">
        <x:v>Tự động hóa quy trình</x:v>
      </x:c>
      <x:c r="F151" s="13" t="str">
        <x:v>Dự toán cho tự động hóa quy trình thuộc chương trình chuyển đổi số</x:v>
      </x:c>
      <x:c r="G151" s="13" t="str">
        <x:v>Thiết bị</x:v>
      </x:c>
      <x:c r="H151" s="18" t="n">
        <x:v>200</x:v>
      </x:c>
      <x:c r="I151" s="16" t="n">
        <x:v>12000000</x:v>
      </x:c>
      <x:c r="J151" s="16" t="n">
        <x:f>H151*I151</x:f>
        <x:v>2400000000</x:v>
      </x:c>
      <x:c r="K151" s="13" t="str">
        <x:v>Cao</x:v>
      </x:c>
      <x:c r="L151" s="13" t="str">
        <x:v>Hoàn thành</x:v>
      </x:c>
      <x:c r="M151" s="13" t="str"/>
    </x:row>
  </x:sheetData>
  <x:conditionalFormatting sqref="J2:J151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{44C25513-0493-3A95-1EE1-5E3052F79765}</x14:id>
        </x:ext>
      </x:extLst>
    </x:cfRule>
  </x:conditionalFormatting>
  <x:dataValidations count="2">
    <x:dataValidation type="list" sqref="K2:K151">
      <x:formula1>Danh_muc!$C$2:$C$4</x:formula1>
    </x:dataValidation>
    <x:dataValidation type="list" sqref="L2:L151">
      <x:formula1>Danh_muc!$B$2:$B$6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8876f740934a7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4C25513-0493-3A95-1EE1-5E3052F79765}">
            <x14:dataBar gradient="1">
              <x14:cfvo type="min"/>
              <x14:cfvo type="max"/>
              <x14:fillColor rgb="70AD47"/>
            </x14:dataBar>
          </x14:cfRule>
          <xm:sqref>J2:J151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4" hidden="0" customWidth="1"/>
    <x:col min="6" max="6" width="8.880000114440918" hidden="0" customWidth="1"/>
    <x:col min="7" max="7" width="10.770000457763672" hidden="0" customWidth="1"/>
    <x:col min="8" max="8" width="12.520000457763672" hidden="0" customWidth="1"/>
    <x:col min="9" max="9" width="13.729999542236328" hidden="0" customWidth="1"/>
  </x:cols>
  <x:sheetData>
    <x:row r="1" ht="32" customHeight="1">
      <x:c r="A1" s="12" t="str">
        <x:v>Tháng</x:v>
      </x:c>
      <x:c r="B1" s="12" t="str">
        <x:v>Quý</x:v>
      </x:c>
      <x:c r="C1" s="12" t="str">
        <x:v>Chương trình</x:v>
      </x:c>
      <x:c r="D1" s="12" t="str">
        <x:v>Hạng mục</x:v>
      </x:c>
      <x:c r="E1" s="12" t="str">
        <x:v>Ngân sách kế hoạch</x:v>
      </x:c>
      <x:c r="F1" s="12" t="str">
        <x:v>Thực chi</x:v>
      </x:c>
      <x:c r="G1" s="12" t="str">
        <x:v>Chênh lệch</x:v>
      </x:c>
      <x:c r="H1" s="12" t="str">
        <x:v>Tỷ lệ sử dụng</x:v>
      </x:c>
      <x:c r="I1" s="12" t="str">
        <x:v>Cảnh báo</x:v>
      </x:c>
    </x:row>
    <x:row r="2">
      <x:c r="A2" s="20" t="n">
        <x:v>46023</x:v>
      </x:c>
      <x:c r="B2" s="13" t="str">
        <x:v>Q1</x:v>
      </x:c>
      <x:c r="C2" s="13" t="str">
        <x:v>Hạ tầng mạng</x:v>
      </x:c>
      <x:c r="D2" s="13" t="str">
        <x:v>Thiết bị firewall</x:v>
      </x:c>
      <x:c r="E2" s="16" t="n">
        <x:v>300000000</x:v>
      </x:c>
      <x:c r="F2" s="16" t="n">
        <x:v>346000000</x:v>
      </x:c>
      <x:c r="G2" s="16" t="n">
        <x:f>F2-E2</x:f>
        <x:v>46000000</x:v>
      </x:c>
      <x:c r="H2" s="22" t="n">
        <x:f>IF(E2=0,0,F2/E2)</x:f>
        <x:v>1.1533333333333333</x:v>
      </x:c>
      <x:c r="I2" s="13" t="str">
        <x:f>IF(H2&gt;1.05,"Vượt kế hoạch",IF(H2&lt;0.8,"Thấp hơn kế hoạch","Đúng kế hoạch"))</x:f>
        <x:v>Vượt kế hoạch</x:v>
      </x:c>
    </x:row>
    <x:row r="3">
      <x:c r="A3" s="20" t="n">
        <x:v>46054</x:v>
      </x:c>
      <x:c r="B3" s="13" t="str">
        <x:v>Q1</x:v>
      </x:c>
      <x:c r="C3" s="13" t="str">
        <x:v>Hệ thống máy chủ</x:v>
      </x:c>
      <x:c r="D3" s="13" t="str">
        <x:v>Gia hạn bảo hành server</x:v>
      </x:c>
      <x:c r="E3" s="16" t="n">
        <x:v>300000000</x:v>
      </x:c>
      <x:c r="F3" s="16" t="n">
        <x:v>259000000</x:v>
      </x:c>
      <x:c r="G3" s="16" t="n">
        <x:f>F3-E3</x:f>
        <x:v>-41000000</x:v>
      </x:c>
      <x:c r="H3" s="22" t="n">
        <x:f>IF(E3=0,0,F3/E3)</x:f>
        <x:v>0.8633333333333333</x:v>
      </x:c>
      <x:c r="I3" s="13" t="str">
        <x:f>IF(H3&gt;1.05,"Vượt kế hoạch",IF(H3&lt;0.8,"Thấp hơn kế hoạch","Đúng kế hoạch"))</x:f>
        <x:v>Đúng kế hoạch</x:v>
      </x:c>
    </x:row>
    <x:row r="4">
      <x:c r="A4" s="20" t="n">
        <x:v>46082</x:v>
      </x:c>
      <x:c r="B4" s="13" t="str">
        <x:v>Q1</x:v>
      </x:c>
      <x:c r="C4" s="13" t="str">
        <x:v>Bảo mật thông tin</x:v>
      </x:c>
      <x:c r="D4" s="13" t="str">
        <x:v>Giám sát SOC</x:v>
      </x:c>
      <x:c r="E4" s="16" t="n">
        <x:v>75000000</x:v>
      </x:c>
      <x:c r="F4" s="16" t="n">
        <x:v>78000000</x:v>
      </x:c>
      <x:c r="G4" s="16" t="n">
        <x:f>F4-E4</x:f>
        <x:v>3000000</x:v>
      </x:c>
      <x:c r="H4" s="22" t="n">
        <x:f>IF(E4=0,0,F4/E4)</x:f>
        <x:v>1.04</x:v>
      </x:c>
      <x:c r="I4" s="13" t="str">
        <x:f>IF(H4&gt;1.05,"Vượt kế hoạch",IF(H4&lt;0.8,"Thấp hơn kế hoạch","Đúng kế hoạch"))</x:f>
        <x:v>Đúng kế hoạch</x:v>
      </x:c>
    </x:row>
    <x:row r="5">
      <x:c r="A5" s="20" t="n">
        <x:v>46113</x:v>
      </x:c>
      <x:c r="B5" s="13" t="str">
        <x:v>Q2</x:v>
      </x:c>
      <x:c r="C5" s="13" t="str">
        <x:v>Phần mềm bản quyền</x:v>
      </x:c>
      <x:c r="D5" s="13" t="str">
        <x:v>Microsoft 365</x:v>
      </x:c>
      <x:c r="E5" s="16" t="n">
        <x:v>100000000</x:v>
      </x:c>
      <x:c r="F5" s="16" t="n">
        <x:v>112000000</x:v>
      </x:c>
      <x:c r="G5" s="16" t="n">
        <x:f>F5-E5</x:f>
        <x:v>12000000</x:v>
      </x:c>
      <x:c r="H5" s="22" t="n">
        <x:f>IF(E5=0,0,F5/E5)</x:f>
        <x:v>1.12</x:v>
      </x:c>
      <x:c r="I5" s="13" t="str">
        <x:f>IF(H5&gt;1.05,"Vượt kế hoạch",IF(H5&lt;0.8,"Thấp hơn kế hoạch","Đúng kế hoạch"))</x:f>
        <x:v>Vượt kế hoạch</x:v>
      </x:c>
    </x:row>
    <x:row r="6">
      <x:c r="A6" s="20" t="n">
        <x:v>46143</x:v>
      </x:c>
      <x:c r="B6" s="13" t="str">
        <x:v>Q2</x:v>
      </x:c>
      <x:c r="C6" s="13" t="str">
        <x:v>Hỗ trợ người dùng</x:v>
      </x:c>
      <x:c r="D6" s="13" t="str">
        <x:v>Đào tạo sử dụng hệ thống</x:v>
      </x:c>
      <x:c r="E6" s="16" t="n">
        <x:v>30000000</x:v>
      </x:c>
      <x:c r="F6" s="16" t="n">
        <x:v>25000000</x:v>
      </x:c>
      <x:c r="G6" s="16" t="n">
        <x:f>F6-E6</x:f>
        <x:v>-5000000</x:v>
      </x:c>
      <x:c r="H6" s="22" t="n">
        <x:f>IF(E6=0,0,F6/E6)</x:f>
        <x:v>0.8333333333333334</x:v>
      </x:c>
      <x:c r="I6" s="13" t="str">
        <x:f>IF(H6&gt;1.05,"Vượt kế hoạch",IF(H6&lt;0.8,"Thấp hơn kế hoạch","Đúng kế hoạch"))</x:f>
        <x:v>Đúng kế hoạch</x:v>
      </x:c>
    </x:row>
    <x:row r="7">
      <x:c r="A7" s="20" t="n">
        <x:v>46174</x:v>
      </x:c>
      <x:c r="B7" s="13" t="str">
        <x:v>Q2</x:v>
      </x:c>
      <x:c r="C7" s="13" t="str">
        <x:v>Chuyển đổi số</x:v>
      </x:c>
      <x:c r="D7" s="13" t="str">
        <x:v>Tích hợp API</x:v>
      </x:c>
      <x:c r="E7" s="16" t="n">
        <x:v>300000000</x:v>
      </x:c>
      <x:c r="F7" s="16" t="n">
        <x:v>328000000</x:v>
      </x:c>
      <x:c r="G7" s="16" t="n">
        <x:f>F7-E7</x:f>
        <x:v>28000000</x:v>
      </x:c>
      <x:c r="H7" s="22" t="n">
        <x:f>IF(E7=0,0,F7/E7)</x:f>
        <x:v>1.0933333333333333</x:v>
      </x:c>
      <x:c r="I7" s="13" t="str">
        <x:f>IF(H7&gt;1.05,"Vượt kế hoạch",IF(H7&lt;0.8,"Thấp hơn kế hoạch","Đúng kế hoạch"))</x:f>
        <x:v>Vượt kế hoạch</x:v>
      </x:c>
    </x:row>
    <x:row r="8">
      <x:c r="A8" s="20" t="n">
        <x:v>46204</x:v>
      </x:c>
      <x:c r="B8" s="13" t="str">
        <x:v>Q3</x:v>
      </x:c>
      <x:c r="C8" s="13" t="str">
        <x:v>LMS/SIS</x:v>
      </x:c>
      <x:c r="D8" s="13" t="str">
        <x:v>Tích hợp SSO</x:v>
      </x:c>
      <x:c r="E8" s="16" t="n">
        <x:v>300000000</x:v>
      </x:c>
      <x:c r="F8" s="16" t="n">
        <x:v>353000000</x:v>
      </x:c>
      <x:c r="G8" s="16" t="n">
        <x:f>F8-E8</x:f>
        <x:v>53000000</x:v>
      </x:c>
      <x:c r="H8" s="22" t="n">
        <x:f>IF(E8=0,0,F8/E8)</x:f>
        <x:v>1.1766666666666667</x:v>
      </x:c>
      <x:c r="I8" s="13" t="str">
        <x:f>IF(H8&gt;1.05,"Vượt kế hoạch",IF(H8&lt;0.8,"Thấp hơn kế hoạch","Đúng kế hoạch"))</x:f>
        <x:v>Vượt kế hoạch</x:v>
      </x:c>
    </x:row>
    <x:row r="9">
      <x:c r="A9" s="20" t="n">
        <x:v>46235</x:v>
      </x:c>
      <x:c r="B9" s="13" t="str">
        <x:v>Q3</x:v>
      </x:c>
      <x:c r="C9" s="13" t="str">
        <x:v>Phòng máy tính</x:v>
      </x:c>
      <x:c r="D9" s="13" t="str">
        <x:v>Máy chiếu/màn hình</x:v>
      </x:c>
      <x:c r="E9" s="16" t="n">
        <x:v>30000000</x:v>
      </x:c>
      <x:c r="F9" s="16" t="n">
        <x:v>34000000</x:v>
      </x:c>
      <x:c r="G9" s="16" t="n">
        <x:f>F9-E9</x:f>
        <x:v>4000000</x:v>
      </x:c>
      <x:c r="H9" s="22" t="n">
        <x:f>IF(E9=0,0,F9/E9)</x:f>
        <x:v>1.1333333333333333</x:v>
      </x:c>
      <x:c r="I9" s="13" t="str">
        <x:f>IF(H9&gt;1.05,"Vượt kế hoạch",IF(H9&lt;0.8,"Thấp hơn kế hoạch","Đúng kế hoạch"))</x:f>
        <x:v>Vượt kế hoạch</x:v>
      </x:c>
    </x:row>
    <x:row r="10">
      <x:c r="A10" s="20" t="n">
        <x:v>46266</x:v>
      </x:c>
      <x:c r="B10" s="13" t="str">
        <x:v>Q3</x:v>
      </x:c>
      <x:c r="C10" s="13" t="str">
        <x:v>Hạ tầng mạng</x:v>
      </x:c>
      <x:c r="D10" s="13" t="str">
        <x:v>Wi-Fi access point</x:v>
      </x:c>
      <x:c r="E10" s="16" t="n">
        <x:v>100000000</x:v>
      </x:c>
      <x:c r="F10" s="16" t="n">
        <x:v>109000000</x:v>
      </x:c>
      <x:c r="G10" s="16" t="n">
        <x:f>F10-E10</x:f>
        <x:v>9000000</x:v>
      </x:c>
      <x:c r="H10" s="22" t="n">
        <x:f>IF(E10=0,0,F10/E10)</x:f>
        <x:v>1.09</x:v>
      </x:c>
      <x:c r="I10" s="13" t="str">
        <x:f>IF(H10&gt;1.05,"Vượt kế hoạch",IF(H10&lt;0.8,"Thấp hơn kế hoạch","Đúng kế hoạch"))</x:f>
        <x:v>Vượt kế hoạch</x:v>
      </x:c>
    </x:row>
    <x:row r="11">
      <x:c r="A11" s="20" t="n">
        <x:v>46296</x:v>
      </x:c>
      <x:c r="B11" s="13" t="str">
        <x:v>Q4</x:v>
      </x:c>
      <x:c r="C11" s="13" t="str">
        <x:v>Hệ thống máy chủ</x:v>
      </x:c>
      <x:c r="D11" s="13" t="str">
        <x:v>Gia hạn bảo hành server</x:v>
      </x:c>
      <x:c r="E11" s="16" t="n">
        <x:v>150000000</x:v>
      </x:c>
      <x:c r="F11" s="16" t="n">
        <x:v>169000000</x:v>
      </x:c>
      <x:c r="G11" s="16" t="n">
        <x:f>F11-E11</x:f>
        <x:v>19000000</x:v>
      </x:c>
      <x:c r="H11" s="22" t="n">
        <x:f>IF(E11=0,0,F11/E11)</x:f>
        <x:v>1.1266666666666667</x:v>
      </x:c>
      <x:c r="I11" s="13" t="str">
        <x:f>IF(H11&gt;1.05,"Vượt kế hoạch",IF(H11&lt;0.8,"Thấp hơn kế hoạch","Đúng kế hoạch"))</x:f>
        <x:v>Vượt kế hoạch</x:v>
      </x:c>
    </x:row>
    <x:row r="12">
      <x:c r="A12" s="20" t="n">
        <x:v>46327</x:v>
      </x:c>
      <x:c r="B12" s="13" t="str">
        <x:v>Q4</x:v>
      </x:c>
      <x:c r="C12" s="13" t="str">
        <x:v>Bảo mật thông tin</x:v>
      </x:c>
      <x:c r="D12" s="13" t="str">
        <x:v>Giám sát SOC</x:v>
      </x:c>
      <x:c r="E12" s="16" t="n">
        <x:v>50000000</x:v>
      </x:c>
      <x:c r="F12" s="16" t="n">
        <x:v>54000000</x:v>
      </x:c>
      <x:c r="G12" s="16" t="n">
        <x:f>F12-E12</x:f>
        <x:v>4000000</x:v>
      </x:c>
      <x:c r="H12" s="22" t="n">
        <x:f>IF(E12=0,0,F12/E12)</x:f>
        <x:v>1.08</x:v>
      </x:c>
      <x:c r="I12" s="13" t="str">
        <x:f>IF(H12&gt;1.05,"Vượt kế hoạch",IF(H12&lt;0.8,"Thấp hơn kế hoạch","Đúng kế hoạch"))</x:f>
        <x:v>Vượt kế hoạch</x:v>
      </x:c>
    </x:row>
    <x:row r="13">
      <x:c r="A13" s="20" t="n">
        <x:v>46357</x:v>
      </x:c>
      <x:c r="B13" s="13" t="str">
        <x:v>Q4</x:v>
      </x:c>
      <x:c r="C13" s="13" t="str">
        <x:v>Phần mềm bản quyền</x:v>
      </x:c>
      <x:c r="D13" s="13" t="str">
        <x:v>Zoom/Teams license</x:v>
      </x:c>
      <x:c r="E13" s="16" t="n">
        <x:v>75000000</x:v>
      </x:c>
      <x:c r="F13" s="16" t="n">
        <x:v>86000000</x:v>
      </x:c>
      <x:c r="G13" s="16" t="n">
        <x:f>F13-E13</x:f>
        <x:v>11000000</x:v>
      </x:c>
      <x:c r="H13" s="22" t="n">
        <x:f>IF(E13=0,0,F13/E13)</x:f>
        <x:v>1.1466666666666667</x:v>
      </x:c>
      <x:c r="I13" s="13" t="str">
        <x:f>IF(H13&gt;1.05,"Vượt kế hoạch",IF(H13&lt;0.8,"Thấp hơn kế hoạch","Đúng kế hoạch"))</x:f>
        <x:v>Vượt kế hoạch</x:v>
      </x:c>
    </x:row>
    <x:row r="14">
      <x:c r="A14" s="20" t="n">
        <x:v>46023</x:v>
      </x:c>
      <x:c r="B14" s="13" t="str">
        <x:v>Q1</x:v>
      </x:c>
      <x:c r="C14" s="13" t="str">
        <x:v>Hỗ trợ người dùng</x:v>
      </x:c>
      <x:c r="D14" s="13" t="str">
        <x:v>Thiết bị ngoại vi</x:v>
      </x:c>
      <x:c r="E14" s="16" t="n">
        <x:v>200000000</x:v>
      </x:c>
      <x:c r="F14" s="16" t="n">
        <x:v>214000000</x:v>
      </x:c>
      <x:c r="G14" s="16" t="n">
        <x:f>F14-E14</x:f>
        <x:v>14000000</x:v>
      </x:c>
      <x:c r="H14" s="22" t="n">
        <x:f>IF(E14=0,0,F14/E14)</x:f>
        <x:v>1.07</x:v>
      </x:c>
      <x:c r="I14" s="13" t="str">
        <x:f>IF(H14&gt;1.05,"Vượt kế hoạch",IF(H14&lt;0.8,"Thấp hơn kế hoạch","Đúng kế hoạch"))</x:f>
        <x:v>Vượt kế hoạch</x:v>
      </x:c>
    </x:row>
    <x:row r="15">
      <x:c r="A15" s="20" t="n">
        <x:v>46054</x:v>
      </x:c>
      <x:c r="B15" s="13" t="str">
        <x:v>Q1</x:v>
      </x:c>
      <x:c r="C15" s="13" t="str">
        <x:v>Chuyển đổi số</x:v>
      </x:c>
      <x:c r="D15" s="13" t="str">
        <x:v>Dashboard quản trị</x:v>
      </x:c>
      <x:c r="E15" s="16" t="n">
        <x:v>150000000</x:v>
      </x:c>
      <x:c r="F15" s="16" t="n">
        <x:v>147000000</x:v>
      </x:c>
      <x:c r="G15" s="16" t="n">
        <x:f>F15-E15</x:f>
        <x:v>-3000000</x:v>
      </x:c>
      <x:c r="H15" s="22" t="n">
        <x:f>IF(E15=0,0,F15/E15)</x:f>
        <x:v>0.98</x:v>
      </x:c>
      <x:c r="I15" s="13" t="str">
        <x:f>IF(H15&gt;1.05,"Vượt kế hoạch",IF(H15&lt;0.8,"Thấp hơn kế hoạch","Đúng kế hoạch"))</x:f>
        <x:v>Đúng kế hoạch</x:v>
      </x:c>
    </x:row>
    <x:row r="16">
      <x:c r="A16" s="20" t="n">
        <x:v>46082</x:v>
      </x:c>
      <x:c r="B16" s="13" t="str">
        <x:v>Q1</x:v>
      </x:c>
      <x:c r="C16" s="13" t="str">
        <x:v>LMS/SIS</x:v>
      </x:c>
      <x:c r="D16" s="13" t="str">
        <x:v>Nâng cấp cổng sinh viên</x:v>
      </x:c>
      <x:c r="E16" s="16" t="n">
        <x:v>150000000</x:v>
      </x:c>
      <x:c r="F16" s="16" t="n">
        <x:v>162000000</x:v>
      </x:c>
      <x:c r="G16" s="16" t="n">
        <x:f>F16-E16</x:f>
        <x:v>12000000</x:v>
      </x:c>
      <x:c r="H16" s="22" t="n">
        <x:f>IF(E16=0,0,F16/E16)</x:f>
        <x:v>1.08</x:v>
      </x:c>
      <x:c r="I16" s="13" t="str">
        <x:f>IF(H16&gt;1.05,"Vượt kế hoạch",IF(H16&lt;0.8,"Thấp hơn kế hoạch","Đúng kế hoạch"))</x:f>
        <x:v>Vượt kế hoạch</x:v>
      </x:c>
    </x:row>
    <x:row r="17">
      <x:c r="A17" s="20" t="n">
        <x:v>46113</x:v>
      </x:c>
      <x:c r="B17" s="13" t="str">
        <x:v>Q2</x:v>
      </x:c>
      <x:c r="C17" s="13" t="str">
        <x:v>Phòng máy tính</x:v>
      </x:c>
      <x:c r="D17" s="13" t="str">
        <x:v>Nâng cấp PC lab</x:v>
      </x:c>
      <x:c r="E17" s="16" t="n">
        <x:v>50000000</x:v>
      </x:c>
      <x:c r="F17" s="16" t="n">
        <x:v>55000000</x:v>
      </x:c>
      <x:c r="G17" s="16" t="n">
        <x:f>F17-E17</x:f>
        <x:v>5000000</x:v>
      </x:c>
      <x:c r="H17" s="22" t="n">
        <x:f>IF(E17=0,0,F17/E17)</x:f>
        <x:v>1.1</x:v>
      </x:c>
      <x:c r="I17" s="13" t="str">
        <x:f>IF(H17&gt;1.05,"Vượt kế hoạch",IF(H17&lt;0.8,"Thấp hơn kế hoạch","Đúng kế hoạch"))</x:f>
        <x:v>Vượt kế hoạch</x:v>
      </x:c>
    </x:row>
    <x:row r="18">
      <x:c r="A18" s="20" t="n">
        <x:v>46143</x:v>
      </x:c>
      <x:c r="B18" s="13" t="str">
        <x:v>Q2</x:v>
      </x:c>
      <x:c r="C18" s="13" t="str">
        <x:v>Hạ tầng mạng</x:v>
      </x:c>
      <x:c r="D18" s="13" t="str">
        <x:v>Thiết bị firewall</x:v>
      </x:c>
      <x:c r="E18" s="16" t="n">
        <x:v>300000000</x:v>
      </x:c>
      <x:c r="F18" s="16" t="n">
        <x:v>242000000</x:v>
      </x:c>
      <x:c r="G18" s="16" t="n">
        <x:f>F18-E18</x:f>
        <x:v>-58000000</x:v>
      </x:c>
      <x:c r="H18" s="22" t="n">
        <x:f>IF(E18=0,0,F18/E18)</x:f>
        <x:v>0.8066666666666666</x:v>
      </x:c>
      <x:c r="I18" s="13" t="str">
        <x:f>IF(H18&gt;1.05,"Vượt kế hoạch",IF(H18&lt;0.8,"Thấp hơn kế hoạch","Đúng kế hoạch"))</x:f>
        <x:v>Đúng kế hoạch</x:v>
      </x:c>
    </x:row>
    <x:row r="19">
      <x:c r="A19" s="20" t="n">
        <x:v>46174</x:v>
      </x:c>
      <x:c r="B19" s="13" t="str">
        <x:v>Q2</x:v>
      </x:c>
      <x:c r="C19" s="13" t="str">
        <x:v>Hệ thống máy chủ</x:v>
      </x:c>
      <x:c r="D19" s="13" t="str">
        <x:v>Backup server</x:v>
      </x:c>
      <x:c r="E19" s="16" t="n">
        <x:v>75000000</x:v>
      </x:c>
      <x:c r="F19" s="16" t="n">
        <x:v>76000000</x:v>
      </x:c>
      <x:c r="G19" s="16" t="n">
        <x:f>F19-E19</x:f>
        <x:v>1000000</x:v>
      </x:c>
      <x:c r="H19" s="22" t="n">
        <x:f>IF(E19=0,0,F19/E19)</x:f>
        <x:v>1.0133333333333334</x:v>
      </x:c>
      <x:c r="I19" s="13" t="str">
        <x:f>IF(H19&gt;1.05,"Vượt kế hoạch",IF(H19&lt;0.8,"Thấp hơn kế hoạch","Đúng kế hoạch"))</x:f>
        <x:v>Đúng kế hoạch</x:v>
      </x:c>
    </x:row>
    <x:row r="20">
      <x:c r="A20" s="20" t="n">
        <x:v>46204</x:v>
      </x:c>
      <x:c r="B20" s="13" t="str">
        <x:v>Q3</x:v>
      </x:c>
      <x:c r="C20" s="13" t="str">
        <x:v>Bảo mật thông tin</x:v>
      </x:c>
      <x:c r="D20" s="13" t="str">
        <x:v>Phần mềm antivirus/EDR</x:v>
      </x:c>
      <x:c r="E20" s="16" t="n">
        <x:v>100000000</x:v>
      </x:c>
      <x:c r="F20" s="16" t="n">
        <x:v>105000000</x:v>
      </x:c>
      <x:c r="G20" s="16" t="n">
        <x:f>F20-E20</x:f>
        <x:v>5000000</x:v>
      </x:c>
      <x:c r="H20" s="22" t="n">
        <x:f>IF(E20=0,0,F20/E20)</x:f>
        <x:v>1.05</x:v>
      </x:c>
      <x:c r="I20" s="13" t="str">
        <x:f>IF(H20&gt;1.05,"Vượt kế hoạch",IF(H20&lt;0.8,"Thấp hơn kế hoạch","Đúng kế hoạch"))</x:f>
        <x:v>Đúng kế hoạch</x:v>
      </x:c>
    </x:row>
    <x:row r="21">
      <x:c r="A21" s="20" t="n">
        <x:v>46235</x:v>
      </x:c>
      <x:c r="B21" s="13" t="str">
        <x:v>Q3</x:v>
      </x:c>
      <x:c r="C21" s="13" t="str">
        <x:v>Phần mềm bản quyền</x:v>
      </x:c>
      <x:c r="D21" s="13" t="str">
        <x:v>Microsoft 365</x:v>
      </x:c>
      <x:c r="E21" s="16" t="n">
        <x:v>200000000</x:v>
      </x:c>
      <x:c r="F21" s="16" t="n">
        <x:v>200000000</x:v>
      </x:c>
      <x:c r="G21" s="16" t="n">
        <x:f>F21-E21</x:f>
        <x:v>0</x:v>
      </x:c>
      <x:c r="H21" s="22" t="n">
        <x:f>IF(E21=0,0,F21/E21)</x:f>
        <x:v>1</x:v>
      </x:c>
      <x:c r="I21" s="13" t="str">
        <x:f>IF(H21&gt;1.05,"Vượt kế hoạch",IF(H21&lt;0.8,"Thấp hơn kế hoạch","Đúng kế hoạch"))</x:f>
        <x:v>Đúng kế hoạch</x:v>
      </x:c>
    </x:row>
    <x:row r="22">
      <x:c r="A22" s="20" t="n">
        <x:v>46266</x:v>
      </x:c>
      <x:c r="B22" s="13" t="str">
        <x:v>Q3</x:v>
      </x:c>
      <x:c r="C22" s="13" t="str">
        <x:v>Hỗ trợ người dùng</x:v>
      </x:c>
      <x:c r="D22" s="13" t="str">
        <x:v>Helpdesk system</x:v>
      </x:c>
      <x:c r="E22" s="16" t="n">
        <x:v>30000000</x:v>
      </x:c>
      <x:c r="F22" s="16" t="n">
        <x:v>33000000</x:v>
      </x:c>
      <x:c r="G22" s="16" t="n">
        <x:f>F22-E22</x:f>
        <x:v>3000000</x:v>
      </x:c>
      <x:c r="H22" s="22" t="n">
        <x:f>IF(E22=0,0,F22/E22)</x:f>
        <x:v>1.1</x:v>
      </x:c>
      <x:c r="I22" s="13" t="str">
        <x:f>IF(H22&gt;1.05,"Vượt kế hoạch",IF(H22&lt;0.8,"Thấp hơn kế hoạch","Đúng kế hoạch"))</x:f>
        <x:v>Vượt kế hoạch</x:v>
      </x:c>
    </x:row>
    <x:row r="23">
      <x:c r="A23" s="20" t="n">
        <x:v>46296</x:v>
      </x:c>
      <x:c r="B23" s="13" t="str">
        <x:v>Q4</x:v>
      </x:c>
      <x:c r="C23" s="13" t="str">
        <x:v>Chuyển đổi số</x:v>
      </x:c>
      <x:c r="D23" s="13" t="str">
        <x:v>Tự động hóa quy trình</x:v>
      </x:c>
      <x:c r="E23" s="16" t="n">
        <x:v>50000000</x:v>
      </x:c>
      <x:c r="F23" s="16" t="n">
        <x:v>57000000</x:v>
      </x:c>
      <x:c r="G23" s="16" t="n">
        <x:f>F23-E23</x:f>
        <x:v>7000000</x:v>
      </x:c>
      <x:c r="H23" s="22" t="n">
        <x:f>IF(E23=0,0,F23/E23)</x:f>
        <x:v>1.14</x:v>
      </x:c>
      <x:c r="I23" s="13" t="str">
        <x:f>IF(H23&gt;1.05,"Vượt kế hoạch",IF(H23&lt;0.8,"Thấp hơn kế hoạch","Đúng kế hoạch"))</x:f>
        <x:v>Vượt kế hoạch</x:v>
      </x:c>
    </x:row>
    <x:row r="24">
      <x:c r="A24" s="20" t="n">
        <x:v>46327</x:v>
      </x:c>
      <x:c r="B24" s="13" t="str">
        <x:v>Q4</x:v>
      </x:c>
      <x:c r="C24" s="13" t="str">
        <x:v>LMS/SIS</x:v>
      </x:c>
      <x:c r="D24" s="13" t="str">
        <x:v>Bảo trì LMS</x:v>
      </x:c>
      <x:c r="E24" s="16" t="n">
        <x:v>300000000</x:v>
      </x:c>
      <x:c r="F24" s="16" t="n">
        <x:v>332000000</x:v>
      </x:c>
      <x:c r="G24" s="16" t="n">
        <x:f>F24-E24</x:f>
        <x:v>32000000</x:v>
      </x:c>
      <x:c r="H24" s="22" t="n">
        <x:f>IF(E24=0,0,F24/E24)</x:f>
        <x:v>1.1066666666666667</x:v>
      </x:c>
      <x:c r="I24" s="13" t="str">
        <x:f>IF(H24&gt;1.05,"Vượt kế hoạch",IF(H24&lt;0.8,"Thấp hơn kế hoạch","Đúng kế hoạch"))</x:f>
        <x:v>Vượt kế hoạch</x:v>
      </x:c>
    </x:row>
    <x:row r="25">
      <x:c r="A25" s="20" t="n">
        <x:v>46357</x:v>
      </x:c>
      <x:c r="B25" s="13" t="str">
        <x:v>Q4</x:v>
      </x:c>
      <x:c r="C25" s="13" t="str">
        <x:v>Phòng máy tính</x:v>
      </x:c>
      <x:c r="D25" s="13" t="str">
        <x:v>Máy chiếu/màn hình</x:v>
      </x:c>
      <x:c r="E25" s="16" t="n">
        <x:v>30000000</x:v>
      </x:c>
      <x:c r="F25" s="16" t="n">
        <x:v>30000000</x:v>
      </x:c>
      <x:c r="G25" s="16" t="n">
        <x:f>F25-E25</x:f>
        <x:v>0</x:v>
      </x:c>
      <x:c r="H25" s="22" t="n">
        <x:f>IF(E25=0,0,F25/E25)</x:f>
        <x:v>1</x:v>
      </x:c>
      <x:c r="I25" s="13" t="str">
        <x:f>IF(H25&gt;1.05,"Vượt kế hoạch",IF(H25&lt;0.8,"Thấp hơn kế hoạch","Đúng kế hoạch"))</x:f>
        <x:v>Đúng kế hoạch</x:v>
      </x:c>
    </x:row>
    <x:row r="26">
      <x:c r="A26" s="20" t="n">
        <x:v>46023</x:v>
      </x:c>
      <x:c r="B26" s="13" t="str">
        <x:v>Q1</x:v>
      </x:c>
      <x:c r="C26" s="13" t="str">
        <x:v>Hạ tầng mạng</x:v>
      </x:c>
      <x:c r="D26" s="13" t="str">
        <x:v>Bảo trì hệ thống mạng</x:v>
      </x:c>
      <x:c r="E26" s="16" t="n">
        <x:v>50000000</x:v>
      </x:c>
      <x:c r="F26" s="16" t="n">
        <x:v>58000000</x:v>
      </x:c>
      <x:c r="G26" s="16" t="n">
        <x:f>F26-E26</x:f>
        <x:v>8000000</x:v>
      </x:c>
      <x:c r="H26" s="22" t="n">
        <x:f>IF(E26=0,0,F26/E26)</x:f>
        <x:v>1.16</x:v>
      </x:c>
      <x:c r="I26" s="13" t="str">
        <x:f>IF(H26&gt;1.05,"Vượt kế hoạch",IF(H26&lt;0.8,"Thấp hơn kế hoạch","Đúng kế hoạch"))</x:f>
        <x:v>Vượt kế hoạch</x:v>
      </x:c>
    </x:row>
    <x:row r="27">
      <x:c r="A27" s="20" t="n">
        <x:v>46054</x:v>
      </x:c>
      <x:c r="B27" s="13" t="str">
        <x:v>Q1</x:v>
      </x:c>
      <x:c r="C27" s="13" t="str">
        <x:v>Hệ thống máy chủ</x:v>
      </x:c>
      <x:c r="D27" s="13" t="str">
        <x:v>Backup server</x:v>
      </x:c>
      <x:c r="E27" s="16" t="n">
        <x:v>75000000</x:v>
      </x:c>
      <x:c r="F27" s="16" t="n">
        <x:v>66000000</x:v>
      </x:c>
      <x:c r="G27" s="16" t="n">
        <x:f>F27-E27</x:f>
        <x:v>-9000000</x:v>
      </x:c>
      <x:c r="H27" s="22" t="n">
        <x:f>IF(E27=0,0,F27/E27)</x:f>
        <x:v>0.88</x:v>
      </x:c>
      <x:c r="I27" s="13" t="str">
        <x:f>IF(H27&gt;1.05,"Vượt kế hoạch",IF(H27&lt;0.8,"Thấp hơn kế hoạch","Đúng kế hoạch"))</x:f>
        <x:v>Đúng kế hoạch</x:v>
      </x:c>
    </x:row>
    <x:row r="28">
      <x:c r="A28" s="20" t="n">
        <x:v>46082</x:v>
      </x:c>
      <x:c r="B28" s="13" t="str">
        <x:v>Q1</x:v>
      </x:c>
      <x:c r="C28" s="13" t="str">
        <x:v>Bảo mật thông tin</x:v>
      </x:c>
      <x:c r="D28" s="13" t="str">
        <x:v>Phần mềm antivirus/EDR</x:v>
      </x:c>
      <x:c r="E28" s="16" t="n">
        <x:v>150000000</x:v>
      </x:c>
      <x:c r="F28" s="16" t="n">
        <x:v>132000000</x:v>
      </x:c>
      <x:c r="G28" s="16" t="n">
        <x:f>F28-E28</x:f>
        <x:v>-18000000</x:v>
      </x:c>
      <x:c r="H28" s="22" t="n">
        <x:f>IF(E28=0,0,F28/E28)</x:f>
        <x:v>0.88</x:v>
      </x:c>
      <x:c r="I28" s="13" t="str">
        <x:f>IF(H28&gt;1.05,"Vượt kế hoạch",IF(H28&lt;0.8,"Thấp hơn kế hoạch","Đúng kế hoạch"))</x:f>
        <x:v>Đúng kế hoạch</x:v>
      </x:c>
    </x:row>
    <x:row r="29">
      <x:c r="A29" s="20" t="n">
        <x:v>46113</x:v>
      </x:c>
      <x:c r="B29" s="13" t="str">
        <x:v>Q2</x:v>
      </x:c>
      <x:c r="C29" s="13" t="str">
        <x:v>Phần mềm bản quyền</x:v>
      </x:c>
      <x:c r="D29" s="13" t="str">
        <x:v>Phần mềm thống kê/dữ liệu</x:v>
      </x:c>
      <x:c r="E29" s="16" t="n">
        <x:v>200000000</x:v>
      </x:c>
      <x:c r="F29" s="16" t="n">
        <x:v>212000000</x:v>
      </x:c>
      <x:c r="G29" s="16" t="n">
        <x:f>F29-E29</x:f>
        <x:v>12000000</x:v>
      </x:c>
      <x:c r="H29" s="22" t="n">
        <x:f>IF(E29=0,0,F29/E29)</x:f>
        <x:v>1.06</x:v>
      </x:c>
      <x:c r="I29" s="13" t="str">
        <x:f>IF(H29&gt;1.05,"Vượt kế hoạch",IF(H29&lt;0.8,"Thấp hơn kế hoạch","Đúng kế hoạch"))</x:f>
        <x:v>Vượt kế hoạch</x:v>
      </x:c>
    </x:row>
    <x:row r="30">
      <x:c r="A30" s="20" t="n">
        <x:v>46143</x:v>
      </x:c>
      <x:c r="B30" s="13" t="str">
        <x:v>Q2</x:v>
      </x:c>
      <x:c r="C30" s="13" t="str">
        <x:v>Hỗ trợ người dùng</x:v>
      </x:c>
      <x:c r="D30" s="13" t="str">
        <x:v>Helpdesk system</x:v>
      </x:c>
      <x:c r="E30" s="16" t="n">
        <x:v>30000000</x:v>
      </x:c>
      <x:c r="F30" s="16" t="n">
        <x:v>31000000</x:v>
      </x:c>
      <x:c r="G30" s="16" t="n">
        <x:f>F30-E30</x:f>
        <x:v>1000000</x:v>
      </x:c>
      <x:c r="H30" s="22" t="n">
        <x:f>IF(E30=0,0,F30/E30)</x:f>
        <x:v>1.0333333333333334</x:v>
      </x:c>
      <x:c r="I30" s="13" t="str">
        <x:f>IF(H30&gt;1.05,"Vượt kế hoạch",IF(H30&lt;0.8,"Thấp hơn kế hoạch","Đúng kế hoạch"))</x:f>
        <x:v>Đúng kế hoạch</x:v>
      </x:c>
    </x:row>
    <x:row r="31">
      <x:c r="A31" s="20" t="n">
        <x:v>46174</x:v>
      </x:c>
      <x:c r="B31" s="13" t="str">
        <x:v>Q2</x:v>
      </x:c>
      <x:c r="C31" s="13" t="str">
        <x:v>Chuyển đổi số</x:v>
      </x:c>
      <x:c r="D31" s="13" t="str">
        <x:v>Phát triển chatbot nội bộ</x:v>
      </x:c>
      <x:c r="E31" s="16" t="n">
        <x:v>200000000</x:v>
      </x:c>
      <x:c r="F31" s="16" t="n">
        <x:v>184000000</x:v>
      </x:c>
      <x:c r="G31" s="16" t="n">
        <x:f>F31-E31</x:f>
        <x:v>-16000000</x:v>
      </x:c>
      <x:c r="H31" s="22" t="n">
        <x:f>IF(E31=0,0,F31/E31)</x:f>
        <x:v>0.92</x:v>
      </x:c>
      <x:c r="I31" s="13" t="str">
        <x:f>IF(H31&gt;1.05,"Vượt kế hoạch",IF(H31&lt;0.8,"Thấp hơn kế hoạch","Đúng kế hoạch"))</x:f>
        <x:v>Đúng kế hoạch</x:v>
      </x:c>
    </x:row>
    <x:row r="32">
      <x:c r="A32" s="20" t="n">
        <x:v>46204</x:v>
      </x:c>
      <x:c r="B32" s="13" t="str">
        <x:v>Q3</x:v>
      </x:c>
      <x:c r="C32" s="13" t="str">
        <x:v>LMS/SIS</x:v>
      </x:c>
      <x:c r="D32" s="13" t="str">
        <x:v>Tối ưu cơ sở dữ liệu</x:v>
      </x:c>
      <x:c r="E32" s="16" t="n">
        <x:v>200000000</x:v>
      </x:c>
      <x:c r="F32" s="16" t="n">
        <x:v>233000000</x:v>
      </x:c>
      <x:c r="G32" s="16" t="n">
        <x:f>F32-E32</x:f>
        <x:v>33000000</x:v>
      </x:c>
      <x:c r="H32" s="22" t="n">
        <x:f>IF(E32=0,0,F32/E32)</x:f>
        <x:v>1.165</x:v>
      </x:c>
      <x:c r="I32" s="13" t="str">
        <x:f>IF(H32&gt;1.05,"Vượt kế hoạch",IF(H32&lt;0.8,"Thấp hơn kế hoạch","Đúng kế hoạch"))</x:f>
        <x:v>Vượt kế hoạch</x:v>
      </x:c>
    </x:row>
    <x:row r="33">
      <x:c r="A33" s="20" t="n">
        <x:v>46235</x:v>
      </x:c>
      <x:c r="B33" s="13" t="str">
        <x:v>Q3</x:v>
      </x:c>
      <x:c r="C33" s="13" t="str">
        <x:v>Phòng máy tính</x:v>
      </x:c>
      <x:c r="D33" s="13" t="str">
        <x:v>Nâng cấp PC lab</x:v>
      </x:c>
      <x:c r="E33" s="16" t="n">
        <x:v>200000000</x:v>
      </x:c>
      <x:c r="F33" s="16" t="n">
        <x:v>188000000</x:v>
      </x:c>
      <x:c r="G33" s="16" t="n">
        <x:f>F33-E33</x:f>
        <x:v>-12000000</x:v>
      </x:c>
      <x:c r="H33" s="22" t="n">
        <x:f>IF(E33=0,0,F33/E33)</x:f>
        <x:v>0.94</x:v>
      </x:c>
      <x:c r="I33" s="13" t="str">
        <x:f>IF(H33&gt;1.05,"Vượt kế hoạch",IF(H33&lt;0.8,"Thấp hơn kế hoạch","Đúng kế hoạch"))</x:f>
        <x:v>Đúng kế hoạch</x:v>
      </x:c>
    </x:row>
    <x:row r="34">
      <x:c r="A34" s="20" t="n">
        <x:v>46266</x:v>
      </x:c>
      <x:c r="B34" s="13" t="str">
        <x:v>Q3</x:v>
      </x:c>
      <x:c r="C34" s="13" t="str">
        <x:v>Hạ tầng mạng</x:v>
      </x:c>
      <x:c r="D34" s="13" t="str">
        <x:v>Bảo trì hệ thống mạng</x:v>
      </x:c>
      <x:c r="E34" s="16" t="n">
        <x:v>200000000</x:v>
      </x:c>
      <x:c r="F34" s="16" t="n">
        <x:v>211000000</x:v>
      </x:c>
      <x:c r="G34" s="16" t="n">
        <x:f>F34-E34</x:f>
        <x:v>11000000</x:v>
      </x:c>
      <x:c r="H34" s="22" t="n">
        <x:f>IF(E34=0,0,F34/E34)</x:f>
        <x:v>1.055</x:v>
      </x:c>
      <x:c r="I34" s="13" t="str">
        <x:f>IF(H34&gt;1.05,"Vượt kế hoạch",IF(H34&lt;0.8,"Thấp hơn kế hoạch","Đúng kế hoạch"))</x:f>
        <x:v>Vượt kế hoạch</x:v>
      </x:c>
    </x:row>
    <x:row r="35">
      <x:c r="A35" s="20" t="n">
        <x:v>46296</x:v>
      </x:c>
      <x:c r="B35" s="13" t="str">
        <x:v>Q4</x:v>
      </x:c>
      <x:c r="C35" s="13" t="str">
        <x:v>Hệ thống máy chủ</x:v>
      </x:c>
      <x:c r="D35" s="13" t="str">
        <x:v>Lưu trữ NAS/SAN</x:v>
      </x:c>
      <x:c r="E35" s="16" t="n">
        <x:v>75000000</x:v>
      </x:c>
      <x:c r="F35" s="16" t="n">
        <x:v>74000000</x:v>
      </x:c>
      <x:c r="G35" s="16" t="n">
        <x:f>F35-E35</x:f>
        <x:v>-1000000</x:v>
      </x:c>
      <x:c r="H35" s="22" t="n">
        <x:f>IF(E35=0,0,F35/E35)</x:f>
        <x:v>0.9866666666666667</x:v>
      </x:c>
      <x:c r="I35" s="13" t="str">
        <x:f>IF(H35&gt;1.05,"Vượt kế hoạch",IF(H35&lt;0.8,"Thấp hơn kế hoạch","Đúng kế hoạch"))</x:f>
        <x:v>Đúng kế hoạch</x:v>
      </x:c>
    </x:row>
    <x:row r="36">
      <x:c r="A36" s="20" t="n">
        <x:v>46327</x:v>
      </x:c>
      <x:c r="B36" s="13" t="str">
        <x:v>Q4</x:v>
      </x:c>
      <x:c r="C36" s="13" t="str">
        <x:v>Bảo mật thông tin</x:v>
      </x:c>
      <x:c r="D36" s="13" t="str">
        <x:v>Giám sát SOC</x:v>
      </x:c>
      <x:c r="E36" s="16" t="n">
        <x:v>300000000</x:v>
      </x:c>
      <x:c r="F36" s="16" t="n">
        <x:v>226000000</x:v>
      </x:c>
      <x:c r="G36" s="16" t="n">
        <x:f>F36-E36</x:f>
        <x:v>-74000000</x:v>
      </x:c>
      <x:c r="H36" s="22" t="n">
        <x:f>IF(E36=0,0,F36/E36)</x:f>
        <x:v>0.7533333333333333</x:v>
      </x:c>
      <x:c r="I36" s="13" t="str">
        <x:f>IF(H36&gt;1.05,"Vượt kế hoạch",IF(H36&lt;0.8,"Thấp hơn kế hoạch","Đúng kế hoạch"))</x:f>
        <x:v>Thấp hơn kế hoạch</x:v>
      </x:c>
    </x:row>
    <x:row r="37">
      <x:c r="A37" s="20" t="n">
        <x:v>46357</x:v>
      </x:c>
      <x:c r="B37" s="13" t="str">
        <x:v>Q4</x:v>
      </x:c>
      <x:c r="C37" s="13" t="str">
        <x:v>Phần mềm bản quyền</x:v>
      </x:c>
      <x:c r="D37" s="13" t="str">
        <x:v>Zoom/Teams license</x:v>
      </x:c>
      <x:c r="E37" s="16" t="n">
        <x:v>150000000</x:v>
      </x:c>
      <x:c r="F37" s="16" t="n">
        <x:v>122000000</x:v>
      </x:c>
      <x:c r="G37" s="16" t="n">
        <x:f>F37-E37</x:f>
        <x:v>-28000000</x:v>
      </x:c>
      <x:c r="H37" s="22" t="n">
        <x:f>IF(E37=0,0,F37/E37)</x:f>
        <x:v>0.8133333333333334</x:v>
      </x:c>
      <x:c r="I37" s="13" t="str">
        <x:f>IF(H37&gt;1.05,"Vượt kế hoạch",IF(H37&lt;0.8,"Thấp hơn kế hoạch","Đúng kế hoạch"))</x:f>
        <x:v>Đúng kế hoạch</x:v>
      </x:c>
    </x:row>
    <x:row r="38">
      <x:c r="A38" s="20" t="n">
        <x:v>46023</x:v>
      </x:c>
      <x:c r="B38" s="13" t="str">
        <x:v>Q1</x:v>
      </x:c>
      <x:c r="C38" s="13" t="str">
        <x:v>Hỗ trợ người dùng</x:v>
      </x:c>
      <x:c r="D38" s="13" t="str">
        <x:v>Đào tạo sử dụng hệ thống</x:v>
      </x:c>
      <x:c r="E38" s="16" t="n">
        <x:v>150000000</x:v>
      </x:c>
      <x:c r="F38" s="16" t="n">
        <x:v>161000000</x:v>
      </x:c>
      <x:c r="G38" s="16" t="n">
        <x:f>F38-E38</x:f>
        <x:v>11000000</x:v>
      </x:c>
      <x:c r="H38" s="22" t="n">
        <x:f>IF(E38=0,0,F38/E38)</x:f>
        <x:v>1.0733333333333333</x:v>
      </x:c>
      <x:c r="I38" s="13" t="str">
        <x:f>IF(H38&gt;1.05,"Vượt kế hoạch",IF(H38&lt;0.8,"Thấp hơn kế hoạch","Đúng kế hoạch"))</x:f>
        <x:v>Vượt kế hoạch</x:v>
      </x:c>
    </x:row>
    <x:row r="39">
      <x:c r="A39" s="20" t="n">
        <x:v>46054</x:v>
      </x:c>
      <x:c r="B39" s="13" t="str">
        <x:v>Q1</x:v>
      </x:c>
      <x:c r="C39" s="13" t="str">
        <x:v>Chuyển đổi số</x:v>
      </x:c>
      <x:c r="D39" s="13" t="str">
        <x:v>Dashboard quản trị</x:v>
      </x:c>
      <x:c r="E39" s="16" t="n">
        <x:v>300000000</x:v>
      </x:c>
      <x:c r="F39" s="16" t="n">
        <x:v>276000000</x:v>
      </x:c>
      <x:c r="G39" s="16" t="n">
        <x:f>F39-E39</x:f>
        <x:v>-24000000</x:v>
      </x:c>
      <x:c r="H39" s="22" t="n">
        <x:f>IF(E39=0,0,F39/E39)</x:f>
        <x:v>0.92</x:v>
      </x:c>
      <x:c r="I39" s="13" t="str">
        <x:f>IF(H39&gt;1.05,"Vượt kế hoạch",IF(H39&lt;0.8,"Thấp hơn kế hoạch","Đúng kế hoạch"))</x:f>
        <x:v>Đúng kế hoạch</x:v>
      </x:c>
    </x:row>
    <x:row r="40">
      <x:c r="A40" s="20" t="n">
        <x:v>46082</x:v>
      </x:c>
      <x:c r="B40" s="13" t="str">
        <x:v>Q1</x:v>
      </x:c>
      <x:c r="C40" s="13" t="str">
        <x:v>LMS/SIS</x:v>
      </x:c>
      <x:c r="D40" s="13" t="str">
        <x:v>Bảo trì LMS</x:v>
      </x:c>
      <x:c r="E40" s="16" t="n">
        <x:v>75000000</x:v>
      </x:c>
      <x:c r="F40" s="16" t="n">
        <x:v>62000000</x:v>
      </x:c>
      <x:c r="G40" s="16" t="n">
        <x:f>F40-E40</x:f>
        <x:v>-13000000</x:v>
      </x:c>
      <x:c r="H40" s="22" t="n">
        <x:f>IF(E40=0,0,F40/E40)</x:f>
        <x:v>0.8266666666666667</x:v>
      </x:c>
      <x:c r="I40" s="13" t="str">
        <x:f>IF(H40&gt;1.05,"Vượt kế hoạch",IF(H40&lt;0.8,"Thấp hơn kế hoạch","Đúng kế hoạch"))</x:f>
        <x:v>Đúng kế hoạch</x:v>
      </x:c>
    </x:row>
    <x:row r="41">
      <x:c r="A41" s="20" t="n">
        <x:v>46113</x:v>
      </x:c>
      <x:c r="B41" s="13" t="str">
        <x:v>Q2</x:v>
      </x:c>
      <x:c r="C41" s="13" t="str">
        <x:v>Phòng máy tính</x:v>
      </x:c>
      <x:c r="D41" s="13" t="str">
        <x:v>Bảo trì phòng lab</x:v>
      </x:c>
      <x:c r="E41" s="16" t="n">
        <x:v>200000000</x:v>
      </x:c>
      <x:c r="F41" s="16" t="n">
        <x:v>159000000</x:v>
      </x:c>
      <x:c r="G41" s="16" t="n">
        <x:f>F41-E41</x:f>
        <x:v>-41000000</x:v>
      </x:c>
      <x:c r="H41" s="22" t="n">
        <x:f>IF(E41=0,0,F41/E41)</x:f>
        <x:v>0.795</x:v>
      </x:c>
      <x:c r="I41" s="13" t="str">
        <x:f>IF(H41&gt;1.05,"Vượt kế hoạch",IF(H41&lt;0.8,"Thấp hơn kế hoạch","Đúng kế hoạch"))</x:f>
        <x:v>Thấp hơn kế hoạch</x:v>
      </x:c>
    </x:row>
    <x:row r="42">
      <x:c r="A42" s="20" t="n">
        <x:v>46143</x:v>
      </x:c>
      <x:c r="B42" s="13" t="str">
        <x:v>Q2</x:v>
      </x:c>
      <x:c r="C42" s="13" t="str">
        <x:v>Hạ tầng mạng</x:v>
      </x:c>
      <x:c r="D42" s="13" t="str">
        <x:v>Wi-Fi access point</x:v>
      </x:c>
      <x:c r="E42" s="16" t="n">
        <x:v>75000000</x:v>
      </x:c>
      <x:c r="F42" s="16" t="n">
        <x:v>74000000</x:v>
      </x:c>
      <x:c r="G42" s="16" t="n">
        <x:f>F42-E42</x:f>
        <x:v>-1000000</x:v>
      </x:c>
      <x:c r="H42" s="22" t="n">
        <x:f>IF(E42=0,0,F42/E42)</x:f>
        <x:v>0.9866666666666667</x:v>
      </x:c>
      <x:c r="I42" s="13" t="str">
        <x:f>IF(H42&gt;1.05,"Vượt kế hoạch",IF(H42&lt;0.8,"Thấp hơn kế hoạch","Đúng kế hoạch"))</x:f>
        <x:v>Đúng kế hoạch</x:v>
      </x:c>
    </x:row>
    <x:row r="43">
      <x:c r="A43" s="20" t="n">
        <x:v>46174</x:v>
      </x:c>
      <x:c r="B43" s="13" t="str">
        <x:v>Q2</x:v>
      </x:c>
      <x:c r="C43" s="13" t="str">
        <x:v>Hệ thống máy chủ</x:v>
      </x:c>
      <x:c r="D43" s="13" t="str">
        <x:v>Backup server</x:v>
      </x:c>
      <x:c r="E43" s="16" t="n">
        <x:v>100000000</x:v>
      </x:c>
      <x:c r="F43" s="16" t="n">
        <x:v>111000000</x:v>
      </x:c>
      <x:c r="G43" s="16" t="n">
        <x:f>F43-E43</x:f>
        <x:v>11000000</x:v>
      </x:c>
      <x:c r="H43" s="22" t="n">
        <x:f>IF(E43=0,0,F43/E43)</x:f>
        <x:v>1.11</x:v>
      </x:c>
      <x:c r="I43" s="13" t="str">
        <x:f>IF(H43&gt;1.05,"Vượt kế hoạch",IF(H43&lt;0.8,"Thấp hơn kế hoạch","Đúng kế hoạch"))</x:f>
        <x:v>Vượt kế hoạch</x:v>
      </x:c>
    </x:row>
    <x:row r="44">
      <x:c r="A44" s="20" t="n">
        <x:v>46204</x:v>
      </x:c>
      <x:c r="B44" s="13" t="str">
        <x:v>Q3</x:v>
      </x:c>
      <x:c r="C44" s="13" t="str">
        <x:v>Bảo mật thông tin</x:v>
      </x:c>
      <x:c r="D44" s="13" t="str">
        <x:v>Phần mềm antivirus/EDR</x:v>
      </x:c>
      <x:c r="E44" s="16" t="n">
        <x:v>30000000</x:v>
      </x:c>
      <x:c r="F44" s="16" t="n">
        <x:v>24000000</x:v>
      </x:c>
      <x:c r="G44" s="16" t="n">
        <x:f>F44-E44</x:f>
        <x:v>-6000000</x:v>
      </x:c>
      <x:c r="H44" s="22" t="n">
        <x:f>IF(E44=0,0,F44/E44)</x:f>
        <x:v>0.8</x:v>
      </x:c>
      <x:c r="I44" s="13" t="str">
        <x:f>IF(H44&gt;1.05,"Vượt kế hoạch",IF(H44&lt;0.8,"Thấp hơn kế hoạch","Đúng kế hoạch"))</x:f>
        <x:v>Đúng kế hoạch</x:v>
      </x:c>
    </x:row>
    <x:row r="45">
      <x:c r="A45" s="20" t="n">
        <x:v>46235</x:v>
      </x:c>
      <x:c r="B45" s="13" t="str">
        <x:v>Q3</x:v>
      </x:c>
      <x:c r="C45" s="13" t="str">
        <x:v>Phần mềm bản quyền</x:v>
      </x:c>
      <x:c r="D45" s="13" t="str">
        <x:v>Microsoft 365</x:v>
      </x:c>
      <x:c r="E45" s="16" t="n">
        <x:v>50000000</x:v>
      </x:c>
      <x:c r="F45" s="16" t="n">
        <x:v>52000000</x:v>
      </x:c>
      <x:c r="G45" s="16" t="n">
        <x:f>F45-E45</x:f>
        <x:v>2000000</x:v>
      </x:c>
      <x:c r="H45" s="22" t="n">
        <x:f>IF(E45=0,0,F45/E45)</x:f>
        <x:v>1.04</x:v>
      </x:c>
      <x:c r="I45" s="13" t="str">
        <x:f>IF(H45&gt;1.05,"Vượt kế hoạch",IF(H45&lt;0.8,"Thấp hơn kế hoạch","Đúng kế hoạch"))</x:f>
        <x:v>Đúng kế hoạch</x:v>
      </x:c>
    </x:row>
    <x:row r="46">
      <x:c r="A46" s="20" t="n">
        <x:v>46266</x:v>
      </x:c>
      <x:c r="B46" s="13" t="str">
        <x:v>Q3</x:v>
      </x:c>
      <x:c r="C46" s="13" t="str">
        <x:v>Hỗ trợ người dùng</x:v>
      </x:c>
      <x:c r="D46" s="13" t="str">
        <x:v>Thiết bị ngoại vi</x:v>
      </x:c>
      <x:c r="E46" s="16" t="n">
        <x:v>50000000</x:v>
      </x:c>
      <x:c r="F46" s="16" t="n">
        <x:v>42000000</x:v>
      </x:c>
      <x:c r="G46" s="16" t="n">
        <x:f>F46-E46</x:f>
        <x:v>-8000000</x:v>
      </x:c>
      <x:c r="H46" s="22" t="n">
        <x:f>IF(E46=0,0,F46/E46)</x:f>
        <x:v>0.84</x:v>
      </x:c>
      <x:c r="I46" s="13" t="str">
        <x:f>IF(H46&gt;1.05,"Vượt kế hoạch",IF(H46&lt;0.8,"Thấp hơn kế hoạch","Đúng kế hoạch"))</x:f>
        <x:v>Đúng kế hoạch</x:v>
      </x:c>
    </x:row>
    <x:row r="47">
      <x:c r="A47" s="20" t="n">
        <x:v>46296</x:v>
      </x:c>
      <x:c r="B47" s="13" t="str">
        <x:v>Q4</x:v>
      </x:c>
      <x:c r="C47" s="13" t="str">
        <x:v>Chuyển đổi số</x:v>
      </x:c>
      <x:c r="D47" s="13" t="str">
        <x:v>Phát triển chatbot nội bộ</x:v>
      </x:c>
      <x:c r="E47" s="16" t="n">
        <x:v>300000000</x:v>
      </x:c>
      <x:c r="F47" s="16" t="n">
        <x:v>285000000</x:v>
      </x:c>
      <x:c r="G47" s="16" t="n">
        <x:f>F47-E47</x:f>
        <x:v>-15000000</x:v>
      </x:c>
      <x:c r="H47" s="22" t="n">
        <x:f>IF(E47=0,0,F47/E47)</x:f>
        <x:v>0.95</x:v>
      </x:c>
      <x:c r="I47" s="13" t="str">
        <x:f>IF(H47&gt;1.05,"Vượt kế hoạch",IF(H47&lt;0.8,"Thấp hơn kế hoạch","Đúng kế hoạch"))</x:f>
        <x:v>Đúng kế hoạch</x:v>
      </x:c>
    </x:row>
    <x:row r="48">
      <x:c r="A48" s="20" t="n">
        <x:v>46327</x:v>
      </x:c>
      <x:c r="B48" s="13" t="str">
        <x:v>Q4</x:v>
      </x:c>
      <x:c r="C48" s="13" t="str">
        <x:v>LMS/SIS</x:v>
      </x:c>
      <x:c r="D48" s="13" t="str">
        <x:v>Bảo trì LMS</x:v>
      </x:c>
      <x:c r="E48" s="16" t="n">
        <x:v>30000000</x:v>
      </x:c>
      <x:c r="F48" s="16" t="n">
        <x:v>25000000</x:v>
      </x:c>
      <x:c r="G48" s="16" t="n">
        <x:f>F48-E48</x:f>
        <x:v>-5000000</x:v>
      </x:c>
      <x:c r="H48" s="22" t="n">
        <x:f>IF(E48=0,0,F48/E48)</x:f>
        <x:v>0.8333333333333334</x:v>
      </x:c>
      <x:c r="I48" s="13" t="str">
        <x:f>IF(H48&gt;1.05,"Vượt kế hoạch",IF(H48&lt;0.8,"Thấp hơn kế hoạch","Đúng kế hoạch"))</x:f>
        <x:v>Đúng kế hoạch</x:v>
      </x:c>
    </x:row>
    <x:row r="49">
      <x:c r="A49" s="20" t="n">
        <x:v>46357</x:v>
      </x:c>
      <x:c r="B49" s="13" t="str">
        <x:v>Q4</x:v>
      </x:c>
      <x:c r="C49" s="13" t="str">
        <x:v>Phòng máy tính</x:v>
      </x:c>
      <x:c r="D49" s="13" t="str">
        <x:v>Máy chiếu/màn hình</x:v>
      </x:c>
      <x:c r="E49" s="16" t="n">
        <x:v>30000000</x:v>
      </x:c>
      <x:c r="F49" s="16" t="n">
        <x:v>28000000</x:v>
      </x:c>
      <x:c r="G49" s="16" t="n">
        <x:f>F49-E49</x:f>
        <x:v>-2000000</x:v>
      </x:c>
      <x:c r="H49" s="22" t="n">
        <x:f>IF(E49=0,0,F49/E49)</x:f>
        <x:v>0.9333333333333333</x:v>
      </x:c>
      <x:c r="I49" s="13" t="str">
        <x:f>IF(H49&gt;1.05,"Vượt kế hoạch",IF(H49&lt;0.8,"Thấp hơn kế hoạch","Đúng kế hoạch"))</x:f>
        <x:v>Đúng kế hoạch</x:v>
      </x:c>
    </x:row>
    <x:row r="50">
      <x:c r="A50" s="20" t="n">
        <x:v>46023</x:v>
      </x:c>
      <x:c r="B50" s="13" t="str">
        <x:v>Q1</x:v>
      </x:c>
      <x:c r="C50" s="13" t="str">
        <x:v>Hạ tầng mạng</x:v>
      </x:c>
      <x:c r="D50" s="13" t="str">
        <x:v>Nâng cấp switch core</x:v>
      </x:c>
      <x:c r="E50" s="16" t="n">
        <x:v>75000000</x:v>
      </x:c>
      <x:c r="F50" s="16" t="n">
        <x:v>86000000</x:v>
      </x:c>
      <x:c r="G50" s="16" t="n">
        <x:f>F50-E50</x:f>
        <x:v>11000000</x:v>
      </x:c>
      <x:c r="H50" s="22" t="n">
        <x:f>IF(E50=0,0,F50/E50)</x:f>
        <x:v>1.1466666666666667</x:v>
      </x:c>
      <x:c r="I50" s="13" t="str">
        <x:f>IF(H50&gt;1.05,"Vượt kế hoạch",IF(H50&lt;0.8,"Thấp hơn kế hoạch","Đúng kế hoạch"))</x:f>
        <x:v>Vượt kế hoạch</x:v>
      </x:c>
    </x:row>
    <x:row r="51">
      <x:c r="A51" s="20" t="n">
        <x:v>46054</x:v>
      </x:c>
      <x:c r="B51" s="13" t="str">
        <x:v>Q1</x:v>
      </x:c>
      <x:c r="C51" s="13" t="str">
        <x:v>Hệ thống máy chủ</x:v>
      </x:c>
      <x:c r="D51" s="13" t="str">
        <x:v>Gia hạn bảo hành server</x:v>
      </x:c>
      <x:c r="E51" s="16" t="n">
        <x:v>150000000</x:v>
      </x:c>
      <x:c r="F51" s="16" t="n">
        <x:v>121000000</x:v>
      </x:c>
      <x:c r="G51" s="16" t="n">
        <x:f>F51-E51</x:f>
        <x:v>-29000000</x:v>
      </x:c>
      <x:c r="H51" s="22" t="n">
        <x:f>IF(E51=0,0,F51/E51)</x:f>
        <x:v>0.8066666666666666</x:v>
      </x:c>
      <x:c r="I51" s="13" t="str">
        <x:f>IF(H51&gt;1.05,"Vượt kế hoạch",IF(H51&lt;0.8,"Thấp hơn kế hoạch","Đúng kế hoạch"))</x:f>
        <x:v>Đúng kế hoạch</x:v>
      </x:c>
    </x:row>
    <x:row r="52">
      <x:c r="A52" s="20" t="n">
        <x:v>46082</x:v>
      </x:c>
      <x:c r="B52" s="13" t="str">
        <x:v>Q1</x:v>
      </x:c>
      <x:c r="C52" s="13" t="str">
        <x:v>Bảo mật thông tin</x:v>
      </x:c>
      <x:c r="D52" s="13" t="str">
        <x:v>Kiểm thử xâm nhập</x:v>
      </x:c>
      <x:c r="E52" s="16" t="n">
        <x:v>300000000</x:v>
      </x:c>
      <x:c r="F52" s="16" t="n">
        <x:v>244000000</x:v>
      </x:c>
      <x:c r="G52" s="16" t="n">
        <x:f>F52-E52</x:f>
        <x:v>-56000000</x:v>
      </x:c>
      <x:c r="H52" s="22" t="n">
        <x:f>IF(E52=0,0,F52/E52)</x:f>
        <x:v>0.8133333333333334</x:v>
      </x:c>
      <x:c r="I52" s="13" t="str">
        <x:f>IF(H52&gt;1.05,"Vượt kế hoạch",IF(H52&lt;0.8,"Thấp hơn kế hoạch","Đúng kế hoạch"))</x:f>
        <x:v>Đúng kế hoạch</x:v>
      </x:c>
    </x:row>
    <x:row r="53">
      <x:c r="A53" s="20" t="n">
        <x:v>46113</x:v>
      </x:c>
      <x:c r="B53" s="13" t="str">
        <x:v>Q2</x:v>
      </x:c>
      <x:c r="C53" s="13" t="str">
        <x:v>Phần mềm bản quyền</x:v>
      </x:c>
      <x:c r="D53" s="13" t="str">
        <x:v>Phần mềm thống kê/dữ liệu</x:v>
      </x:c>
      <x:c r="E53" s="16" t="n">
        <x:v>100000000</x:v>
      </x:c>
      <x:c r="F53" s="16" t="n">
        <x:v>89000000</x:v>
      </x:c>
      <x:c r="G53" s="16" t="n">
        <x:f>F53-E53</x:f>
        <x:v>-11000000</x:v>
      </x:c>
      <x:c r="H53" s="22" t="n">
        <x:f>IF(E53=0,0,F53/E53)</x:f>
        <x:v>0.89</x:v>
      </x:c>
      <x:c r="I53" s="13" t="str">
        <x:f>IF(H53&gt;1.05,"Vượt kế hoạch",IF(H53&lt;0.8,"Thấp hơn kế hoạch","Đúng kế hoạch"))</x:f>
        <x:v>Đúng kế hoạch</x:v>
      </x:c>
    </x:row>
    <x:row r="54">
      <x:c r="A54" s="20" t="n">
        <x:v>46143</x:v>
      </x:c>
      <x:c r="B54" s="13" t="str">
        <x:v>Q2</x:v>
      </x:c>
      <x:c r="C54" s="13" t="str">
        <x:v>Hỗ trợ người dùng</x:v>
      </x:c>
      <x:c r="D54" s="13" t="str">
        <x:v>Đào tạo sử dụng hệ thống</x:v>
      </x:c>
      <x:c r="E54" s="16" t="n">
        <x:v>150000000</x:v>
      </x:c>
      <x:c r="F54" s="16" t="n">
        <x:v>113000000</x:v>
      </x:c>
      <x:c r="G54" s="16" t="n">
        <x:f>F54-E54</x:f>
        <x:v>-37000000</x:v>
      </x:c>
      <x:c r="H54" s="22" t="n">
        <x:f>IF(E54=0,0,F54/E54)</x:f>
        <x:v>0.7533333333333333</x:v>
      </x:c>
      <x:c r="I54" s="13" t="str">
        <x:f>IF(H54&gt;1.05,"Vượt kế hoạch",IF(H54&lt;0.8,"Thấp hơn kế hoạch","Đúng kế hoạch"))</x:f>
        <x:v>Thấp hơn kế hoạch</x:v>
      </x:c>
    </x:row>
    <x:row r="55">
      <x:c r="A55" s="20" t="n">
        <x:v>46174</x:v>
      </x:c>
      <x:c r="B55" s="13" t="str">
        <x:v>Q2</x:v>
      </x:c>
      <x:c r="C55" s="13" t="str">
        <x:v>Chuyển đổi số</x:v>
      </x:c>
      <x:c r="D55" s="13" t="str">
        <x:v>Tự động hóa quy trình</x:v>
      </x:c>
      <x:c r="E55" s="16" t="n">
        <x:v>150000000</x:v>
      </x:c>
      <x:c r="F55" s="16" t="n">
        <x:v>158000000</x:v>
      </x:c>
      <x:c r="G55" s="16" t="n">
        <x:f>F55-E55</x:f>
        <x:v>8000000</x:v>
      </x:c>
      <x:c r="H55" s="22" t="n">
        <x:f>IF(E55=0,0,F55/E55)</x:f>
        <x:v>1.0533333333333332</x:v>
      </x:c>
      <x:c r="I55" s="13" t="str">
        <x:f>IF(H55&gt;1.05,"Vượt kế hoạch",IF(H55&lt;0.8,"Thấp hơn kế hoạch","Đúng kế hoạch"))</x:f>
        <x:v>Vượt kế hoạch</x:v>
      </x:c>
    </x:row>
    <x:row r="56">
      <x:c r="A56" s="20" t="n">
        <x:v>46204</x:v>
      </x:c>
      <x:c r="B56" s="13" t="str">
        <x:v>Q3</x:v>
      </x:c>
      <x:c r="C56" s="13" t="str">
        <x:v>LMS/SIS</x:v>
      </x:c>
      <x:c r="D56" s="13" t="str">
        <x:v>Nâng cấp cổng sinh viên</x:v>
      </x:c>
      <x:c r="E56" s="16" t="n">
        <x:v>200000000</x:v>
      </x:c>
      <x:c r="F56" s="16" t="n">
        <x:v>235000000</x:v>
      </x:c>
      <x:c r="G56" s="16" t="n">
        <x:f>F56-E56</x:f>
        <x:v>35000000</x:v>
      </x:c>
      <x:c r="H56" s="22" t="n">
        <x:f>IF(E56=0,0,F56/E56)</x:f>
        <x:v>1.175</x:v>
      </x:c>
      <x:c r="I56" s="13" t="str">
        <x:f>IF(H56&gt;1.05,"Vượt kế hoạch",IF(H56&lt;0.8,"Thấp hơn kế hoạch","Đúng kế hoạch"))</x:f>
        <x:v>Vượt kế hoạch</x:v>
      </x:c>
    </x:row>
    <x:row r="57">
      <x:c r="A57" s="20" t="n">
        <x:v>46235</x:v>
      </x:c>
      <x:c r="B57" s="13" t="str">
        <x:v>Q3</x:v>
      </x:c>
      <x:c r="C57" s="13" t="str">
        <x:v>Phòng máy tính</x:v>
      </x:c>
      <x:c r="D57" s="13" t="str">
        <x:v>Nâng cấp PC lab</x:v>
      </x:c>
      <x:c r="E57" s="16" t="n">
        <x:v>75000000</x:v>
      </x:c>
      <x:c r="F57" s="16" t="n">
        <x:v>67000000</x:v>
      </x:c>
      <x:c r="G57" s="16" t="n">
        <x:f>F57-E57</x:f>
        <x:v>-8000000</x:v>
      </x:c>
      <x:c r="H57" s="22" t="n">
        <x:f>IF(E57=0,0,F57/E57)</x:f>
        <x:v>0.8933333333333333</x:v>
      </x:c>
      <x:c r="I57" s="13" t="str">
        <x:f>IF(H57&gt;1.05,"Vượt kế hoạch",IF(H57&lt;0.8,"Thấp hơn kế hoạch","Đúng kế hoạch"))</x:f>
        <x:v>Đúng kế hoạch</x:v>
      </x:c>
    </x:row>
    <x:row r="58">
      <x:c r="A58" s="20" t="n">
        <x:v>46266</x:v>
      </x:c>
      <x:c r="B58" s="13" t="str">
        <x:v>Q3</x:v>
      </x:c>
      <x:c r="C58" s="13" t="str">
        <x:v>Hạ tầng mạng</x:v>
      </x:c>
      <x:c r="D58" s="13" t="str">
        <x:v>Wi-Fi access point</x:v>
      </x:c>
      <x:c r="E58" s="16" t="n">
        <x:v>75000000</x:v>
      </x:c>
      <x:c r="F58" s="16" t="n">
        <x:v>77000000</x:v>
      </x:c>
      <x:c r="G58" s="16" t="n">
        <x:f>F58-E58</x:f>
        <x:v>2000000</x:v>
      </x:c>
      <x:c r="H58" s="22" t="n">
        <x:f>IF(E58=0,0,F58/E58)</x:f>
        <x:v>1.0266666666666666</x:v>
      </x:c>
      <x:c r="I58" s="13" t="str">
        <x:f>IF(H58&gt;1.05,"Vượt kế hoạch",IF(H58&lt;0.8,"Thấp hơn kế hoạch","Đúng kế hoạch"))</x:f>
        <x:v>Đúng kế hoạch</x:v>
      </x:c>
    </x:row>
    <x:row r="59">
      <x:c r="A59" s="20" t="n">
        <x:v>46296</x:v>
      </x:c>
      <x:c r="B59" s="13" t="str">
        <x:v>Q4</x:v>
      </x:c>
      <x:c r="C59" s="13" t="str">
        <x:v>Hệ thống máy chủ</x:v>
      </x:c>
      <x:c r="D59" s="13" t="str">
        <x:v>Máy chủ ứng dụng</x:v>
      </x:c>
      <x:c r="E59" s="16" t="n">
        <x:v>150000000</x:v>
      </x:c>
      <x:c r="F59" s="16" t="n">
        <x:v>137000000</x:v>
      </x:c>
      <x:c r="G59" s="16" t="n">
        <x:f>F59-E59</x:f>
        <x:v>-13000000</x:v>
      </x:c>
      <x:c r="H59" s="22" t="n">
        <x:f>IF(E59=0,0,F59/E59)</x:f>
        <x:v>0.9133333333333333</x:v>
      </x:c>
      <x:c r="I59" s="13" t="str">
        <x:f>IF(H59&gt;1.05,"Vượt kế hoạch",IF(H59&lt;0.8,"Thấp hơn kế hoạch","Đúng kế hoạch"))</x:f>
        <x:v>Đúng kế hoạch</x:v>
      </x:c>
    </x:row>
    <x:row r="60">
      <x:c r="A60" s="20" t="n">
        <x:v>46327</x:v>
      </x:c>
      <x:c r="B60" s="13" t="str">
        <x:v>Q4</x:v>
      </x:c>
      <x:c r="C60" s="13" t="str">
        <x:v>Bảo mật thông tin</x:v>
      </x:c>
      <x:c r="D60" s="13" t="str">
        <x:v>Đào tạo an toàn thông tin</x:v>
      </x:c>
      <x:c r="E60" s="16" t="n">
        <x:v>300000000</x:v>
      </x:c>
      <x:c r="F60" s="16" t="n">
        <x:v>263000000</x:v>
      </x:c>
      <x:c r="G60" s="16" t="n">
        <x:f>F60-E60</x:f>
        <x:v>-37000000</x:v>
      </x:c>
      <x:c r="H60" s="22" t="n">
        <x:f>IF(E60=0,0,F60/E60)</x:f>
        <x:v>0.8766666666666667</x:v>
      </x:c>
      <x:c r="I60" s="13" t="str">
        <x:f>IF(H60&gt;1.05,"Vượt kế hoạch",IF(H60&lt;0.8,"Thấp hơn kế hoạch","Đúng kế hoạch"))</x:f>
        <x:v>Đúng kế hoạch</x:v>
      </x:c>
    </x:row>
    <x:row r="61">
      <x:c r="A61" s="20" t="n">
        <x:v>46357</x:v>
      </x:c>
      <x:c r="B61" s="13" t="str">
        <x:v>Q4</x:v>
      </x:c>
      <x:c r="C61" s="13" t="str">
        <x:v>Phần mềm bản quyền</x:v>
      </x:c>
      <x:c r="D61" s="13" t="str">
        <x:v>Microsoft 365</x:v>
      </x:c>
      <x:c r="E61" s="16" t="n">
        <x:v>150000000</x:v>
      </x:c>
      <x:c r="F61" s="16" t="n">
        <x:v>159000000</x:v>
      </x:c>
      <x:c r="G61" s="16" t="n">
        <x:f>F61-E61</x:f>
        <x:v>9000000</x:v>
      </x:c>
      <x:c r="H61" s="22" t="n">
        <x:f>IF(E61=0,0,F61/E61)</x:f>
        <x:v>1.06</x:v>
      </x:c>
      <x:c r="I61" s="13" t="str">
        <x:f>IF(H61&gt;1.05,"Vượt kế hoạch",IF(H61&lt;0.8,"Thấp hơn kế hoạch","Đúng kế hoạch"))</x:f>
        <x:v>Vượt kế hoạch</x:v>
      </x:c>
    </x:row>
    <x:row r="62">
      <x:c r="A62" s="20" t="n">
        <x:v>46023</x:v>
      </x:c>
      <x:c r="B62" s="13" t="str">
        <x:v>Q1</x:v>
      </x:c>
      <x:c r="C62" s="13" t="str">
        <x:v>Hỗ trợ người dùng</x:v>
      </x:c>
      <x:c r="D62" s="13" t="str">
        <x:v>Helpdesk system</x:v>
      </x:c>
      <x:c r="E62" s="16" t="n">
        <x:v>300000000</x:v>
      </x:c>
      <x:c r="F62" s="16" t="n">
        <x:v>295000000</x:v>
      </x:c>
      <x:c r="G62" s="16" t="n">
        <x:f>F62-E62</x:f>
        <x:v>-5000000</x:v>
      </x:c>
      <x:c r="H62" s="22" t="n">
        <x:f>IF(E62=0,0,F62/E62)</x:f>
        <x:v>0.9833333333333333</x:v>
      </x:c>
      <x:c r="I62" s="13" t="str">
        <x:f>IF(H62&gt;1.05,"Vượt kế hoạch",IF(H62&lt;0.8,"Thấp hơn kế hoạch","Đúng kế hoạch"))</x:f>
        <x:v>Đúng kế hoạch</x:v>
      </x:c>
    </x:row>
    <x:row r="63">
      <x:c r="A63" s="20" t="n">
        <x:v>46054</x:v>
      </x:c>
      <x:c r="B63" s="13" t="str">
        <x:v>Q1</x:v>
      </x:c>
      <x:c r="C63" s="13" t="str">
        <x:v>Chuyển đổi số</x:v>
      </x:c>
      <x:c r="D63" s="13" t="str">
        <x:v>Dashboard quản trị</x:v>
      </x:c>
      <x:c r="E63" s="16" t="n">
        <x:v>150000000</x:v>
      </x:c>
      <x:c r="F63" s="16" t="n">
        <x:v>128000000</x:v>
      </x:c>
      <x:c r="G63" s="16" t="n">
        <x:f>F63-E63</x:f>
        <x:v>-22000000</x:v>
      </x:c>
      <x:c r="H63" s="22" t="n">
        <x:f>IF(E63=0,0,F63/E63)</x:f>
        <x:v>0.8533333333333334</x:v>
      </x:c>
      <x:c r="I63" s="13" t="str">
        <x:f>IF(H63&gt;1.05,"Vượt kế hoạch",IF(H63&lt;0.8,"Thấp hơn kế hoạch","Đúng kế hoạch"))</x:f>
        <x:v>Đúng kế hoạch</x:v>
      </x:c>
    </x:row>
    <x:row r="64">
      <x:c r="A64" s="20" t="n">
        <x:v>46082</x:v>
      </x:c>
      <x:c r="B64" s="13" t="str">
        <x:v>Q1</x:v>
      </x:c>
      <x:c r="C64" s="13" t="str">
        <x:v>LMS/SIS</x:v>
      </x:c>
      <x:c r="D64" s="13" t="str">
        <x:v>Nâng cấp cổng sinh viên</x:v>
      </x:c>
      <x:c r="E64" s="16" t="n">
        <x:v>150000000</x:v>
      </x:c>
      <x:c r="F64" s="16" t="n">
        <x:v>159000000</x:v>
      </x:c>
      <x:c r="G64" s="16" t="n">
        <x:f>F64-E64</x:f>
        <x:v>9000000</x:v>
      </x:c>
      <x:c r="H64" s="22" t="n">
        <x:f>IF(E64=0,0,F64/E64)</x:f>
        <x:v>1.06</x:v>
      </x:c>
      <x:c r="I64" s="13" t="str">
        <x:f>IF(H64&gt;1.05,"Vượt kế hoạch",IF(H64&lt;0.8,"Thấp hơn kế hoạch","Đúng kế hoạch"))</x:f>
        <x:v>Vượt kế hoạch</x:v>
      </x:c>
    </x:row>
    <x:row r="65">
      <x:c r="A65" s="20" t="n">
        <x:v>46113</x:v>
      </x:c>
      <x:c r="B65" s="13" t="str">
        <x:v>Q2</x:v>
      </x:c>
      <x:c r="C65" s="13" t="str">
        <x:v>Phòng máy tính</x:v>
      </x:c>
      <x:c r="D65" s="13" t="str">
        <x:v>Máy chiếu/màn hình</x:v>
      </x:c>
      <x:c r="E65" s="16" t="n">
        <x:v>150000000</x:v>
      </x:c>
      <x:c r="F65" s="16" t="n">
        <x:v>173000000</x:v>
      </x:c>
      <x:c r="G65" s="16" t="n">
        <x:f>F65-E65</x:f>
        <x:v>23000000</x:v>
      </x:c>
      <x:c r="H65" s="22" t="n">
        <x:f>IF(E65=0,0,F65/E65)</x:f>
        <x:v>1.1533333333333333</x:v>
      </x:c>
      <x:c r="I65" s="13" t="str">
        <x:f>IF(H65&gt;1.05,"Vượt kế hoạch",IF(H65&lt;0.8,"Thấp hơn kế hoạch","Đúng kế hoạch"))</x:f>
        <x:v>Vượt kế hoạch</x:v>
      </x:c>
    </x:row>
    <x:row r="66">
      <x:c r="A66" s="20" t="n">
        <x:v>46143</x:v>
      </x:c>
      <x:c r="B66" s="13" t="str">
        <x:v>Q2</x:v>
      </x:c>
      <x:c r="C66" s="13" t="str">
        <x:v>Hạ tầng mạng</x:v>
      </x:c>
      <x:c r="D66" s="13" t="str">
        <x:v>Thiết bị firewall</x:v>
      </x:c>
      <x:c r="E66" s="16" t="n">
        <x:v>300000000</x:v>
      </x:c>
      <x:c r="F66" s="16" t="n">
        <x:v>236000000</x:v>
      </x:c>
      <x:c r="G66" s="16" t="n">
        <x:f>F66-E66</x:f>
        <x:v>-64000000</x:v>
      </x:c>
      <x:c r="H66" s="22" t="n">
        <x:f>IF(E66=0,0,F66/E66)</x:f>
        <x:v>0.7866666666666666</x:v>
      </x:c>
      <x:c r="I66" s="13" t="str">
        <x:f>IF(H66&gt;1.05,"Vượt kế hoạch",IF(H66&lt;0.8,"Thấp hơn kế hoạch","Đúng kế hoạch"))</x:f>
        <x:v>Thấp hơn kế hoạch</x:v>
      </x:c>
    </x:row>
    <x:row r="67">
      <x:c r="A67" s="20" t="n">
        <x:v>46174</x:v>
      </x:c>
      <x:c r="B67" s="13" t="str">
        <x:v>Q2</x:v>
      </x:c>
      <x:c r="C67" s="13" t="str">
        <x:v>Hệ thống máy chủ</x:v>
      </x:c>
      <x:c r="D67" s="13" t="str">
        <x:v>Lưu trữ NAS/SAN</x:v>
      </x:c>
      <x:c r="E67" s="16" t="n">
        <x:v>100000000</x:v>
      </x:c>
      <x:c r="F67" s="16" t="n">
        <x:v>100000000</x:v>
      </x:c>
      <x:c r="G67" s="16" t="n">
        <x:f>F67-E67</x:f>
        <x:v>0</x:v>
      </x:c>
      <x:c r="H67" s="22" t="n">
        <x:f>IF(E67=0,0,F67/E67)</x:f>
        <x:v>1</x:v>
      </x:c>
      <x:c r="I67" s="13" t="str">
        <x:f>IF(H67&gt;1.05,"Vượt kế hoạch",IF(H67&lt;0.8,"Thấp hơn kế hoạch","Đúng kế hoạch"))</x:f>
        <x:v>Đúng kế hoạch</x:v>
      </x:c>
    </x:row>
    <x:row r="68">
      <x:c r="A68" s="20" t="n">
        <x:v>46204</x:v>
      </x:c>
      <x:c r="B68" s="13" t="str">
        <x:v>Q3</x:v>
      </x:c>
      <x:c r="C68" s="13" t="str">
        <x:v>Bảo mật thông tin</x:v>
      </x:c>
      <x:c r="D68" s="13" t="str">
        <x:v>Đào tạo an toàn thông tin</x:v>
      </x:c>
      <x:c r="E68" s="16" t="n">
        <x:v>75000000</x:v>
      </x:c>
      <x:c r="F68" s="16" t="n">
        <x:v>59000000</x:v>
      </x:c>
      <x:c r="G68" s="16" t="n">
        <x:f>F68-E68</x:f>
        <x:v>-16000000</x:v>
      </x:c>
      <x:c r="H68" s="22" t="n">
        <x:f>IF(E68=0,0,F68/E68)</x:f>
        <x:v>0.7866666666666666</x:v>
      </x:c>
      <x:c r="I68" s="13" t="str">
        <x:f>IF(H68&gt;1.05,"Vượt kế hoạch",IF(H68&lt;0.8,"Thấp hơn kế hoạch","Đúng kế hoạch"))</x:f>
        <x:v>Thấp hơn kế hoạch</x:v>
      </x:c>
    </x:row>
    <x:row r="69">
      <x:c r="A69" s="20" t="n">
        <x:v>46235</x:v>
      </x:c>
      <x:c r="B69" s="13" t="str">
        <x:v>Q3</x:v>
      </x:c>
      <x:c r="C69" s="13" t="str">
        <x:v>Phần mềm bản quyền</x:v>
      </x:c>
      <x:c r="D69" s="13" t="str">
        <x:v>Adobe license</x:v>
      </x:c>
      <x:c r="E69" s="16" t="n">
        <x:v>75000000</x:v>
      </x:c>
      <x:c r="F69" s="16" t="n">
        <x:v>71000000</x:v>
      </x:c>
      <x:c r="G69" s="16" t="n">
        <x:f>F69-E69</x:f>
        <x:v>-4000000</x:v>
      </x:c>
      <x:c r="H69" s="22" t="n">
        <x:f>IF(E69=0,0,F69/E69)</x:f>
        <x:v>0.9466666666666667</x:v>
      </x:c>
      <x:c r="I69" s="13" t="str">
        <x:f>IF(H69&gt;1.05,"Vượt kế hoạch",IF(H69&lt;0.8,"Thấp hơn kế hoạch","Đúng kế hoạch"))</x:f>
        <x:v>Đúng kế hoạch</x:v>
      </x:c>
    </x:row>
    <x:row r="70">
      <x:c r="A70" s="20" t="n">
        <x:v>46266</x:v>
      </x:c>
      <x:c r="B70" s="13" t="str">
        <x:v>Q3</x:v>
      </x:c>
      <x:c r="C70" s="13" t="str">
        <x:v>Hỗ trợ người dùng</x:v>
      </x:c>
      <x:c r="D70" s="13" t="str">
        <x:v>Máy tính cho cán bộ</x:v>
      </x:c>
      <x:c r="E70" s="16" t="n">
        <x:v>100000000</x:v>
      </x:c>
      <x:c r="F70" s="16" t="n">
        <x:v>117000000</x:v>
      </x:c>
      <x:c r="G70" s="16" t="n">
        <x:f>F70-E70</x:f>
        <x:v>17000000</x:v>
      </x:c>
      <x:c r="H70" s="22" t="n">
        <x:f>IF(E70=0,0,F70/E70)</x:f>
        <x:v>1.17</x:v>
      </x:c>
      <x:c r="I70" s="13" t="str">
        <x:f>IF(H70&gt;1.05,"Vượt kế hoạch",IF(H70&lt;0.8,"Thấp hơn kế hoạch","Đúng kế hoạch"))</x:f>
        <x:v>Vượt kế hoạch</x:v>
      </x:c>
    </x:row>
    <x:row r="71">
      <x:c r="A71" s="20" t="n">
        <x:v>46296</x:v>
      </x:c>
      <x:c r="B71" s="13" t="str">
        <x:v>Q4</x:v>
      </x:c>
      <x:c r="C71" s="13" t="str">
        <x:v>Chuyển đổi số</x:v>
      </x:c>
      <x:c r="D71" s="13" t="str">
        <x:v>Tích hợp API</x:v>
      </x:c>
      <x:c r="E71" s="16" t="n">
        <x:v>50000000</x:v>
      </x:c>
      <x:c r="F71" s="16" t="n">
        <x:v>57000000</x:v>
      </x:c>
      <x:c r="G71" s="16" t="n">
        <x:f>F71-E71</x:f>
        <x:v>7000000</x:v>
      </x:c>
      <x:c r="H71" s="22" t="n">
        <x:f>IF(E71=0,0,F71/E71)</x:f>
        <x:v>1.14</x:v>
      </x:c>
      <x:c r="I71" s="13" t="str">
        <x:f>IF(H71&gt;1.05,"Vượt kế hoạch",IF(H71&lt;0.8,"Thấp hơn kế hoạch","Đúng kế hoạch"))</x:f>
        <x:v>Vượt kế hoạch</x:v>
      </x:c>
    </x:row>
    <x:row r="72">
      <x:c r="A72" s="20" t="n">
        <x:v>46327</x:v>
      </x:c>
      <x:c r="B72" s="13" t="str">
        <x:v>Q4</x:v>
      </x:c>
      <x:c r="C72" s="13" t="str">
        <x:v>LMS/SIS</x:v>
      </x:c>
      <x:c r="D72" s="13" t="str">
        <x:v>Bảo trì LMS</x:v>
      </x:c>
      <x:c r="E72" s="16" t="n">
        <x:v>150000000</x:v>
      </x:c>
      <x:c r="F72" s="16" t="n">
        <x:v>172000000</x:v>
      </x:c>
      <x:c r="G72" s="16" t="n">
        <x:f>F72-E72</x:f>
        <x:v>22000000</x:v>
      </x:c>
      <x:c r="H72" s="22" t="n">
        <x:f>IF(E72=0,0,F72/E72)</x:f>
        <x:v>1.1466666666666667</x:v>
      </x:c>
      <x:c r="I72" s="13" t="str">
        <x:f>IF(H72&gt;1.05,"Vượt kế hoạch",IF(H72&lt;0.8,"Thấp hơn kế hoạch","Đúng kế hoạch"))</x:f>
        <x:v>Vượt kế hoạch</x:v>
      </x:c>
    </x:row>
    <x:row r="73">
      <x:c r="A73" s="20" t="n">
        <x:v>46357</x:v>
      </x:c>
      <x:c r="B73" s="13" t="str">
        <x:v>Q4</x:v>
      </x:c>
      <x:c r="C73" s="13" t="str">
        <x:v>Phòng máy tính</x:v>
      </x:c>
      <x:c r="D73" s="13" t="str">
        <x:v>Máy chiếu/màn hình</x:v>
      </x:c>
      <x:c r="E73" s="16" t="n">
        <x:v>200000000</x:v>
      </x:c>
      <x:c r="F73" s="16" t="n">
        <x:v>235000000</x:v>
      </x:c>
      <x:c r="G73" s="16" t="n">
        <x:f>F73-E73</x:f>
        <x:v>35000000</x:v>
      </x:c>
      <x:c r="H73" s="22" t="n">
        <x:f>IF(E73=0,0,F73/E73)</x:f>
        <x:v>1.175</x:v>
      </x:c>
      <x:c r="I73" s="13" t="str">
        <x:f>IF(H73&gt;1.05,"Vượt kế hoạch",IF(H73&lt;0.8,"Thấp hơn kế hoạch","Đúng kế hoạch"))</x:f>
        <x:v>Vượt kế hoạch</x:v>
      </x:c>
    </x:row>
    <x:row r="74">
      <x:c r="A74" s="20" t="n">
        <x:v>46023</x:v>
      </x:c>
      <x:c r="B74" s="13" t="str">
        <x:v>Q1</x:v>
      </x:c>
      <x:c r="C74" s="13" t="str">
        <x:v>Hạ tầng mạng</x:v>
      </x:c>
      <x:c r="D74" s="13" t="str">
        <x:v>Wi-Fi access point</x:v>
      </x:c>
      <x:c r="E74" s="16" t="n">
        <x:v>150000000</x:v>
      </x:c>
      <x:c r="F74" s="16" t="n">
        <x:v>122000000</x:v>
      </x:c>
      <x:c r="G74" s="16" t="n">
        <x:f>F74-E74</x:f>
        <x:v>-28000000</x:v>
      </x:c>
      <x:c r="H74" s="22" t="n">
        <x:f>IF(E74=0,0,F74/E74)</x:f>
        <x:v>0.8133333333333334</x:v>
      </x:c>
      <x:c r="I74" s="13" t="str">
        <x:f>IF(H74&gt;1.05,"Vượt kế hoạch",IF(H74&lt;0.8,"Thấp hơn kế hoạch","Đúng kế hoạch"))</x:f>
        <x:v>Đúng kế hoạch</x:v>
      </x:c>
    </x:row>
    <x:row r="75">
      <x:c r="A75" s="20" t="n">
        <x:v>46054</x:v>
      </x:c>
      <x:c r="B75" s="13" t="str">
        <x:v>Q1</x:v>
      </x:c>
      <x:c r="C75" s="13" t="str">
        <x:v>Hệ thống máy chủ</x:v>
      </x:c>
      <x:c r="D75" s="13" t="str">
        <x:v>Máy chủ ứng dụng</x:v>
      </x:c>
      <x:c r="E75" s="16" t="n">
        <x:v>75000000</x:v>
      </x:c>
      <x:c r="F75" s="16" t="n">
        <x:v>78000000</x:v>
      </x:c>
      <x:c r="G75" s="16" t="n">
        <x:f>F75-E75</x:f>
        <x:v>3000000</x:v>
      </x:c>
      <x:c r="H75" s="22" t="n">
        <x:f>IF(E75=0,0,F75/E75)</x:f>
        <x:v>1.04</x:v>
      </x:c>
      <x:c r="I75" s="13" t="str">
        <x:f>IF(H75&gt;1.05,"Vượt kế hoạch",IF(H75&lt;0.8,"Thấp hơn kế hoạch","Đúng kế hoạch"))</x:f>
        <x:v>Đúng kế hoạch</x:v>
      </x:c>
    </x:row>
    <x:row r="76">
      <x:c r="A76" s="20" t="n">
        <x:v>46082</x:v>
      </x:c>
      <x:c r="B76" s="13" t="str">
        <x:v>Q1</x:v>
      </x:c>
      <x:c r="C76" s="13" t="str">
        <x:v>Bảo mật thông tin</x:v>
      </x:c>
      <x:c r="D76" s="13" t="str">
        <x:v>Đào tạo an toàn thông tin</x:v>
      </x:c>
      <x:c r="E76" s="16" t="n">
        <x:v>50000000</x:v>
      </x:c>
      <x:c r="F76" s="16" t="n">
        <x:v>54000000</x:v>
      </x:c>
      <x:c r="G76" s="16" t="n">
        <x:f>F76-E76</x:f>
        <x:v>4000000</x:v>
      </x:c>
      <x:c r="H76" s="22" t="n">
        <x:f>IF(E76=0,0,F76/E76)</x:f>
        <x:v>1.08</x:v>
      </x:c>
      <x:c r="I76" s="13" t="str">
        <x:f>IF(H76&gt;1.05,"Vượt kế hoạch",IF(H76&lt;0.8,"Thấp hơn kế hoạch","Đúng kế hoạch"))</x:f>
        <x:v>Vượt kế hoạch</x:v>
      </x:c>
    </x:row>
    <x:row r="77">
      <x:c r="A77" s="20" t="n">
        <x:v>46113</x:v>
      </x:c>
      <x:c r="B77" s="13" t="str">
        <x:v>Q2</x:v>
      </x:c>
      <x:c r="C77" s="13" t="str">
        <x:v>Phần mềm bản quyền</x:v>
      </x:c>
      <x:c r="D77" s="13" t="str">
        <x:v>Adobe license</x:v>
      </x:c>
      <x:c r="E77" s="16" t="n">
        <x:v>300000000</x:v>
      </x:c>
      <x:c r="F77" s="16" t="n">
        <x:v>246000000</x:v>
      </x:c>
      <x:c r="G77" s="16" t="n">
        <x:f>F77-E77</x:f>
        <x:v>-54000000</x:v>
      </x:c>
      <x:c r="H77" s="22" t="n">
        <x:f>IF(E77=0,0,F77/E77)</x:f>
        <x:v>0.82</x:v>
      </x:c>
      <x:c r="I77" s="13" t="str">
        <x:f>IF(H77&gt;1.05,"Vượt kế hoạch",IF(H77&lt;0.8,"Thấp hơn kế hoạch","Đúng kế hoạch"))</x:f>
        <x:v>Đúng kế hoạch</x:v>
      </x:c>
    </x:row>
    <x:row r="78">
      <x:c r="A78" s="20" t="n">
        <x:v>46143</x:v>
      </x:c>
      <x:c r="B78" s="13" t="str">
        <x:v>Q2</x:v>
      </x:c>
      <x:c r="C78" s="13" t="str">
        <x:v>Hỗ trợ người dùng</x:v>
      </x:c>
      <x:c r="D78" s="13" t="str">
        <x:v>Máy tính cho cán bộ</x:v>
      </x:c>
      <x:c r="E78" s="16" t="n">
        <x:v>100000000</x:v>
      </x:c>
      <x:c r="F78" s="16" t="n">
        <x:v>76000000</x:v>
      </x:c>
      <x:c r="G78" s="16" t="n">
        <x:f>F78-E78</x:f>
        <x:v>-24000000</x:v>
      </x:c>
      <x:c r="H78" s="22" t="n">
        <x:f>IF(E78=0,0,F78/E78)</x:f>
        <x:v>0.76</x:v>
      </x:c>
      <x:c r="I78" s="13" t="str">
        <x:f>IF(H78&gt;1.05,"Vượt kế hoạch",IF(H78&lt;0.8,"Thấp hơn kế hoạch","Đúng kế hoạch"))</x:f>
        <x:v>Thấp hơn kế hoạch</x:v>
      </x:c>
    </x:row>
    <x:row r="79">
      <x:c r="A79" s="20" t="n">
        <x:v>46174</x:v>
      </x:c>
      <x:c r="B79" s="13" t="str">
        <x:v>Q2</x:v>
      </x:c>
      <x:c r="C79" s="13" t="str">
        <x:v>Chuyển đổi số</x:v>
      </x:c>
      <x:c r="D79" s="13" t="str">
        <x:v>Tích hợp API</x:v>
      </x:c>
      <x:c r="E79" s="16" t="n">
        <x:v>300000000</x:v>
      </x:c>
      <x:c r="F79" s="16" t="n">
        <x:v>352000000</x:v>
      </x:c>
      <x:c r="G79" s="16" t="n">
        <x:f>F79-E79</x:f>
        <x:v>52000000</x:v>
      </x:c>
      <x:c r="H79" s="22" t="n">
        <x:f>IF(E79=0,0,F79/E79)</x:f>
        <x:v>1.1733333333333333</x:v>
      </x:c>
      <x:c r="I79" s="13" t="str">
        <x:f>IF(H79&gt;1.05,"Vượt kế hoạch",IF(H79&lt;0.8,"Thấp hơn kế hoạch","Đúng kế hoạch"))</x:f>
        <x:v>Vượt kế hoạch</x:v>
      </x:c>
    </x:row>
    <x:row r="80">
      <x:c r="A80" s="20" t="n">
        <x:v>46204</x:v>
      </x:c>
      <x:c r="B80" s="13" t="str">
        <x:v>Q3</x:v>
      </x:c>
      <x:c r="C80" s="13" t="str">
        <x:v>LMS/SIS</x:v>
      </x:c>
      <x:c r="D80" s="13" t="str">
        <x:v>Nâng cấp cổng sinh viên</x:v>
      </x:c>
      <x:c r="E80" s="16" t="n">
        <x:v>75000000</x:v>
      </x:c>
      <x:c r="F80" s="16" t="n">
        <x:v>81000000</x:v>
      </x:c>
      <x:c r="G80" s="16" t="n">
        <x:f>F80-E80</x:f>
        <x:v>6000000</x:v>
      </x:c>
      <x:c r="H80" s="22" t="n">
        <x:f>IF(E80=0,0,F80/E80)</x:f>
        <x:v>1.08</x:v>
      </x:c>
      <x:c r="I80" s="13" t="str">
        <x:f>IF(H80&gt;1.05,"Vượt kế hoạch",IF(H80&lt;0.8,"Thấp hơn kế hoạch","Đúng kế hoạch"))</x:f>
        <x:v>Vượt kế hoạch</x:v>
      </x:c>
    </x:row>
    <x:row r="81">
      <x:c r="A81" s="20" t="n">
        <x:v>46235</x:v>
      </x:c>
      <x:c r="B81" s="13" t="str">
        <x:v>Q3</x:v>
      </x:c>
      <x:c r="C81" s="13" t="str">
        <x:v>Phòng máy tính</x:v>
      </x:c>
      <x:c r="D81" s="13" t="str">
        <x:v>Bảo trì phòng lab</x:v>
      </x:c>
      <x:c r="E81" s="16" t="n">
        <x:v>150000000</x:v>
      </x:c>
      <x:c r="F81" s="16" t="n">
        <x:v>151000000</x:v>
      </x:c>
      <x:c r="G81" s="16" t="n">
        <x:f>F81-E81</x:f>
        <x:v>1000000</x:v>
      </x:c>
      <x:c r="H81" s="22" t="n">
        <x:f>IF(E81=0,0,F81/E81)</x:f>
        <x:v>1.0066666666666666</x:v>
      </x:c>
      <x:c r="I81" s="13" t="str">
        <x:f>IF(H81&gt;1.05,"Vượt kế hoạch",IF(H81&lt;0.8,"Thấp hơn kế hoạch","Đúng kế hoạch"))</x:f>
        <x:v>Đúng kế hoạch</x:v>
      </x:c>
    </x:row>
    <x:row r="82">
      <x:c r="A82" s="20" t="n">
        <x:v>46266</x:v>
      </x:c>
      <x:c r="B82" s="13" t="str">
        <x:v>Q3</x:v>
      </x:c>
      <x:c r="C82" s="13" t="str">
        <x:v>Hạ tầng mạng</x:v>
      </x:c>
      <x:c r="D82" s="13" t="str">
        <x:v>Nâng cấp switch core</x:v>
      </x:c>
      <x:c r="E82" s="16" t="n">
        <x:v>50000000</x:v>
      </x:c>
      <x:c r="F82" s="16" t="n">
        <x:v>42000000</x:v>
      </x:c>
      <x:c r="G82" s="16" t="n">
        <x:f>F82-E82</x:f>
        <x:v>-8000000</x:v>
      </x:c>
      <x:c r="H82" s="22" t="n">
        <x:f>IF(E82=0,0,F82/E82)</x:f>
        <x:v>0.84</x:v>
      </x:c>
      <x:c r="I82" s="13" t="str">
        <x:f>IF(H82&gt;1.05,"Vượt kế hoạch",IF(H82&lt;0.8,"Thấp hơn kế hoạch","Đúng kế hoạch"))</x:f>
        <x:v>Đúng kế hoạch</x:v>
      </x:c>
    </x:row>
    <x:row r="83">
      <x:c r="A83" s="20" t="n">
        <x:v>46296</x:v>
      </x:c>
      <x:c r="B83" s="13" t="str">
        <x:v>Q4</x:v>
      </x:c>
      <x:c r="C83" s="13" t="str">
        <x:v>Hệ thống máy chủ</x:v>
      </x:c>
      <x:c r="D83" s="13" t="str">
        <x:v>Gia hạn bảo hành server</x:v>
      </x:c>
      <x:c r="E83" s="16" t="n">
        <x:v>30000000</x:v>
      </x:c>
      <x:c r="F83" s="16" t="n">
        <x:v>24000000</x:v>
      </x:c>
      <x:c r="G83" s="16" t="n">
        <x:f>F83-E83</x:f>
        <x:v>-6000000</x:v>
      </x:c>
      <x:c r="H83" s="22" t="n">
        <x:f>IF(E83=0,0,F83/E83)</x:f>
        <x:v>0.8</x:v>
      </x:c>
      <x:c r="I83" s="13" t="str">
        <x:f>IF(H83&gt;1.05,"Vượt kế hoạch",IF(H83&lt;0.8,"Thấp hơn kế hoạch","Đúng kế hoạch"))</x:f>
        <x:v>Đúng kế hoạch</x:v>
      </x:c>
    </x:row>
    <x:row r="84">
      <x:c r="A84" s="20" t="n">
        <x:v>46327</x:v>
      </x:c>
      <x:c r="B84" s="13" t="str">
        <x:v>Q4</x:v>
      </x:c>
      <x:c r="C84" s="13" t="str">
        <x:v>Bảo mật thông tin</x:v>
      </x:c>
      <x:c r="D84" s="13" t="str">
        <x:v>Giám sát SOC</x:v>
      </x:c>
      <x:c r="E84" s="16" t="n">
        <x:v>30000000</x:v>
      </x:c>
      <x:c r="F84" s="16" t="n">
        <x:v>30000000</x:v>
      </x:c>
      <x:c r="G84" s="16" t="n">
        <x:f>F84-E84</x:f>
        <x:v>0</x:v>
      </x:c>
      <x:c r="H84" s="22" t="n">
        <x:f>IF(E84=0,0,F84/E84)</x:f>
        <x:v>1</x:v>
      </x:c>
      <x:c r="I84" s="13" t="str">
        <x:f>IF(H84&gt;1.05,"Vượt kế hoạch",IF(H84&lt;0.8,"Thấp hơn kế hoạch","Đúng kế hoạch"))</x:f>
        <x:v>Đúng kế hoạch</x:v>
      </x:c>
    </x:row>
    <x:row r="85">
      <x:c r="A85" s="20" t="n">
        <x:v>46357</x:v>
      </x:c>
      <x:c r="B85" s="13" t="str">
        <x:v>Q4</x:v>
      </x:c>
      <x:c r="C85" s="13" t="str">
        <x:v>Phần mềm bản quyền</x:v>
      </x:c>
      <x:c r="D85" s="13" t="str">
        <x:v>Zoom/Teams license</x:v>
      </x:c>
      <x:c r="E85" s="16" t="n">
        <x:v>75000000</x:v>
      </x:c>
      <x:c r="F85" s="16" t="n">
        <x:v>73000000</x:v>
      </x:c>
      <x:c r="G85" s="16" t="n">
        <x:f>F85-E85</x:f>
        <x:v>-2000000</x:v>
      </x:c>
      <x:c r="H85" s="22" t="n">
        <x:f>IF(E85=0,0,F85/E85)</x:f>
        <x:v>0.9733333333333334</x:v>
      </x:c>
      <x:c r="I85" s="13" t="str">
        <x:f>IF(H85&gt;1.05,"Vượt kế hoạch",IF(H85&lt;0.8,"Thấp hơn kế hoạch","Đúng kế hoạch"))</x:f>
        <x:v>Đúng kế hoạch</x:v>
      </x:c>
    </x:row>
    <x:row r="86">
      <x:c r="A86" s="20" t="n">
        <x:v>46023</x:v>
      </x:c>
      <x:c r="B86" s="13" t="str">
        <x:v>Q1</x:v>
      </x:c>
      <x:c r="C86" s="13" t="str">
        <x:v>Hỗ trợ người dùng</x:v>
      </x:c>
      <x:c r="D86" s="13" t="str">
        <x:v>Helpdesk system</x:v>
      </x:c>
      <x:c r="E86" s="16" t="n">
        <x:v>50000000</x:v>
      </x:c>
      <x:c r="F86" s="16" t="n">
        <x:v>50000000</x:v>
      </x:c>
      <x:c r="G86" s="16" t="n">
        <x:f>F86-E86</x:f>
        <x:v>0</x:v>
      </x:c>
      <x:c r="H86" s="22" t="n">
        <x:f>IF(E86=0,0,F86/E86)</x:f>
        <x:v>1</x:v>
      </x:c>
      <x:c r="I86" s="13" t="str">
        <x:f>IF(H86&gt;1.05,"Vượt kế hoạch",IF(H86&lt;0.8,"Thấp hơn kế hoạch","Đúng kế hoạch"))</x:f>
        <x:v>Đúng kế hoạch</x:v>
      </x:c>
    </x:row>
    <x:row r="87">
      <x:c r="A87" s="20" t="n">
        <x:v>46054</x:v>
      </x:c>
      <x:c r="B87" s="13" t="str">
        <x:v>Q1</x:v>
      </x:c>
      <x:c r="C87" s="13" t="str">
        <x:v>Chuyển đổi số</x:v>
      </x:c>
      <x:c r="D87" s="13" t="str">
        <x:v>Dashboard quản trị</x:v>
      </x:c>
      <x:c r="E87" s="16" t="n">
        <x:v>30000000</x:v>
      </x:c>
      <x:c r="F87" s="16" t="n">
        <x:v>31000000</x:v>
      </x:c>
      <x:c r="G87" s="16" t="n">
        <x:f>F87-E87</x:f>
        <x:v>1000000</x:v>
      </x:c>
      <x:c r="H87" s="22" t="n">
        <x:f>IF(E87=0,0,F87/E87)</x:f>
        <x:v>1.0333333333333334</x:v>
      </x:c>
      <x:c r="I87" s="13" t="str">
        <x:f>IF(H87&gt;1.05,"Vượt kế hoạch",IF(H87&lt;0.8,"Thấp hơn kế hoạch","Đúng kế hoạch"))</x:f>
        <x:v>Đúng kế hoạch</x:v>
      </x:c>
    </x:row>
    <x:row r="88">
      <x:c r="A88" s="20" t="n">
        <x:v>46082</x:v>
      </x:c>
      <x:c r="B88" s="13" t="str">
        <x:v>Q1</x:v>
      </x:c>
      <x:c r="C88" s="13" t="str">
        <x:v>LMS/SIS</x:v>
      </x:c>
      <x:c r="D88" s="13" t="str">
        <x:v>Bảo trì LMS</x:v>
      </x:c>
      <x:c r="E88" s="16" t="n">
        <x:v>200000000</x:v>
      </x:c>
      <x:c r="F88" s="16" t="n">
        <x:v>208000000</x:v>
      </x:c>
      <x:c r="G88" s="16" t="n">
        <x:f>F88-E88</x:f>
        <x:v>8000000</x:v>
      </x:c>
      <x:c r="H88" s="22" t="n">
        <x:f>IF(E88=0,0,F88/E88)</x:f>
        <x:v>1.04</x:v>
      </x:c>
      <x:c r="I88" s="13" t="str">
        <x:f>IF(H88&gt;1.05,"Vượt kế hoạch",IF(H88&lt;0.8,"Thấp hơn kế hoạch","Đúng kế hoạch"))</x:f>
        <x:v>Đúng kế hoạch</x:v>
      </x:c>
    </x:row>
    <x:row r="89">
      <x:c r="A89" s="20" t="n">
        <x:v>46113</x:v>
      </x:c>
      <x:c r="B89" s="13" t="str">
        <x:v>Q2</x:v>
      </x:c>
      <x:c r="C89" s="13" t="str">
        <x:v>Phòng máy tính</x:v>
      </x:c>
      <x:c r="D89" s="13" t="str">
        <x:v>Máy chiếu/màn hình</x:v>
      </x:c>
      <x:c r="E89" s="16" t="n">
        <x:v>100000000</x:v>
      </x:c>
      <x:c r="F89" s="16" t="n">
        <x:v>116000000</x:v>
      </x:c>
      <x:c r="G89" s="16" t="n">
        <x:f>F89-E89</x:f>
        <x:v>16000000</x:v>
      </x:c>
      <x:c r="H89" s="22" t="n">
        <x:f>IF(E89=0,0,F89/E89)</x:f>
        <x:v>1.16</x:v>
      </x:c>
      <x:c r="I89" s="13" t="str">
        <x:f>IF(H89&gt;1.05,"Vượt kế hoạch",IF(H89&lt;0.8,"Thấp hơn kế hoạch","Đúng kế hoạch"))</x:f>
        <x:v>Vượt kế hoạch</x:v>
      </x:c>
    </x:row>
    <x:row r="90">
      <x:c r="A90" s="20" t="n">
        <x:v>46143</x:v>
      </x:c>
      <x:c r="B90" s="13" t="str">
        <x:v>Q2</x:v>
      </x:c>
      <x:c r="C90" s="13" t="str">
        <x:v>Hạ tầng mạng</x:v>
      </x:c>
      <x:c r="D90" s="13" t="str">
        <x:v>Nâng cấp switch core</x:v>
      </x:c>
      <x:c r="E90" s="16" t="n">
        <x:v>100000000</x:v>
      </x:c>
      <x:c r="F90" s="16" t="n">
        <x:v>90000000</x:v>
      </x:c>
      <x:c r="G90" s="16" t="n">
        <x:f>F90-E90</x:f>
        <x:v>-10000000</x:v>
      </x:c>
      <x:c r="H90" s="22" t="n">
        <x:f>IF(E90=0,0,F90/E90)</x:f>
        <x:v>0.9</x:v>
      </x:c>
      <x:c r="I90" s="13" t="str">
        <x:f>IF(H90&gt;1.05,"Vượt kế hoạch",IF(H90&lt;0.8,"Thấp hơn kế hoạch","Đúng kế hoạch"))</x:f>
        <x:v>Đúng kế hoạch</x:v>
      </x:c>
    </x:row>
    <x:row r="91">
      <x:c r="A91" s="20" t="n">
        <x:v>46174</x:v>
      </x:c>
      <x:c r="B91" s="13" t="str">
        <x:v>Q2</x:v>
      </x:c>
      <x:c r="C91" s="13" t="str">
        <x:v>Hệ thống máy chủ</x:v>
      </x:c>
      <x:c r="D91" s="13" t="str">
        <x:v>Gia hạn bảo hành server</x:v>
      </x:c>
      <x:c r="E91" s="16" t="n">
        <x:v>300000000</x:v>
      </x:c>
      <x:c r="F91" s="16" t="n">
        <x:v>261000000</x:v>
      </x:c>
      <x:c r="G91" s="16" t="n">
        <x:f>F91-E91</x:f>
        <x:v>-39000000</x:v>
      </x:c>
      <x:c r="H91" s="22" t="n">
        <x:f>IF(E91=0,0,F91/E91)</x:f>
        <x:v>0.87</x:v>
      </x:c>
      <x:c r="I91" s="13" t="str">
        <x:f>IF(H91&gt;1.05,"Vượt kế hoạch",IF(H91&lt;0.8,"Thấp hơn kế hoạch","Đúng kế hoạch"))</x:f>
        <x:v>Đúng kế hoạch</x:v>
      </x:c>
    </x:row>
    <x:row r="92">
      <x:c r="A92" s="20" t="n">
        <x:v>46204</x:v>
      </x:c>
      <x:c r="B92" s="13" t="str">
        <x:v>Q3</x:v>
      </x:c>
      <x:c r="C92" s="13" t="str">
        <x:v>Bảo mật thông tin</x:v>
      </x:c>
      <x:c r="D92" s="13" t="str">
        <x:v>Giám sát SOC</x:v>
      </x:c>
      <x:c r="E92" s="16" t="n">
        <x:v>300000000</x:v>
      </x:c>
      <x:c r="F92" s="16" t="n">
        <x:v>342000000</x:v>
      </x:c>
      <x:c r="G92" s="16" t="n">
        <x:f>F92-E92</x:f>
        <x:v>42000000</x:v>
      </x:c>
      <x:c r="H92" s="22" t="n">
        <x:f>IF(E92=0,0,F92/E92)</x:f>
        <x:v>1.14</x:v>
      </x:c>
      <x:c r="I92" s="13" t="str">
        <x:f>IF(H92&gt;1.05,"Vượt kế hoạch",IF(H92&lt;0.8,"Thấp hơn kế hoạch","Đúng kế hoạch"))</x:f>
        <x:v>Vượt kế hoạch</x:v>
      </x:c>
    </x:row>
    <x:row r="93">
      <x:c r="A93" s="20" t="n">
        <x:v>46235</x:v>
      </x:c>
      <x:c r="B93" s="13" t="str">
        <x:v>Q3</x:v>
      </x:c>
      <x:c r="C93" s="13" t="str">
        <x:v>Phần mềm bản quyền</x:v>
      </x:c>
      <x:c r="D93" s="13" t="str">
        <x:v>Phần mềm thống kê/dữ liệu</x:v>
      </x:c>
      <x:c r="E93" s="16" t="n">
        <x:v>300000000</x:v>
      </x:c>
      <x:c r="F93" s="16" t="n">
        <x:v>281000000</x:v>
      </x:c>
      <x:c r="G93" s="16" t="n">
        <x:f>F93-E93</x:f>
        <x:v>-19000000</x:v>
      </x:c>
      <x:c r="H93" s="22" t="n">
        <x:f>IF(E93=0,0,F93/E93)</x:f>
        <x:v>0.9366666666666666</x:v>
      </x:c>
      <x:c r="I93" s="13" t="str">
        <x:f>IF(H93&gt;1.05,"Vượt kế hoạch",IF(H93&lt;0.8,"Thấp hơn kế hoạch","Đúng kế hoạch"))</x:f>
        <x:v>Đúng kế hoạch</x:v>
      </x:c>
    </x:row>
    <x:row r="94">
      <x:c r="A94" s="20" t="n">
        <x:v>46266</x:v>
      </x:c>
      <x:c r="B94" s="13" t="str">
        <x:v>Q3</x:v>
      </x:c>
      <x:c r="C94" s="13" t="str">
        <x:v>Hỗ trợ người dùng</x:v>
      </x:c>
      <x:c r="D94" s="13" t="str">
        <x:v>Máy tính cho cán bộ</x:v>
      </x:c>
      <x:c r="E94" s="16" t="n">
        <x:v>150000000</x:v>
      </x:c>
      <x:c r="F94" s="16" t="n">
        <x:v>134000000</x:v>
      </x:c>
      <x:c r="G94" s="16" t="n">
        <x:f>F94-E94</x:f>
        <x:v>-16000000</x:v>
      </x:c>
      <x:c r="H94" s="22" t="n">
        <x:f>IF(E94=0,0,F94/E94)</x:f>
        <x:v>0.8933333333333333</x:v>
      </x:c>
      <x:c r="I94" s="13" t="str">
        <x:f>IF(H94&gt;1.05,"Vượt kế hoạch",IF(H94&lt;0.8,"Thấp hơn kế hoạch","Đúng kế hoạch"))</x:f>
        <x:v>Đúng kế hoạch</x:v>
      </x:c>
    </x:row>
    <x:row r="95">
      <x:c r="A95" s="20" t="n">
        <x:v>46296</x:v>
      </x:c>
      <x:c r="B95" s="13" t="str">
        <x:v>Q4</x:v>
      </x:c>
      <x:c r="C95" s="13" t="str">
        <x:v>Chuyển đổi số</x:v>
      </x:c>
      <x:c r="D95" s="13" t="str">
        <x:v>Tự động hóa quy trình</x:v>
      </x:c>
      <x:c r="E95" s="16" t="n">
        <x:v>100000000</x:v>
      </x:c>
      <x:c r="F95" s="16" t="n">
        <x:v>114000000</x:v>
      </x:c>
      <x:c r="G95" s="16" t="n">
        <x:f>F95-E95</x:f>
        <x:v>14000000</x:v>
      </x:c>
      <x:c r="H95" s="22" t="n">
        <x:f>IF(E95=0,0,F95/E95)</x:f>
        <x:v>1.14</x:v>
      </x:c>
      <x:c r="I95" s="13" t="str">
        <x:f>IF(H95&gt;1.05,"Vượt kế hoạch",IF(H95&lt;0.8,"Thấp hơn kế hoạch","Đúng kế hoạch"))</x:f>
        <x:v>Vượt kế hoạch</x:v>
      </x:c>
    </x:row>
    <x:row r="96">
      <x:c r="A96" s="20" t="n">
        <x:v>46327</x:v>
      </x:c>
      <x:c r="B96" s="13" t="str">
        <x:v>Q4</x:v>
      </x:c>
      <x:c r="C96" s="13" t="str">
        <x:v>LMS/SIS</x:v>
      </x:c>
      <x:c r="D96" s="13" t="str">
        <x:v>Tích hợp SSO</x:v>
      </x:c>
      <x:c r="E96" s="16" t="n">
        <x:v>30000000</x:v>
      </x:c>
      <x:c r="F96" s="16" t="n">
        <x:v>26000000</x:v>
      </x:c>
      <x:c r="G96" s="16" t="n">
        <x:f>F96-E96</x:f>
        <x:v>-4000000</x:v>
      </x:c>
      <x:c r="H96" s="22" t="n">
        <x:f>IF(E96=0,0,F96/E96)</x:f>
        <x:v>0.8666666666666667</x:v>
      </x:c>
      <x:c r="I96" s="13" t="str">
        <x:f>IF(H96&gt;1.05,"Vượt kế hoạch",IF(H96&lt;0.8,"Thấp hơn kế hoạch","Đúng kế hoạch"))</x:f>
        <x:v>Đúng kế hoạch</x:v>
      </x:c>
    </x:row>
    <x:row r="97">
      <x:c r="A97" s="20" t="n">
        <x:v>46357</x:v>
      </x:c>
      <x:c r="B97" s="13" t="str">
        <x:v>Q4</x:v>
      </x:c>
      <x:c r="C97" s="13" t="str">
        <x:v>Phòng máy tính</x:v>
      </x:c>
      <x:c r="D97" s="13" t="str">
        <x:v>Bảo trì phòng lab</x:v>
      </x:c>
      <x:c r="E97" s="16" t="n">
        <x:v>200000000</x:v>
      </x:c>
      <x:c r="F97" s="16" t="n">
        <x:v>182000000</x:v>
      </x:c>
      <x:c r="G97" s="16" t="n">
        <x:f>F97-E97</x:f>
        <x:v>-18000000</x:v>
      </x:c>
      <x:c r="H97" s="22" t="n">
        <x:f>IF(E97=0,0,F97/E97)</x:f>
        <x:v>0.91</x:v>
      </x:c>
      <x:c r="I97" s="13" t="str">
        <x:f>IF(H97&gt;1.05,"Vượt kế hoạch",IF(H97&lt;0.8,"Thấp hơn kế hoạch","Đúng kế hoạch"))</x:f>
        <x:v>Đúng kế hoạch</x:v>
      </x:c>
    </x:row>
    <x:row r="98">
      <x:c r="A98" s="20" t="n">
        <x:v>46023</x:v>
      </x:c>
      <x:c r="B98" s="13" t="str">
        <x:v>Q1</x:v>
      </x:c>
      <x:c r="C98" s="13" t="str">
        <x:v>Hạ tầng mạng</x:v>
      </x:c>
      <x:c r="D98" s="13" t="str">
        <x:v>Wi-Fi access point</x:v>
      </x:c>
      <x:c r="E98" s="16" t="n">
        <x:v>300000000</x:v>
      </x:c>
      <x:c r="F98" s="16" t="n">
        <x:v>327000000</x:v>
      </x:c>
      <x:c r="G98" s="16" t="n">
        <x:f>F98-E98</x:f>
        <x:v>27000000</x:v>
      </x:c>
      <x:c r="H98" s="22" t="n">
        <x:f>IF(E98=0,0,F98/E98)</x:f>
        <x:v>1.09</x:v>
      </x:c>
      <x:c r="I98" s="13" t="str">
        <x:f>IF(H98&gt;1.05,"Vượt kế hoạch",IF(H98&lt;0.8,"Thấp hơn kế hoạch","Đúng kế hoạch"))</x:f>
        <x:v>Vượt kế hoạch</x:v>
      </x:c>
    </x:row>
    <x:row r="99">
      <x:c r="A99" s="20" t="n">
        <x:v>46054</x:v>
      </x:c>
      <x:c r="B99" s="13" t="str">
        <x:v>Q1</x:v>
      </x:c>
      <x:c r="C99" s="13" t="str">
        <x:v>Hệ thống máy chủ</x:v>
      </x:c>
      <x:c r="D99" s="13" t="str">
        <x:v>Máy chủ ứng dụng</x:v>
      </x:c>
      <x:c r="E99" s="16" t="n">
        <x:v>50000000</x:v>
      </x:c>
      <x:c r="F99" s="16" t="n">
        <x:v>40000000</x:v>
      </x:c>
      <x:c r="G99" s="16" t="n">
        <x:f>F99-E99</x:f>
        <x:v>-10000000</x:v>
      </x:c>
      <x:c r="H99" s="22" t="n">
        <x:f>IF(E99=0,0,F99/E99)</x:f>
        <x:v>0.8</x:v>
      </x:c>
      <x:c r="I99" s="13" t="str">
        <x:f>IF(H99&gt;1.05,"Vượt kế hoạch",IF(H99&lt;0.8,"Thấp hơn kế hoạch","Đúng kế hoạch"))</x:f>
        <x:v>Đúng kế hoạch</x:v>
      </x:c>
    </x:row>
    <x:row r="100">
      <x:c r="A100" s="20" t="n">
        <x:v>46082</x:v>
      </x:c>
      <x:c r="B100" s="13" t="str">
        <x:v>Q1</x:v>
      </x:c>
      <x:c r="C100" s="13" t="str">
        <x:v>Bảo mật thông tin</x:v>
      </x:c>
      <x:c r="D100" s="13" t="str">
        <x:v>Giám sát SOC</x:v>
      </x:c>
      <x:c r="E100" s="16" t="n">
        <x:v>50000000</x:v>
      </x:c>
      <x:c r="F100" s="16" t="n">
        <x:v>48000000</x:v>
      </x:c>
      <x:c r="G100" s="16" t="n">
        <x:f>F100-E100</x:f>
        <x:v>-2000000</x:v>
      </x:c>
      <x:c r="H100" s="22" t="n">
        <x:f>IF(E100=0,0,F100/E100)</x:f>
        <x:v>0.96</x:v>
      </x:c>
      <x:c r="I100" s="13" t="str">
        <x:f>IF(H100&gt;1.05,"Vượt kế hoạch",IF(H100&lt;0.8,"Thấp hơn kế hoạch","Đúng kế hoạch"))</x:f>
        <x:v>Đúng kế hoạch</x:v>
      </x:c>
    </x:row>
    <x:row r="101">
      <x:c r="A101" s="20" t="n">
        <x:v>46113</x:v>
      </x:c>
      <x:c r="B101" s="13" t="str">
        <x:v>Q2</x:v>
      </x:c>
      <x:c r="C101" s="13" t="str">
        <x:v>Phần mềm bản quyền</x:v>
      </x:c>
      <x:c r="D101" s="13" t="str">
        <x:v>Phần mềm thống kê/dữ liệu</x:v>
      </x:c>
      <x:c r="E101" s="16" t="n">
        <x:v>30000000</x:v>
      </x:c>
      <x:c r="F101" s="16" t="n">
        <x:v>29000000</x:v>
      </x:c>
      <x:c r="G101" s="16" t="n">
        <x:f>F101-E101</x:f>
        <x:v>-1000000</x:v>
      </x:c>
      <x:c r="H101" s="22" t="n">
        <x:f>IF(E101=0,0,F101/E101)</x:f>
        <x:v>0.9666666666666667</x:v>
      </x:c>
      <x:c r="I101" s="13" t="str">
        <x:f>IF(H101&gt;1.05,"Vượt kế hoạch",IF(H101&lt;0.8,"Thấp hơn kế hoạch","Đúng kế hoạch"))</x:f>
        <x:v>Đúng kế hoạch</x:v>
      </x:c>
    </x:row>
    <x:row r="102">
      <x:c r="A102" s="20" t="n">
        <x:v>46143</x:v>
      </x:c>
      <x:c r="B102" s="13" t="str">
        <x:v>Q2</x:v>
      </x:c>
      <x:c r="C102" s="13" t="str">
        <x:v>Hỗ trợ người dùng</x:v>
      </x:c>
      <x:c r="D102" s="13" t="str">
        <x:v>Máy tính cho cán bộ</x:v>
      </x:c>
      <x:c r="E102" s="16" t="n">
        <x:v>150000000</x:v>
      </x:c>
      <x:c r="F102" s="16" t="n">
        <x:v>171000000</x:v>
      </x:c>
      <x:c r="G102" s="16" t="n">
        <x:f>F102-E102</x:f>
        <x:v>21000000</x:v>
      </x:c>
      <x:c r="H102" s="22" t="n">
        <x:f>IF(E102=0,0,F102/E102)</x:f>
        <x:v>1.14</x:v>
      </x:c>
      <x:c r="I102" s="13" t="str">
        <x:f>IF(H102&gt;1.05,"Vượt kế hoạch",IF(H102&lt;0.8,"Thấp hơn kế hoạch","Đúng kế hoạch"))</x:f>
        <x:v>Vượt kế hoạch</x:v>
      </x:c>
    </x:row>
    <x:row r="103">
      <x:c r="A103" s="20" t="n">
        <x:v>46174</x:v>
      </x:c>
      <x:c r="B103" s="13" t="str">
        <x:v>Q2</x:v>
      </x:c>
      <x:c r="C103" s="13" t="str">
        <x:v>Chuyển đổi số</x:v>
      </x:c>
      <x:c r="D103" s="13" t="str">
        <x:v>Dashboard quản trị</x:v>
      </x:c>
      <x:c r="E103" s="16" t="n">
        <x:v>200000000</x:v>
      </x:c>
      <x:c r="F103" s="16" t="n">
        <x:v>184000000</x:v>
      </x:c>
      <x:c r="G103" s="16" t="n">
        <x:f>F103-E103</x:f>
        <x:v>-16000000</x:v>
      </x:c>
      <x:c r="H103" s="22" t="n">
        <x:f>IF(E103=0,0,F103/E103)</x:f>
        <x:v>0.92</x:v>
      </x:c>
      <x:c r="I103" s="13" t="str">
        <x:f>IF(H103&gt;1.05,"Vượt kế hoạch",IF(H103&lt;0.8,"Thấp hơn kế hoạch","Đúng kế hoạch"))</x:f>
        <x:v>Đúng kế hoạch</x:v>
      </x:c>
    </x:row>
    <x:row r="104">
      <x:c r="A104" s="20" t="n">
        <x:v>46204</x:v>
      </x:c>
      <x:c r="B104" s="13" t="str">
        <x:v>Q3</x:v>
      </x:c>
      <x:c r="C104" s="13" t="str">
        <x:v>LMS/SIS</x:v>
      </x:c>
      <x:c r="D104" s="13" t="str">
        <x:v>Nâng cấp cổng sinh viên</x:v>
      </x:c>
      <x:c r="E104" s="16" t="n">
        <x:v>30000000</x:v>
      </x:c>
      <x:c r="F104" s="16" t="n">
        <x:v>35000000</x:v>
      </x:c>
      <x:c r="G104" s="16" t="n">
        <x:f>F104-E104</x:f>
        <x:v>5000000</x:v>
      </x:c>
      <x:c r="H104" s="22" t="n">
        <x:f>IF(E104=0,0,F104/E104)</x:f>
        <x:v>1.1666666666666667</x:v>
      </x:c>
      <x:c r="I104" s="13" t="str">
        <x:f>IF(H104&gt;1.05,"Vượt kế hoạch",IF(H104&lt;0.8,"Thấp hơn kế hoạch","Đúng kế hoạch"))</x:f>
        <x:v>Vượt kế hoạch</x:v>
      </x:c>
    </x:row>
    <x:row r="105">
      <x:c r="A105" s="20" t="n">
        <x:v>46235</x:v>
      </x:c>
      <x:c r="B105" s="13" t="str">
        <x:v>Q3</x:v>
      </x:c>
      <x:c r="C105" s="13" t="str">
        <x:v>Phòng máy tính</x:v>
      </x:c>
      <x:c r="D105" s="13" t="str">
        <x:v>Thiết bị âm thanh</x:v>
      </x:c>
      <x:c r="E105" s="16" t="n">
        <x:v>300000000</x:v>
      </x:c>
      <x:c r="F105" s="16" t="n">
        <x:v>295000000</x:v>
      </x:c>
      <x:c r="G105" s="16" t="n">
        <x:f>F105-E105</x:f>
        <x:v>-5000000</x:v>
      </x:c>
      <x:c r="H105" s="22" t="n">
        <x:f>IF(E105=0,0,F105/E105)</x:f>
        <x:v>0.9833333333333333</x:v>
      </x:c>
      <x:c r="I105" s="13" t="str">
        <x:f>IF(H105&gt;1.05,"Vượt kế hoạch",IF(H105&lt;0.8,"Thấp hơn kế hoạch","Đúng kế hoạch"))</x:f>
        <x:v>Đúng kế hoạch</x:v>
      </x:c>
    </x:row>
    <x:row r="106">
      <x:c r="A106" s="20" t="n">
        <x:v>46266</x:v>
      </x:c>
      <x:c r="B106" s="13" t="str">
        <x:v>Q3</x:v>
      </x:c>
      <x:c r="C106" s="13" t="str">
        <x:v>Hạ tầng mạng</x:v>
      </x:c>
      <x:c r="D106" s="13" t="str">
        <x:v>Thiết bị firewall</x:v>
      </x:c>
      <x:c r="E106" s="16" t="n">
        <x:v>50000000</x:v>
      </x:c>
      <x:c r="F106" s="16" t="n">
        <x:v>51000000</x:v>
      </x:c>
      <x:c r="G106" s="16" t="n">
        <x:f>F106-E106</x:f>
        <x:v>1000000</x:v>
      </x:c>
      <x:c r="H106" s="22" t="n">
        <x:f>IF(E106=0,0,F106/E106)</x:f>
        <x:v>1.02</x:v>
      </x:c>
      <x:c r="I106" s="13" t="str">
        <x:f>IF(H106&gt;1.05,"Vượt kế hoạch",IF(H106&lt;0.8,"Thấp hơn kế hoạch","Đúng kế hoạch"))</x:f>
        <x:v>Đúng kế hoạch</x:v>
      </x:c>
    </x:row>
    <x:row r="107">
      <x:c r="A107" s="20" t="n">
        <x:v>46296</x:v>
      </x:c>
      <x:c r="B107" s="13" t="str">
        <x:v>Q4</x:v>
      </x:c>
      <x:c r="C107" s="13" t="str">
        <x:v>Hệ thống máy chủ</x:v>
      </x:c>
      <x:c r="D107" s="13" t="str">
        <x:v>Gia hạn bảo hành server</x:v>
      </x:c>
      <x:c r="E107" s="16" t="n">
        <x:v>150000000</x:v>
      </x:c>
      <x:c r="F107" s="16" t="n">
        <x:v>120000000</x:v>
      </x:c>
      <x:c r="G107" s="16" t="n">
        <x:f>F107-E107</x:f>
        <x:v>-30000000</x:v>
      </x:c>
      <x:c r="H107" s="22" t="n">
        <x:f>IF(E107=0,0,F107/E107)</x:f>
        <x:v>0.8</x:v>
      </x:c>
      <x:c r="I107" s="13" t="str">
        <x:f>IF(H107&gt;1.05,"Vượt kế hoạch",IF(H107&lt;0.8,"Thấp hơn kế hoạch","Đúng kế hoạch"))</x:f>
        <x:v>Đúng kế hoạch</x:v>
      </x:c>
    </x:row>
    <x:row r="108">
      <x:c r="A108" s="20" t="n">
        <x:v>46327</x:v>
      </x:c>
      <x:c r="B108" s="13" t="str">
        <x:v>Q4</x:v>
      </x:c>
      <x:c r="C108" s="13" t="str">
        <x:v>Bảo mật thông tin</x:v>
      </x:c>
      <x:c r="D108" s="13" t="str">
        <x:v>Phần mềm antivirus/EDR</x:v>
      </x:c>
      <x:c r="E108" s="16" t="n">
        <x:v>30000000</x:v>
      </x:c>
      <x:c r="F108" s="16" t="n">
        <x:v>29000000</x:v>
      </x:c>
      <x:c r="G108" s="16" t="n">
        <x:f>F108-E108</x:f>
        <x:v>-1000000</x:v>
      </x:c>
      <x:c r="H108" s="22" t="n">
        <x:f>IF(E108=0,0,F108/E108)</x:f>
        <x:v>0.9666666666666667</x:v>
      </x:c>
      <x:c r="I108" s="13" t="str">
        <x:f>IF(H108&gt;1.05,"Vượt kế hoạch",IF(H108&lt;0.8,"Thấp hơn kế hoạch","Đúng kế hoạch"))</x:f>
        <x:v>Đúng kế hoạch</x:v>
      </x:c>
    </x:row>
    <x:row r="109">
      <x:c r="A109" s="20" t="n">
        <x:v>46357</x:v>
      </x:c>
      <x:c r="B109" s="13" t="str">
        <x:v>Q4</x:v>
      </x:c>
      <x:c r="C109" s="13" t="str">
        <x:v>Phần mềm bản quyền</x:v>
      </x:c>
      <x:c r="D109" s="13" t="str">
        <x:v>Zoom/Teams license</x:v>
      </x:c>
      <x:c r="E109" s="16" t="n">
        <x:v>30000000</x:v>
      </x:c>
      <x:c r="F109" s="16" t="n">
        <x:v>34000000</x:v>
      </x:c>
      <x:c r="G109" s="16" t="n">
        <x:f>F109-E109</x:f>
        <x:v>4000000</x:v>
      </x:c>
      <x:c r="H109" s="22" t="n">
        <x:f>IF(E109=0,0,F109/E109)</x:f>
        <x:v>1.1333333333333333</x:v>
      </x:c>
      <x:c r="I109" s="13" t="str">
        <x:f>IF(H109&gt;1.05,"Vượt kế hoạch",IF(H109&lt;0.8,"Thấp hơn kế hoạch","Đúng kế hoạch"))</x:f>
        <x:v>Vượt kế hoạch</x:v>
      </x:c>
    </x:row>
    <x:row r="110">
      <x:c r="A110" s="20" t="n">
        <x:v>46023</x:v>
      </x:c>
      <x:c r="B110" s="13" t="str">
        <x:v>Q1</x:v>
      </x:c>
      <x:c r="C110" s="13" t="str">
        <x:v>Hỗ trợ người dùng</x:v>
      </x:c>
      <x:c r="D110" s="13" t="str">
        <x:v>Đào tạo sử dụng hệ thống</x:v>
      </x:c>
      <x:c r="E110" s="16" t="n">
        <x:v>30000000</x:v>
      </x:c>
      <x:c r="F110" s="16" t="n">
        <x:v>26000000</x:v>
      </x:c>
      <x:c r="G110" s="16" t="n">
        <x:f>F110-E110</x:f>
        <x:v>-4000000</x:v>
      </x:c>
      <x:c r="H110" s="22" t="n">
        <x:f>IF(E110=0,0,F110/E110)</x:f>
        <x:v>0.8666666666666667</x:v>
      </x:c>
      <x:c r="I110" s="13" t="str">
        <x:f>IF(H110&gt;1.05,"Vượt kế hoạch",IF(H110&lt;0.8,"Thấp hơn kế hoạch","Đúng kế hoạch"))</x:f>
        <x:v>Đúng kế hoạch</x:v>
      </x:c>
    </x:row>
    <x:row r="111">
      <x:c r="A111" s="20" t="n">
        <x:v>46054</x:v>
      </x:c>
      <x:c r="B111" s="13" t="str">
        <x:v>Q1</x:v>
      </x:c>
      <x:c r="C111" s="13" t="str">
        <x:v>Chuyển đổi số</x:v>
      </x:c>
      <x:c r="D111" s="13" t="str">
        <x:v>Dashboard quản trị</x:v>
      </x:c>
      <x:c r="E111" s="16" t="n">
        <x:v>30000000</x:v>
      </x:c>
      <x:c r="F111" s="16" t="n">
        <x:v>27000000</x:v>
      </x:c>
      <x:c r="G111" s="16" t="n">
        <x:f>F111-E111</x:f>
        <x:v>-3000000</x:v>
      </x:c>
      <x:c r="H111" s="22" t="n">
        <x:f>IF(E111=0,0,F111/E111)</x:f>
        <x:v>0.9</x:v>
      </x:c>
      <x:c r="I111" s="13" t="str">
        <x:f>IF(H111&gt;1.05,"Vượt kế hoạch",IF(H111&lt;0.8,"Thấp hơn kế hoạch","Đúng kế hoạch"))</x:f>
        <x:v>Đúng kế hoạch</x:v>
      </x:c>
    </x:row>
    <x:row r="112">
      <x:c r="A112" s="20" t="n">
        <x:v>46082</x:v>
      </x:c>
      <x:c r="B112" s="13" t="str">
        <x:v>Q1</x:v>
      </x:c>
      <x:c r="C112" s="13" t="str">
        <x:v>LMS/SIS</x:v>
      </x:c>
      <x:c r="D112" s="13" t="str">
        <x:v>Bảo trì LMS</x:v>
      </x:c>
      <x:c r="E112" s="16" t="n">
        <x:v>100000000</x:v>
      </x:c>
      <x:c r="F112" s="16" t="n">
        <x:v>113000000</x:v>
      </x:c>
      <x:c r="G112" s="16" t="n">
        <x:f>F112-E112</x:f>
        <x:v>13000000</x:v>
      </x:c>
      <x:c r="H112" s="22" t="n">
        <x:f>IF(E112=0,0,F112/E112)</x:f>
        <x:v>1.13</x:v>
      </x:c>
      <x:c r="I112" s="13" t="str">
        <x:f>IF(H112&gt;1.05,"Vượt kế hoạch",IF(H112&lt;0.8,"Thấp hơn kế hoạch","Đúng kế hoạch"))</x:f>
        <x:v>Vượt kế hoạch</x:v>
      </x:c>
    </x:row>
    <x:row r="113">
      <x:c r="A113" s="20" t="n">
        <x:v>46113</x:v>
      </x:c>
      <x:c r="B113" s="13" t="str">
        <x:v>Q2</x:v>
      </x:c>
      <x:c r="C113" s="13" t="str">
        <x:v>Phòng máy tính</x:v>
      </x:c>
      <x:c r="D113" s="13" t="str">
        <x:v>Bảo trì phòng lab</x:v>
      </x:c>
      <x:c r="E113" s="16" t="n">
        <x:v>50000000</x:v>
      </x:c>
      <x:c r="F113" s="16" t="n">
        <x:v>45000000</x:v>
      </x:c>
      <x:c r="G113" s="16" t="n">
        <x:f>F113-E113</x:f>
        <x:v>-5000000</x:v>
      </x:c>
      <x:c r="H113" s="22" t="n">
        <x:f>IF(E113=0,0,F113/E113)</x:f>
        <x:v>0.9</x:v>
      </x:c>
      <x:c r="I113" s="13" t="str">
        <x:f>IF(H113&gt;1.05,"Vượt kế hoạch",IF(H113&lt;0.8,"Thấp hơn kế hoạch","Đúng kế hoạch"))</x:f>
        <x:v>Đúng kế hoạch</x:v>
      </x:c>
    </x:row>
    <x:row r="114">
      <x:c r="A114" s="20" t="n">
        <x:v>46143</x:v>
      </x:c>
      <x:c r="B114" s="13" t="str">
        <x:v>Q2</x:v>
      </x:c>
      <x:c r="C114" s="13" t="str">
        <x:v>Hạ tầng mạng</x:v>
      </x:c>
      <x:c r="D114" s="13" t="str">
        <x:v>Thiết bị firewall</x:v>
      </x:c>
      <x:c r="E114" s="16" t="n">
        <x:v>30000000</x:v>
      </x:c>
      <x:c r="F114" s="16" t="n">
        <x:v>26000000</x:v>
      </x:c>
      <x:c r="G114" s="16" t="n">
        <x:f>F114-E114</x:f>
        <x:v>-4000000</x:v>
      </x:c>
      <x:c r="H114" s="22" t="n">
        <x:f>IF(E114=0,0,F114/E114)</x:f>
        <x:v>0.8666666666666667</x:v>
      </x:c>
      <x:c r="I114" s="13" t="str">
        <x:f>IF(H114&gt;1.05,"Vượt kế hoạch",IF(H114&lt;0.8,"Thấp hơn kế hoạch","Đúng kế hoạch"))</x:f>
        <x:v>Đúng kế hoạch</x:v>
      </x:c>
    </x:row>
    <x:row r="115">
      <x:c r="A115" s="20" t="n">
        <x:v>46174</x:v>
      </x:c>
      <x:c r="B115" s="13" t="str">
        <x:v>Q2</x:v>
      </x:c>
      <x:c r="C115" s="13" t="str">
        <x:v>Hệ thống máy chủ</x:v>
      </x:c>
      <x:c r="D115" s="13" t="str">
        <x:v>Gia hạn bảo hành server</x:v>
      </x:c>
      <x:c r="E115" s="16" t="n">
        <x:v>75000000</x:v>
      </x:c>
      <x:c r="F115" s="16" t="n">
        <x:v>66000000</x:v>
      </x:c>
      <x:c r="G115" s="16" t="n">
        <x:f>F115-E115</x:f>
        <x:v>-9000000</x:v>
      </x:c>
      <x:c r="H115" s="22" t="n">
        <x:f>IF(E115=0,0,F115/E115)</x:f>
        <x:v>0.88</x:v>
      </x:c>
      <x:c r="I115" s="13" t="str">
        <x:f>IF(H115&gt;1.05,"Vượt kế hoạch",IF(H115&lt;0.8,"Thấp hơn kế hoạch","Đúng kế hoạch"))</x:f>
        <x:v>Đúng kế hoạch</x:v>
      </x:c>
    </x:row>
    <x:row r="116">
      <x:c r="A116" s="20" t="n">
        <x:v>46204</x:v>
      </x:c>
      <x:c r="B116" s="13" t="str">
        <x:v>Q3</x:v>
      </x:c>
      <x:c r="C116" s="13" t="str">
        <x:v>Bảo mật thông tin</x:v>
      </x:c>
      <x:c r="D116" s="13" t="str">
        <x:v>Giám sát SOC</x:v>
      </x:c>
      <x:c r="E116" s="16" t="n">
        <x:v>50000000</x:v>
      </x:c>
      <x:c r="F116" s="16" t="n">
        <x:v>58000000</x:v>
      </x:c>
      <x:c r="G116" s="16" t="n">
        <x:f>F116-E116</x:f>
        <x:v>8000000</x:v>
      </x:c>
      <x:c r="H116" s="22" t="n">
        <x:f>IF(E116=0,0,F116/E116)</x:f>
        <x:v>1.16</x:v>
      </x:c>
      <x:c r="I116" s="13" t="str">
        <x:f>IF(H116&gt;1.05,"Vượt kế hoạch",IF(H116&lt;0.8,"Thấp hơn kế hoạch","Đúng kế hoạch"))</x:f>
        <x:v>Vượt kế hoạch</x:v>
      </x:c>
    </x:row>
    <x:row r="117">
      <x:c r="A117" s="20" t="n">
        <x:v>46235</x:v>
      </x:c>
      <x:c r="B117" s="13" t="str">
        <x:v>Q3</x:v>
      </x:c>
      <x:c r="C117" s="13" t="str">
        <x:v>Phần mềm bản quyền</x:v>
      </x:c>
      <x:c r="D117" s="13" t="str">
        <x:v>Phần mềm thống kê/dữ liệu</x:v>
      </x:c>
      <x:c r="E117" s="16" t="n">
        <x:v>50000000</x:v>
      </x:c>
      <x:c r="F117" s="16" t="n">
        <x:v>42000000</x:v>
      </x:c>
      <x:c r="G117" s="16" t="n">
        <x:f>F117-E117</x:f>
        <x:v>-8000000</x:v>
      </x:c>
      <x:c r="H117" s="22" t="n">
        <x:f>IF(E117=0,0,F117/E117)</x:f>
        <x:v>0.84</x:v>
      </x:c>
      <x:c r="I117" s="13" t="str">
        <x:f>IF(H117&gt;1.05,"Vượt kế hoạch",IF(H117&lt;0.8,"Thấp hơn kế hoạch","Đúng kế hoạch"))</x:f>
        <x:v>Đúng kế hoạch</x:v>
      </x:c>
    </x:row>
    <x:row r="118">
      <x:c r="A118" s="20" t="n">
        <x:v>46266</x:v>
      </x:c>
      <x:c r="B118" s="13" t="str">
        <x:v>Q3</x:v>
      </x:c>
      <x:c r="C118" s="13" t="str">
        <x:v>Hỗ trợ người dùng</x:v>
      </x:c>
      <x:c r="D118" s="13" t="str">
        <x:v>Máy tính cho cán bộ</x:v>
      </x:c>
      <x:c r="E118" s="16" t="n">
        <x:v>50000000</x:v>
      </x:c>
      <x:c r="F118" s="16" t="n">
        <x:v>44000000</x:v>
      </x:c>
      <x:c r="G118" s="16" t="n">
        <x:f>F118-E118</x:f>
        <x:v>-6000000</x:v>
      </x:c>
      <x:c r="H118" s="22" t="n">
        <x:f>IF(E118=0,0,F118/E118)</x:f>
        <x:v>0.88</x:v>
      </x:c>
      <x:c r="I118" s="13" t="str">
        <x:f>IF(H118&gt;1.05,"Vượt kế hoạch",IF(H118&lt;0.8,"Thấp hơn kế hoạch","Đúng kế hoạch"))</x:f>
        <x:v>Đúng kế hoạch</x:v>
      </x:c>
    </x:row>
    <x:row r="119">
      <x:c r="A119" s="20" t="n">
        <x:v>46296</x:v>
      </x:c>
      <x:c r="B119" s="13" t="str">
        <x:v>Q4</x:v>
      </x:c>
      <x:c r="C119" s="13" t="str">
        <x:v>Chuyển đổi số</x:v>
      </x:c>
      <x:c r="D119" s="13" t="str">
        <x:v>Dashboard quản trị</x:v>
      </x:c>
      <x:c r="E119" s="16" t="n">
        <x:v>100000000</x:v>
      </x:c>
      <x:c r="F119" s="16" t="n">
        <x:v>76000000</x:v>
      </x:c>
      <x:c r="G119" s="16" t="n">
        <x:f>F119-E119</x:f>
        <x:v>-24000000</x:v>
      </x:c>
      <x:c r="H119" s="22" t="n">
        <x:f>IF(E119=0,0,F119/E119)</x:f>
        <x:v>0.76</x:v>
      </x:c>
      <x:c r="I119" s="13" t="str">
        <x:f>IF(H119&gt;1.05,"Vượt kế hoạch",IF(H119&lt;0.8,"Thấp hơn kế hoạch","Đúng kế hoạch"))</x:f>
        <x:v>Thấp hơn kế hoạch</x:v>
      </x:c>
    </x:row>
    <x:row r="120">
      <x:c r="A120" s="20" t="n">
        <x:v>46327</x:v>
      </x:c>
      <x:c r="B120" s="13" t="str">
        <x:v>Q4</x:v>
      </x:c>
      <x:c r="C120" s="13" t="str">
        <x:v>LMS/SIS</x:v>
      </x:c>
      <x:c r="D120" s="13" t="str">
        <x:v>Nâng cấp cổng sinh viên</x:v>
      </x:c>
      <x:c r="E120" s="16" t="n">
        <x:v>150000000</x:v>
      </x:c>
      <x:c r="F120" s="16" t="n">
        <x:v>153000000</x:v>
      </x:c>
      <x:c r="G120" s="16" t="n">
        <x:f>F120-E120</x:f>
        <x:v>3000000</x:v>
      </x:c>
      <x:c r="H120" s="22" t="n">
        <x:f>IF(E120=0,0,F120/E120)</x:f>
        <x:v>1.02</x:v>
      </x:c>
      <x:c r="I120" s="13" t="str">
        <x:f>IF(H120&gt;1.05,"Vượt kế hoạch",IF(H120&lt;0.8,"Thấp hơn kế hoạch","Đúng kế hoạch"))</x:f>
        <x:v>Đúng kế hoạch</x:v>
      </x:c>
    </x:row>
    <x:row r="121">
      <x:c r="A121" s="20" t="n">
        <x:v>46357</x:v>
      </x:c>
      <x:c r="B121" s="13" t="str">
        <x:v>Q4</x:v>
      </x:c>
      <x:c r="C121" s="13" t="str">
        <x:v>Phòng máy tính</x:v>
      </x:c>
      <x:c r="D121" s="13" t="str">
        <x:v>Máy chiếu/màn hình</x:v>
      </x:c>
      <x:c r="E121" s="16" t="n">
        <x:v>30000000</x:v>
      </x:c>
      <x:c r="F121" s="16" t="n">
        <x:v>31000000</x:v>
      </x:c>
      <x:c r="G121" s="16" t="n">
        <x:f>F121-E121</x:f>
        <x:v>1000000</x:v>
      </x:c>
      <x:c r="H121" s="22" t="n">
        <x:f>IF(E121=0,0,F121/E121)</x:f>
        <x:v>1.0333333333333334</x:v>
      </x:c>
      <x:c r="I121" s="13" t="str">
        <x:f>IF(H121&gt;1.05,"Vượt kế hoạch",IF(H121&lt;0.8,"Thấp hơn kế hoạch","Đúng kế hoạch"))</x:f>
        <x:v>Đúng kế hoạch</x:v>
      </x:c>
    </x:row>
  </x:sheetData>
  <x:conditionalFormatting sqref="H2:H121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{46DFA29D-E20D-CC40-89E6-6BF035522FD1}</x14:id>
        </x:ext>
      </x:extLst>
    </x:cfRule>
  </x:conditionalFormatting>
  <x:conditionalFormatting sqref="I2:I121">
    <x:cfRule type="expression" dxfId="0" priority="2">
      <x:formula>I2="Vượt kế hoạch"</x:formula>
    </x:cfRule>
    <x:cfRule type="expression" dxfId="1" priority="3">
      <x:formula>I2="Đúng kế hoạch"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5f80b3d90140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DFA29D-E20D-CC40-89E6-6BF035522FD1}">
            <x14:dataBar gradient="1">
              <x14:cfvo type="min"/>
              <x14:cfvo type="max"/>
              <x14:fillColor rgb="4472C4"/>
            </x14:dataBar>
          </x14:cfRule>
          <xm:sqref>H2:H121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4" hidden="0" customWidth="1"/>
    <x:col min="6" max="6" width="28" hidden="0" customWidth="1"/>
    <x:col min="7" max="7" width="28" hidden="0" customWidth="1"/>
    <x:col min="8" max="8" width="15.069999694824219" hidden="0" customWidth="1"/>
    <x:col min="9" max="9" width="9.020000457763672" hidden="0" customWidth="1"/>
    <x:col min="10" max="10" width="14.800000190734863" hidden="0" customWidth="1"/>
    <x:col min="11" max="11" width="10.359999656677246" hidden="0" customWidth="1"/>
    <x:col min="12" max="12" width="8.210000038146973" hidden="0" customWidth="1"/>
    <x:col min="13" max="13" width="18.709999084472656" hidden="0" customWidth="1"/>
  </x:cols>
  <x:sheetData>
    <x:row r="1" ht="32" customHeight="1">
      <x:c r="A1" s="12" t="str">
        <x:v>Mã đề nghị</x:v>
      </x:c>
      <x:c r="B1" s="12" t="str">
        <x:v>Ngày đề nghị</x:v>
      </x:c>
      <x:c r="C1" s="12" t="str">
        <x:v>Quý</x:v>
      </x:c>
      <x:c r="D1" s="12" t="str">
        <x:v>Chương trình</x:v>
      </x:c>
      <x:c r="E1" s="12" t="str">
        <x:v>Hạng mục</x:v>
      </x:c>
      <x:c r="F1" s="12" t="str">
        <x:v>Nhà cung cấp</x:v>
      </x:c>
      <x:c r="G1" s="12" t="str">
        <x:v>Nội dung thanh toán</x:v>
      </x:c>
      <x:c r="H1" s="12" t="str">
        <x:v>Giá trị trước VAT</x:v>
      </x:c>
      <x:c r="I1" s="12" t="str">
        <x:v>VAT 10%</x:v>
      </x:c>
      <x:c r="J1" s="12" t="str">
        <x:v>Tổng thanh toán</x:v>
      </x:c>
      <x:c r="K1" s="12" t="str">
        <x:v>Trạng thái</x:v>
      </x:c>
      <x:c r="L1" s="12" t="str">
        <x:v>Ưu tiên</x:v>
      </x:c>
      <x:c r="M1" s="12" t="str">
        <x:v>Mã dự toán liên quan</x:v>
      </x:c>
    </x:row>
    <x:row r="2">
      <x:c r="A2" s="13" t="str">
        <x:v>IT-PR-2026-001</x:v>
      </x:c>
      <x:c r="B2" s="24" t="n">
        <x:v>46032</x:v>
      </x:c>
      <x:c r="C2" s="13" t="str">
        <x:v>Q1</x:v>
      </x:c>
      <x:c r="D2" s="13" t="str">
        <x:v>Hạ tầng mạng</x:v>
      </x:c>
      <x:c r="E2" s="13" t="str">
        <x:v>Wi-Fi access point</x:v>
      </x:c>
      <x:c r="F2" s="13" t="str">
        <x:v>Microsoft Vietnam</x:v>
      </x:c>
      <x:c r="G2" s="13" t="str">
        <x:v>Thanh toán wi-fi access point - Hạ tầng mạng</x:v>
      </x:c>
      <x:c r="H2" s="16" t="n">
        <x:v>75000000</x:v>
      </x:c>
      <x:c r="I2" s="16" t="n">
        <x:f>H2*10%</x:f>
        <x:v>7500000</x:v>
      </x:c>
      <x:c r="J2" s="16" t="n">
        <x:f>H2+I2</x:f>
        <x:v>82500000</x:v>
      </x:c>
      <x:c r="K2" s="13" t="str">
        <x:v>Đã thanh toán</x:v>
      </x:c>
      <x:c r="L2" s="13" t="str">
        <x:v>Cao</x:v>
      </x:c>
      <x:c r="M2" s="13" t="str">
        <x:v>IT-DT-2026-114</x:v>
      </x:c>
    </x:row>
    <x:row r="3">
      <x:c r="A3" s="13" t="str">
        <x:v>IT-PR-2026-002</x:v>
      </x:c>
      <x:c r="B3" s="24" t="n">
        <x:v>46067</x:v>
      </x:c>
      <x:c r="C3" s="13" t="str">
        <x:v>Q1</x:v>
      </x:c>
      <x:c r="D3" s="13" t="str">
        <x:v>Hệ thống máy chủ</x:v>
      </x:c>
      <x:c r="E3" s="13" t="str">
        <x:v>Máy chủ ứng dụng</x:v>
      </x:c>
      <x:c r="F3" s="13" t="str">
        <x:v>Viettel Solutions</x:v>
      </x:c>
      <x:c r="G3" s="13" t="str">
        <x:v>Thanh toán máy chủ ứng dụng - Hệ thống máy chủ</x:v>
      </x:c>
      <x:c r="H3" s="16" t="n">
        <x:v>20000000</x:v>
      </x:c>
      <x:c r="I3" s="16" t="n">
        <x:f>H3*10%</x:f>
        <x:v>2000000</x:v>
      </x:c>
      <x:c r="J3" s="16" t="n">
        <x:f>H3+I3</x:f>
        <x:v>22000000</x:v>
      </x:c>
      <x:c r="K3" s="13" t="str">
        <x:v>Đã thanh toán</x:v>
      </x:c>
      <x:c r="L3" s="13" t="str">
        <x:v>Cao</x:v>
      </x:c>
      <x:c r="M3" s="13" t="str">
        <x:v>IT-DT-2026-051</x:v>
      </x:c>
    </x:row>
    <x:row r="4">
      <x:c r="A4" s="13" t="str">
        <x:v>IT-PR-2026-003</x:v>
      </x:c>
      <x:c r="B4" s="24" t="n">
        <x:v>46090</x:v>
      </x:c>
      <x:c r="C4" s="13" t="str">
        <x:v>Q1</x:v>
      </x:c>
      <x:c r="D4" s="13" t="str">
        <x:v>Bảo mật thông tin</x:v>
      </x:c>
      <x:c r="E4" s="13" t="str">
        <x:v>Kiểm thử xâm nhập</x:v>
      </x:c>
      <x:c r="F4" s="13" t="str">
        <x:v>Sao Bắc Đẩu</x:v>
      </x:c>
      <x:c r="G4" s="13" t="str">
        <x:v>Thanh toán kiểm thử xâm nhập - Bảo mật thông tin</x:v>
      </x:c>
      <x:c r="H4" s="16" t="n">
        <x:v>20000000</x:v>
      </x:c>
      <x:c r="I4" s="16" t="n">
        <x:f>H4*10%</x:f>
        <x:v>2000000</x:v>
      </x:c>
      <x:c r="J4" s="16" t="n">
        <x:f>H4+I4</x:f>
        <x:v>22000000</x:v>
      </x:c>
      <x:c r="K4" s="13" t="str">
        <x:v>Đã duyệt</x:v>
      </x:c>
      <x:c r="L4" s="13" t="str">
        <x:v>Cao</x:v>
      </x:c>
      <x:c r="M4" s="13" t="str">
        <x:v>IT-DT-2026-070</x:v>
      </x:c>
    </x:row>
    <x:row r="5">
      <x:c r="A5" s="13" t="str">
        <x:v>IT-PR-2026-004</x:v>
      </x:c>
      <x:c r="B5" s="24" t="n">
        <x:v>46124</x:v>
      </x:c>
      <x:c r="C5" s="13" t="str">
        <x:v>Q2</x:v>
      </x:c>
      <x:c r="D5" s="13" t="str">
        <x:v>Phần mềm bản quyền</x:v>
      </x:c>
      <x:c r="E5" s="13" t="str">
        <x:v>Microsoft 365</x:v>
      </x:c>
      <x:c r="F5" s="13" t="str">
        <x:v>CMC Cyber Security</x:v>
      </x:c>
      <x:c r="G5" s="13" t="str">
        <x:v>Thanh toán microsoft 365 - Phần mềm bản quyền</x:v>
      </x:c>
      <x:c r="H5" s="16" t="n">
        <x:v>150000000</x:v>
      </x:c>
      <x:c r="I5" s="16" t="n">
        <x:f>H5*10%</x:f>
        <x:v>15000000</x:v>
      </x:c>
      <x:c r="J5" s="16" t="n">
        <x:f>H5+I5</x:f>
        <x:v>165000000</x:v>
      </x:c>
      <x:c r="K5" s="13" t="str">
        <x:v>Chờ duyệt</x:v>
      </x:c>
      <x:c r="L5" s="13" t="str">
        <x:v>Cao</x:v>
      </x:c>
      <x:c r="M5" s="13" t="str">
        <x:v>IT-DT-2026-047</x:v>
      </x:c>
    </x:row>
    <x:row r="6">
      <x:c r="A6" s="13" t="str">
        <x:v>IT-PR-2026-005</x:v>
      </x:c>
      <x:c r="B6" s="24" t="n">
        <x:v>46164</x:v>
      </x:c>
      <x:c r="C6" s="13" t="str">
        <x:v>Q2</x:v>
      </x:c>
      <x:c r="D6" s="13" t="str">
        <x:v>Hỗ trợ người dùng</x:v>
      </x:c>
      <x:c r="E6" s="13" t="str">
        <x:v>Thiết bị ngoại vi</x:v>
      </x:c>
      <x:c r="F6" s="13" t="str">
        <x:v>Microsoft Vietnam</x:v>
      </x:c>
      <x:c r="G6" s="13" t="str">
        <x:v>Thanh toán thiết bị ngoại vi - Hỗ trợ người dùng</x:v>
      </x:c>
      <x:c r="H6" s="16" t="n">
        <x:v>12000000</x:v>
      </x:c>
      <x:c r="I6" s="16" t="n">
        <x:f>H6*10%</x:f>
        <x:v>1200000</x:v>
      </x:c>
      <x:c r="J6" s="16" t="n">
        <x:f>H6+I6</x:f>
        <x:v>13200000</x:v>
      </x:c>
      <x:c r="K6" s="13" t="str">
        <x:v>Đã thanh toán</x:v>
      </x:c>
      <x:c r="L6" s="13" t="str">
        <x:v>Cao</x:v>
      </x:c>
      <x:c r="M6" s="13" t="str">
        <x:v>IT-DT-2026-020</x:v>
      </x:c>
    </x:row>
    <x:row r="7">
      <x:c r="A7" s="13" t="str">
        <x:v>IT-PR-2026-006</x:v>
      </x:c>
      <x:c r="B7" s="24" t="n">
        <x:v>46188</x:v>
      </x:c>
      <x:c r="C7" s="13" t="str">
        <x:v>Q2</x:v>
      </x:c>
      <x:c r="D7" s="13" t="str">
        <x:v>Chuyển đổi số</x:v>
      </x:c>
      <x:c r="E7" s="13" t="str">
        <x:v>Phát triển chatbot nội bộ</x:v>
      </x:c>
      <x:c r="F7" s="13" t="str">
        <x:v>MISA</x:v>
      </x:c>
      <x:c r="G7" s="13" t="str">
        <x:v>Thanh toán phát triển chatbot nội bộ - Chuyển đổi số</x:v>
      </x:c>
      <x:c r="H7" s="16" t="n">
        <x:v>5000000</x:v>
      </x:c>
      <x:c r="I7" s="16" t="n">
        <x:f>H7*10%</x:f>
        <x:v>500000</x:v>
      </x:c>
      <x:c r="J7" s="16" t="n">
        <x:f>H7+I7</x:f>
        <x:v>5500000</x:v>
      </x:c>
      <x:c r="K7" s="13" t="str">
        <x:v>Nháp</x:v>
      </x:c>
      <x:c r="L7" s="13" t="str">
        <x:v>Trung bình</x:v>
      </x:c>
      <x:c r="M7" s="13" t="str">
        <x:v>IT-DT-2026-138</x:v>
      </x:c>
    </x:row>
    <x:row r="8">
      <x:c r="A8" s="13" t="str">
        <x:v>IT-PR-2026-007</x:v>
      </x:c>
      <x:c r="B8" s="24" t="n">
        <x:v>46212</x:v>
      </x:c>
      <x:c r="C8" s="13" t="str">
        <x:v>Q3</x:v>
      </x:c>
      <x:c r="D8" s="13" t="str">
        <x:v>LMS/SIS</x:v>
      </x:c>
      <x:c r="E8" s="13" t="str">
        <x:v>Tối ưu cơ sở dữ liệu</x:v>
      </x:c>
      <x:c r="F8" s="13" t="str">
        <x:v>CMC Cyber Security</x:v>
      </x:c>
      <x:c r="G8" s="13" t="str">
        <x:v>Thanh toán tối ưu cơ sở dữ liệu - LMS/SIS</x:v>
      </x:c>
      <x:c r="H8" s="16" t="n">
        <x:v>8000000</x:v>
      </x:c>
      <x:c r="I8" s="16" t="n">
        <x:f>H8*10%</x:f>
        <x:v>800000</x:v>
      </x:c>
      <x:c r="J8" s="16" t="n">
        <x:f>H8+I8</x:f>
        <x:v>8800000</x:v>
      </x:c>
      <x:c r="K8" s="13" t="str">
        <x:v>Chờ duyệt</x:v>
      </x:c>
      <x:c r="L8" s="13" t="str">
        <x:v>Thấp</x:v>
      </x:c>
      <x:c r="M8" s="13" t="str">
        <x:v>IT-DT-2026-049</x:v>
      </x:c>
    </x:row>
    <x:row r="9">
      <x:c r="A9" s="13" t="str">
        <x:v>IT-PR-2026-008</x:v>
      </x:c>
      <x:c r="B9" s="24" t="n">
        <x:v>46242</x:v>
      </x:c>
      <x:c r="C9" s="13" t="str">
        <x:v>Q3</x:v>
      </x:c>
      <x:c r="D9" s="13" t="str">
        <x:v>Phòng máy tính</x:v>
      </x:c>
      <x:c r="E9" s="13" t="str">
        <x:v>Máy chiếu/màn hình</x:v>
      </x:c>
      <x:c r="F9" s="13" t="str">
        <x:v>Microsoft Vietnam</x:v>
      </x:c>
      <x:c r="G9" s="13" t="str">
        <x:v>Thanh toán máy chiếu/màn hình - Phòng máy tính</x:v>
      </x:c>
      <x:c r="H9" s="16" t="n">
        <x:v>150000000</x:v>
      </x:c>
      <x:c r="I9" s="16" t="n">
        <x:f>H9*10%</x:f>
        <x:v>15000000</x:v>
      </x:c>
      <x:c r="J9" s="16" t="n">
        <x:f>H9+I9</x:f>
        <x:v>165000000</x:v>
      </x:c>
      <x:c r="K9" s="13" t="str">
        <x:v>Nháp</x:v>
      </x:c>
      <x:c r="L9" s="13" t="str">
        <x:v>Trung bình</x:v>
      </x:c>
      <x:c r="M9" s="13" t="str">
        <x:v>IT-DT-2026-039</x:v>
      </x:c>
    </x:row>
    <x:row r="10">
      <x:c r="A10" s="13" t="str">
        <x:v>IT-PR-2026-009</x:v>
      </x:c>
      <x:c r="B10" s="24" t="n">
        <x:v>46267</x:v>
      </x:c>
      <x:c r="C10" s="13" t="str">
        <x:v>Q3</x:v>
      </x:c>
      <x:c r="D10" s="13" t="str">
        <x:v>Hạ tầng mạng</x:v>
      </x:c>
      <x:c r="E10" s="13" t="str">
        <x:v>Bảo trì hệ thống mạng</x:v>
      </x:c>
      <x:c r="F10" s="13" t="str">
        <x:v>CMC Cyber Security</x:v>
      </x:c>
      <x:c r="G10" s="13" t="str">
        <x:v>Thanh toán bảo trì hệ thống mạng - Hạ tầng mạng</x:v>
      </x:c>
      <x:c r="H10" s="16" t="n">
        <x:v>75000000</x:v>
      </x:c>
      <x:c r="I10" s="16" t="n">
        <x:f>H10*10%</x:f>
        <x:v>7500000</x:v>
      </x:c>
      <x:c r="J10" s="16" t="n">
        <x:f>H10+I10</x:f>
        <x:v>82500000</x:v>
      </x:c>
      <x:c r="K10" s="13" t="str">
        <x:v>Nháp</x:v>
      </x:c>
      <x:c r="L10" s="13" t="str">
        <x:v>Trung bình</x:v>
      </x:c>
      <x:c r="M10" s="13" t="str">
        <x:v>IT-DT-2026-016</x:v>
      </x:c>
    </x:row>
    <x:row r="11">
      <x:c r="A11" s="13" t="str">
        <x:v>IT-PR-2026-010</x:v>
      </x:c>
      <x:c r="B11" s="24" t="n">
        <x:v>46301</x:v>
      </x:c>
      <x:c r="C11" s="13" t="str">
        <x:v>Q4</x:v>
      </x:c>
      <x:c r="D11" s="13" t="str">
        <x:v>Hệ thống máy chủ</x:v>
      </x:c>
      <x:c r="E11" s="13" t="str">
        <x:v>Máy chủ ứng dụng</x:v>
      </x:c>
      <x:c r="F11" s="13" t="str">
        <x:v>MISA</x:v>
      </x:c>
      <x:c r="G11" s="13" t="str">
        <x:v>Thanh toán máy chủ ứng dụng - Hệ thống máy chủ</x:v>
      </x:c>
      <x:c r="H11" s="16" t="n">
        <x:v>50000000</x:v>
      </x:c>
      <x:c r="I11" s="16" t="n">
        <x:f>H11*10%</x:f>
        <x:v>5000000</x:v>
      </x:c>
      <x:c r="J11" s="16" t="n">
        <x:f>H11+I11</x:f>
        <x:v>55000000</x:v>
      </x:c>
      <x:c r="K11" s="13" t="str">
        <x:v>Đã duyệt</x:v>
      </x:c>
      <x:c r="L11" s="13" t="str">
        <x:v>Cao</x:v>
      </x:c>
      <x:c r="M11" s="13" t="str">
        <x:v>IT-DT-2026-009</x:v>
      </x:c>
    </x:row>
    <x:row r="12">
      <x:c r="A12" s="13" t="str">
        <x:v>IT-PR-2026-011</x:v>
      </x:c>
      <x:c r="B12" s="24" t="n">
        <x:v>46343</x:v>
      </x:c>
      <x:c r="C12" s="13" t="str">
        <x:v>Q4</x:v>
      </x:c>
      <x:c r="D12" s="13" t="str">
        <x:v>Bảo mật thông tin</x:v>
      </x:c>
      <x:c r="E12" s="13" t="str">
        <x:v>Đào tạo an toàn thông tin</x:v>
      </x:c>
      <x:c r="F12" s="13" t="str">
        <x:v>MISA</x:v>
      </x:c>
      <x:c r="G12" s="13" t="str">
        <x:v>Thanh toán đào tạo an toàn thông tin - Bảo mật thông tin</x:v>
      </x:c>
      <x:c r="H12" s="16" t="n">
        <x:v>150000000</x:v>
      </x:c>
      <x:c r="I12" s="16" t="n">
        <x:f>H12*10%</x:f>
        <x:v>15000000</x:v>
      </x:c>
      <x:c r="J12" s="16" t="n">
        <x:f>H12+I12</x:f>
        <x:v>165000000</x:v>
      </x:c>
      <x:c r="K12" s="13" t="str">
        <x:v>Đã thanh toán</x:v>
      </x:c>
      <x:c r="L12" s="13" t="str">
        <x:v>Trung bình</x:v>
      </x:c>
      <x:c r="M12" s="13" t="str">
        <x:v>IT-DT-2026-043</x:v>
      </x:c>
    </x:row>
    <x:row r="13">
      <x:c r="A13" s="13" t="str">
        <x:v>IT-PR-2026-012</x:v>
      </x:c>
      <x:c r="B13" s="24" t="n">
        <x:v>46360</x:v>
      </x:c>
      <x:c r="C13" s="13" t="str">
        <x:v>Q4</x:v>
      </x:c>
      <x:c r="D13" s="13" t="str">
        <x:v>Phần mềm bản quyền</x:v>
      </x:c>
      <x:c r="E13" s="13" t="str">
        <x:v>Phần mềm thống kê/dữ liệu</x:v>
      </x:c>
      <x:c r="F13" s="13" t="str">
        <x:v>VNPT Technology</x:v>
      </x:c>
      <x:c r="G13" s="13" t="str">
        <x:v>Thanh toán phần mềm thống kê/dữ liệu - Phần mềm bản quyền</x:v>
      </x:c>
      <x:c r="H13" s="16" t="n">
        <x:v>100000000</x:v>
      </x:c>
      <x:c r="I13" s="16" t="n">
        <x:f>H13*10%</x:f>
        <x:v>10000000</x:v>
      </x:c>
      <x:c r="J13" s="16" t="n">
        <x:f>H13+I13</x:f>
        <x:v>110000000</x:v>
      </x:c>
      <x:c r="K13" s="13" t="str">
        <x:v>Đã thanh toán</x:v>
      </x:c>
      <x:c r="L13" s="13" t="str">
        <x:v>Cao</x:v>
      </x:c>
      <x:c r="M13" s="13" t="str">
        <x:v>IT-DT-2026-061</x:v>
      </x:c>
    </x:row>
    <x:row r="14">
      <x:c r="A14" s="13" t="str">
        <x:v>IT-PR-2026-013</x:v>
      </x:c>
      <x:c r="B14" s="24" t="n">
        <x:v>46031</x:v>
      </x:c>
      <x:c r="C14" s="13" t="str">
        <x:v>Q1</x:v>
      </x:c>
      <x:c r="D14" s="13" t="str">
        <x:v>Hỗ trợ người dùng</x:v>
      </x:c>
      <x:c r="E14" s="13" t="str">
        <x:v>Đào tạo sử dụng hệ thống</x:v>
      </x:c>
      <x:c r="F14" s="13" t="str">
        <x:v>MISA</x:v>
      </x:c>
      <x:c r="G14" s="13" t="str">
        <x:v>Thanh toán đào tạo sử dụng hệ thống - Hỗ trợ người dùng</x:v>
      </x:c>
      <x:c r="H14" s="16" t="n">
        <x:v>20000000</x:v>
      </x:c>
      <x:c r="I14" s="16" t="n">
        <x:f>H14*10%</x:f>
        <x:v>2000000</x:v>
      </x:c>
      <x:c r="J14" s="16" t="n">
        <x:f>H14+I14</x:f>
        <x:v>22000000</x:v>
      </x:c>
      <x:c r="K14" s="13" t="str">
        <x:v>Đã thanh toán</x:v>
      </x:c>
      <x:c r="L14" s="13" t="str">
        <x:v>Trung bình</x:v>
      </x:c>
      <x:c r="M14" s="13" t="str">
        <x:v>IT-DT-2026-067</x:v>
      </x:c>
    </x:row>
    <x:row r="15">
      <x:c r="A15" s="13" t="str">
        <x:v>IT-PR-2026-014</x:v>
      </x:c>
      <x:c r="B15" s="24" t="n">
        <x:v>46055</x:v>
      </x:c>
      <x:c r="C15" s="13" t="str">
        <x:v>Q1</x:v>
      </x:c>
      <x:c r="D15" s="13" t="str">
        <x:v>Chuyển đổi số</x:v>
      </x:c>
      <x:c r="E15" s="13" t="str">
        <x:v>Tích hợp API</x:v>
      </x:c>
      <x:c r="F15" s="13" t="str">
        <x:v>CMC Cyber Security</x:v>
      </x:c>
      <x:c r="G15" s="13" t="str">
        <x:v>Thanh toán tích hợp api - Chuyển đổi số</x:v>
      </x:c>
      <x:c r="H15" s="16" t="n">
        <x:v>5000000</x:v>
      </x:c>
      <x:c r="I15" s="16" t="n">
        <x:f>H15*10%</x:f>
        <x:v>500000</x:v>
      </x:c>
      <x:c r="J15" s="16" t="n">
        <x:f>H15+I15</x:f>
        <x:v>5500000</x:v>
      </x:c>
      <x:c r="K15" s="13" t="str">
        <x:v>Đã thanh toán</x:v>
      </x:c>
      <x:c r="L15" s="13" t="str">
        <x:v>Trung bình</x:v>
      </x:c>
      <x:c r="M15" s="13" t="str">
        <x:v>IT-DT-2026-047</x:v>
      </x:c>
    </x:row>
    <x:row r="16">
      <x:c r="A16" s="13" t="str">
        <x:v>IT-PR-2026-015</x:v>
      </x:c>
      <x:c r="B16" s="24" t="n">
        <x:v>46092</x:v>
      </x:c>
      <x:c r="C16" s="13" t="str">
        <x:v>Q1</x:v>
      </x:c>
      <x:c r="D16" s="13" t="str">
        <x:v>LMS/SIS</x:v>
      </x:c>
      <x:c r="E16" s="13" t="str">
        <x:v>Nâng cấp cổng sinh viên</x:v>
      </x:c>
      <x:c r="F16" s="13" t="str">
        <x:v>CMC Cyber Security</x:v>
      </x:c>
      <x:c r="G16" s="13" t="str">
        <x:v>Thanh toán nâng cấp cổng sinh viên - LMS/SIS</x:v>
      </x:c>
      <x:c r="H16" s="16" t="n">
        <x:v>5000000</x:v>
      </x:c>
      <x:c r="I16" s="16" t="n">
        <x:f>H16*10%</x:f>
        <x:v>500000</x:v>
      </x:c>
      <x:c r="J16" s="16" t="n">
        <x:f>H16+I16</x:f>
        <x:v>5500000</x:v>
      </x:c>
      <x:c r="K16" s="13" t="str">
        <x:v>Đã thanh toán</x:v>
      </x:c>
      <x:c r="L16" s="13" t="str">
        <x:v>Trung bình</x:v>
      </x:c>
      <x:c r="M16" s="13" t="str">
        <x:v>IT-DT-2026-129</x:v>
      </x:c>
    </x:row>
    <x:row r="17">
      <x:c r="A17" s="13" t="str">
        <x:v>IT-PR-2026-016</x:v>
      </x:c>
      <x:c r="B17" s="24" t="n">
        <x:v>46127</x:v>
      </x:c>
      <x:c r="C17" s="13" t="str">
        <x:v>Q2</x:v>
      </x:c>
      <x:c r="D17" s="13" t="str">
        <x:v>Phòng máy tính</x:v>
      </x:c>
      <x:c r="E17" s="13" t="str">
        <x:v>Thiết bị âm thanh</x:v>
      </x:c>
      <x:c r="F17" s="13" t="str">
        <x:v>FPT IS</x:v>
      </x:c>
      <x:c r="G17" s="13" t="str">
        <x:v>Thanh toán thiết bị âm thanh - Phòng máy tính</x:v>
      </x:c>
      <x:c r="H17" s="16" t="n">
        <x:v>8000000</x:v>
      </x:c>
      <x:c r="I17" s="16" t="n">
        <x:f>H17*10%</x:f>
        <x:v>800000</x:v>
      </x:c>
      <x:c r="J17" s="16" t="n">
        <x:f>H17+I17</x:f>
        <x:v>8800000</x:v>
      </x:c>
      <x:c r="K17" s="13" t="str">
        <x:v>Chờ duyệt</x:v>
      </x:c>
      <x:c r="L17" s="13" t="str">
        <x:v>Cao</x:v>
      </x:c>
      <x:c r="M17" s="13" t="str">
        <x:v>IT-DT-2026-140</x:v>
      </x:c>
    </x:row>
    <x:row r="18">
      <x:c r="A18" s="13" t="str">
        <x:v>IT-PR-2026-017</x:v>
      </x:c>
      <x:c r="B18" s="24" t="n">
        <x:v>46161</x:v>
      </x:c>
      <x:c r="C18" s="13" t="str">
        <x:v>Q2</x:v>
      </x:c>
      <x:c r="D18" s="13" t="str">
        <x:v>Hạ tầng mạng</x:v>
      </x:c>
      <x:c r="E18" s="13" t="str">
        <x:v>Thiết bị firewall</x:v>
      </x:c>
      <x:c r="F18" s="13" t="str">
        <x:v>CMC Cyber Security</x:v>
      </x:c>
      <x:c r="G18" s="13" t="str">
        <x:v>Thanh toán thiết bị firewall - Hạ tầng mạng</x:v>
      </x:c>
      <x:c r="H18" s="16" t="n">
        <x:v>12000000</x:v>
      </x:c>
      <x:c r="I18" s="16" t="n">
        <x:f>H18*10%</x:f>
        <x:v>1200000</x:v>
      </x:c>
      <x:c r="J18" s="16" t="n">
        <x:f>H18+I18</x:f>
        <x:v>13200000</x:v>
      </x:c>
      <x:c r="K18" s="13" t="str">
        <x:v>Chờ duyệt</x:v>
      </x:c>
      <x:c r="L18" s="13" t="str">
        <x:v>Cao</x:v>
      </x:c>
      <x:c r="M18" s="13" t="str">
        <x:v>IT-DT-2026-081</x:v>
      </x:c>
    </x:row>
    <x:row r="19">
      <x:c r="A19" s="13" t="str">
        <x:v>IT-PR-2026-018</x:v>
      </x:c>
      <x:c r="B19" s="24" t="n">
        <x:v>46193</x:v>
      </x:c>
      <x:c r="C19" s="13" t="str">
        <x:v>Q2</x:v>
      </x:c>
      <x:c r="D19" s="13" t="str">
        <x:v>Hệ thống máy chủ</x:v>
      </x:c>
      <x:c r="E19" s="13" t="str">
        <x:v>Backup server</x:v>
      </x:c>
      <x:c r="F19" s="13" t="str">
        <x:v>CMC Cyber Security</x:v>
      </x:c>
      <x:c r="G19" s="13" t="str">
        <x:v>Thanh toán backup server - Hệ thống máy chủ</x:v>
      </x:c>
      <x:c r="H19" s="16" t="n">
        <x:v>100000000</x:v>
      </x:c>
      <x:c r="I19" s="16" t="n">
        <x:f>H19*10%</x:f>
        <x:v>10000000</x:v>
      </x:c>
      <x:c r="J19" s="16" t="n">
        <x:f>H19+I19</x:f>
        <x:v>110000000</x:v>
      </x:c>
      <x:c r="K19" s="13" t="str">
        <x:v>Chờ duyệt</x:v>
      </x:c>
      <x:c r="L19" s="13" t="str">
        <x:v>Trung bình</x:v>
      </x:c>
      <x:c r="M19" s="13" t="str">
        <x:v>IT-DT-2026-044</x:v>
      </x:c>
    </x:row>
    <x:row r="20">
      <x:c r="A20" s="13" t="str">
        <x:v>IT-PR-2026-019</x:v>
      </x:c>
      <x:c r="B20" s="24" t="n">
        <x:v>46216</x:v>
      </x:c>
      <x:c r="C20" s="13" t="str">
        <x:v>Q3</x:v>
      </x:c>
      <x:c r="D20" s="13" t="str">
        <x:v>Bảo mật thông tin</x:v>
      </x:c>
      <x:c r="E20" s="13" t="str">
        <x:v>Đào tạo an toàn thông tin</x:v>
      </x:c>
      <x:c r="F20" s="13" t="str">
        <x:v>VNPT Technology</x:v>
      </x:c>
      <x:c r="G20" s="13" t="str">
        <x:v>Thanh toán đào tạo an toàn thông tin - Bảo mật thông tin</x:v>
      </x:c>
      <x:c r="H20" s="16" t="n">
        <x:v>12000000</x:v>
      </x:c>
      <x:c r="I20" s="16" t="n">
        <x:f>H20*10%</x:f>
        <x:v>1200000</x:v>
      </x:c>
      <x:c r="J20" s="16" t="n">
        <x:f>H20+I20</x:f>
        <x:v>13200000</x:v>
      </x:c>
      <x:c r="K20" s="13" t="str">
        <x:v>Đã duyệt</x:v>
      </x:c>
      <x:c r="L20" s="13" t="str">
        <x:v>Trung bình</x:v>
      </x:c>
      <x:c r="M20" s="13" t="str">
        <x:v>IT-DT-2026-117</x:v>
      </x:c>
    </x:row>
    <x:row r="21">
      <x:c r="A21" s="13" t="str">
        <x:v>IT-PR-2026-020</x:v>
      </x:c>
      <x:c r="B21" s="24" t="n">
        <x:v>46236</x:v>
      </x:c>
      <x:c r="C21" s="13" t="str">
        <x:v>Q3</x:v>
      </x:c>
      <x:c r="D21" s="13" t="str">
        <x:v>Phần mềm bản quyền</x:v>
      </x:c>
      <x:c r="E21" s="13" t="str">
        <x:v>Adobe license</x:v>
      </x:c>
      <x:c r="F21" s="13" t="str">
        <x:v>Cisco Partner</x:v>
      </x:c>
      <x:c r="G21" s="13" t="str">
        <x:v>Thanh toán adobe license - Phần mềm bản quyền</x:v>
      </x:c>
      <x:c r="H21" s="16" t="n">
        <x:v>100000000</x:v>
      </x:c>
      <x:c r="I21" s="16" t="n">
        <x:f>H21*10%</x:f>
        <x:v>10000000</x:v>
      </x:c>
      <x:c r="J21" s="16" t="n">
        <x:f>H21+I21</x:f>
        <x:v>110000000</x:v>
      </x:c>
      <x:c r="K21" s="13" t="str">
        <x:v>Đã duyệt</x:v>
      </x:c>
      <x:c r="L21" s="13" t="str">
        <x:v>Cao</x:v>
      </x:c>
      <x:c r="M21" s="13" t="str">
        <x:v>IT-DT-2026-011</x:v>
      </x:c>
    </x:row>
    <x:row r="22">
      <x:c r="A22" s="13" t="str">
        <x:v>IT-PR-2026-021</x:v>
      </x:c>
      <x:c r="B22" s="24" t="n">
        <x:v>46270</x:v>
      </x:c>
      <x:c r="C22" s="13" t="str">
        <x:v>Q3</x:v>
      </x:c>
      <x:c r="D22" s="13" t="str">
        <x:v>Hỗ trợ người dùng</x:v>
      </x:c>
      <x:c r="E22" s="13" t="str">
        <x:v>Đào tạo sử dụng hệ thống</x:v>
      </x:c>
      <x:c r="F22" s="13" t="str">
        <x:v>CMC Cyber Security</x:v>
      </x:c>
      <x:c r="G22" s="13" t="str">
        <x:v>Thanh toán đào tạo sử dụng hệ thống - Hỗ trợ người dùng</x:v>
      </x:c>
      <x:c r="H22" s="16" t="n">
        <x:v>12000000</x:v>
      </x:c>
      <x:c r="I22" s="16" t="n">
        <x:f>H22*10%</x:f>
        <x:v>1200000</x:v>
      </x:c>
      <x:c r="J22" s="16" t="n">
        <x:f>H22+I22</x:f>
        <x:v>13200000</x:v>
      </x:c>
      <x:c r="K22" s="13" t="str">
        <x:v>Chờ duyệt</x:v>
      </x:c>
      <x:c r="L22" s="13" t="str">
        <x:v>Cao</x:v>
      </x:c>
      <x:c r="M22" s="13" t="str">
        <x:v>IT-DT-2026-011</x:v>
      </x:c>
    </x:row>
    <x:row r="23">
      <x:c r="A23" s="13" t="str">
        <x:v>IT-PR-2026-022</x:v>
      </x:c>
      <x:c r="B23" s="24" t="n">
        <x:v>46296</x:v>
      </x:c>
      <x:c r="C23" s="13" t="str">
        <x:v>Q4</x:v>
      </x:c>
      <x:c r="D23" s="13" t="str">
        <x:v>Chuyển đổi số</x:v>
      </x:c>
      <x:c r="E23" s="13" t="str">
        <x:v>Tích hợp API</x:v>
      </x:c>
      <x:c r="F23" s="13" t="str">
        <x:v>Cisco Partner</x:v>
      </x:c>
      <x:c r="G23" s="13" t="str">
        <x:v>Thanh toán tích hợp api - Chuyển đổi số</x:v>
      </x:c>
      <x:c r="H23" s="16" t="n">
        <x:v>150000000</x:v>
      </x:c>
      <x:c r="I23" s="16" t="n">
        <x:f>H23*10%</x:f>
        <x:v>15000000</x:v>
      </x:c>
      <x:c r="J23" s="16" t="n">
        <x:f>H23+I23</x:f>
        <x:v>165000000</x:v>
      </x:c>
      <x:c r="K23" s="13" t="str">
        <x:v>Chờ duyệt</x:v>
      </x:c>
      <x:c r="L23" s="13" t="str">
        <x:v>Cao</x:v>
      </x:c>
      <x:c r="M23" s="13" t="str">
        <x:v>IT-DT-2026-077</x:v>
      </x:c>
    </x:row>
    <x:row r="24">
      <x:c r="A24" s="13" t="str">
        <x:v>IT-PR-2026-023</x:v>
      </x:c>
      <x:c r="B24" s="24" t="n">
        <x:v>46342</x:v>
      </x:c>
      <x:c r="C24" s="13" t="str">
        <x:v>Q4</x:v>
      </x:c>
      <x:c r="D24" s="13" t="str">
        <x:v>LMS/SIS</x:v>
      </x:c>
      <x:c r="E24" s="13" t="str">
        <x:v>Tối ưu cơ sở dữ liệu</x:v>
      </x:c>
      <x:c r="F24" s="13" t="str">
        <x:v>CMC Telecom</x:v>
      </x:c>
      <x:c r="G24" s="13" t="str">
        <x:v>Thanh toán tối ưu cơ sở dữ liệu - LMS/SIS</x:v>
      </x:c>
      <x:c r="H24" s="16" t="n">
        <x:v>5000000</x:v>
      </x:c>
      <x:c r="I24" s="16" t="n">
        <x:f>H24*10%</x:f>
        <x:v>500000</x:v>
      </x:c>
      <x:c r="J24" s="16" t="n">
        <x:f>H24+I24</x:f>
        <x:v>5500000</x:v>
      </x:c>
      <x:c r="K24" s="13" t="str">
        <x:v>Đã thanh toán</x:v>
      </x:c>
      <x:c r="L24" s="13" t="str">
        <x:v>Trung bình</x:v>
      </x:c>
      <x:c r="M24" s="13" t="str">
        <x:v>IT-DT-2026-059</x:v>
      </x:c>
    </x:row>
    <x:row r="25">
      <x:c r="A25" s="13" t="str">
        <x:v>IT-PR-2026-024</x:v>
      </x:c>
      <x:c r="B25" s="24" t="n">
        <x:v>46366</x:v>
      </x:c>
      <x:c r="C25" s="13" t="str">
        <x:v>Q4</x:v>
      </x:c>
      <x:c r="D25" s="13" t="str">
        <x:v>Phòng máy tính</x:v>
      </x:c>
      <x:c r="E25" s="13" t="str">
        <x:v>Thiết bị âm thanh</x:v>
      </x:c>
      <x:c r="F25" s="13" t="str">
        <x:v>CMC Telecom</x:v>
      </x:c>
      <x:c r="G25" s="13" t="str">
        <x:v>Thanh toán thiết bị âm thanh - Phòng máy tính</x:v>
      </x:c>
      <x:c r="H25" s="16" t="n">
        <x:v>150000000</x:v>
      </x:c>
      <x:c r="I25" s="16" t="n">
        <x:f>H25*10%</x:f>
        <x:v>15000000</x:v>
      </x:c>
      <x:c r="J25" s="16" t="n">
        <x:f>H25+I25</x:f>
        <x:v>165000000</x:v>
      </x:c>
      <x:c r="K25" s="13" t="str">
        <x:v>Đã thanh toán</x:v>
      </x:c>
      <x:c r="L25" s="13" t="str">
        <x:v>Cao</x:v>
      </x:c>
      <x:c r="M25" s="13" t="str">
        <x:v>IT-DT-2026-023</x:v>
      </x:c>
    </x:row>
    <x:row r="26">
      <x:c r="A26" s="13" t="str">
        <x:v>IT-PR-2026-025</x:v>
      </x:c>
      <x:c r="B26" s="24" t="n">
        <x:v>46030</x:v>
      </x:c>
      <x:c r="C26" s="13" t="str">
        <x:v>Q1</x:v>
      </x:c>
      <x:c r="D26" s="13" t="str">
        <x:v>Hạ tầng mạng</x:v>
      </x:c>
      <x:c r="E26" s="13" t="str">
        <x:v>Wi-Fi access point</x:v>
      </x:c>
      <x:c r="F26" s="13" t="str">
        <x:v>Microsoft Vietnam</x:v>
      </x:c>
      <x:c r="G26" s="13" t="str">
        <x:v>Thanh toán wi-fi access point - Hạ tầng mạng</x:v>
      </x:c>
      <x:c r="H26" s="16" t="n">
        <x:v>50000000</x:v>
      </x:c>
      <x:c r="I26" s="16" t="n">
        <x:f>H26*10%</x:f>
        <x:v>5000000</x:v>
      </x:c>
      <x:c r="J26" s="16" t="n">
        <x:f>H26+I26</x:f>
        <x:v>55000000</x:v>
      </x:c>
      <x:c r="K26" s="13" t="str">
        <x:v>Đã thanh toán</x:v>
      </x:c>
      <x:c r="L26" s="13" t="str">
        <x:v>Thấp</x:v>
      </x:c>
      <x:c r="M26" s="13" t="str">
        <x:v>IT-DT-2026-056</x:v>
      </x:c>
    </x:row>
    <x:row r="27">
      <x:c r="A27" s="13" t="str">
        <x:v>IT-PR-2026-026</x:v>
      </x:c>
      <x:c r="B27" s="24" t="n">
        <x:v>46055</x:v>
      </x:c>
      <x:c r="C27" s="13" t="str">
        <x:v>Q1</x:v>
      </x:c>
      <x:c r="D27" s="13" t="str">
        <x:v>Hệ thống máy chủ</x:v>
      </x:c>
      <x:c r="E27" s="13" t="str">
        <x:v>Lưu trữ NAS/SAN</x:v>
      </x:c>
      <x:c r="F27" s="13" t="str">
        <x:v>Cisco Partner</x:v>
      </x:c>
      <x:c r="G27" s="13" t="str">
        <x:v>Thanh toán lưu trữ nas/san - Hệ thống máy chủ</x:v>
      </x:c>
      <x:c r="H27" s="16" t="n">
        <x:v>5000000</x:v>
      </x:c>
      <x:c r="I27" s="16" t="n">
        <x:f>H27*10%</x:f>
        <x:v>500000</x:v>
      </x:c>
      <x:c r="J27" s="16" t="n">
        <x:f>H27+I27</x:f>
        <x:v>5500000</x:v>
      </x:c>
      <x:c r="K27" s="13" t="str">
        <x:v>Đã thanh toán</x:v>
      </x:c>
      <x:c r="L27" s="13" t="str">
        <x:v>Trung bình</x:v>
      </x:c>
      <x:c r="M27" s="13" t="str">
        <x:v>IT-DT-2026-046</x:v>
      </x:c>
    </x:row>
    <x:row r="28">
      <x:c r="A28" s="13" t="str">
        <x:v>IT-PR-2026-027</x:v>
      </x:c>
      <x:c r="B28" s="24" t="n">
        <x:v>46096</x:v>
      </x:c>
      <x:c r="C28" s="13" t="str">
        <x:v>Q1</x:v>
      </x:c>
      <x:c r="D28" s="13" t="str">
        <x:v>Bảo mật thông tin</x:v>
      </x:c>
      <x:c r="E28" s="13" t="str">
        <x:v>Giám sát SOC</x:v>
      </x:c>
      <x:c r="F28" s="13" t="str">
        <x:v>VNPT Technology</x:v>
      </x:c>
      <x:c r="G28" s="13" t="str">
        <x:v>Thanh toán giám sát soc - Bảo mật thông tin</x:v>
      </x:c>
      <x:c r="H28" s="16" t="n">
        <x:v>75000000</x:v>
      </x:c>
      <x:c r="I28" s="16" t="n">
        <x:f>H28*10%</x:f>
        <x:v>7500000</x:v>
      </x:c>
      <x:c r="J28" s="16" t="n">
        <x:f>H28+I28</x:f>
        <x:v>82500000</x:v>
      </x:c>
      <x:c r="K28" s="13" t="str">
        <x:v>Đã duyệt</x:v>
      </x:c>
      <x:c r="L28" s="13" t="str">
        <x:v>Cao</x:v>
      </x:c>
      <x:c r="M28" s="13" t="str">
        <x:v>IT-DT-2026-108</x:v>
      </x:c>
    </x:row>
    <x:row r="29">
      <x:c r="A29" s="13" t="str">
        <x:v>IT-PR-2026-028</x:v>
      </x:c>
      <x:c r="B29" s="24" t="n">
        <x:v>46124</x:v>
      </x:c>
      <x:c r="C29" s="13" t="str">
        <x:v>Q2</x:v>
      </x:c>
      <x:c r="D29" s="13" t="str">
        <x:v>Phần mềm bản quyền</x:v>
      </x:c>
      <x:c r="E29" s="13" t="str">
        <x:v>Zoom/Teams license</x:v>
      </x:c>
      <x:c r="F29" s="13" t="str">
        <x:v>Viettel Solutions</x:v>
      </x:c>
      <x:c r="G29" s="13" t="str">
        <x:v>Thanh toán zoom/teams license - Phần mềm bản quyền</x:v>
      </x:c>
      <x:c r="H29" s="16" t="n">
        <x:v>150000000</x:v>
      </x:c>
      <x:c r="I29" s="16" t="n">
        <x:f>H29*10%</x:f>
        <x:v>15000000</x:v>
      </x:c>
      <x:c r="J29" s="16" t="n">
        <x:f>H29+I29</x:f>
        <x:v>165000000</x:v>
      </x:c>
      <x:c r="K29" s="13" t="str">
        <x:v>Đã thanh toán</x:v>
      </x:c>
      <x:c r="L29" s="13" t="str">
        <x:v>Cao</x:v>
      </x:c>
      <x:c r="M29" s="13" t="str">
        <x:v>IT-DT-2026-103</x:v>
      </x:c>
    </x:row>
    <x:row r="30">
      <x:c r="A30" s="13" t="str">
        <x:v>IT-PR-2026-029</x:v>
      </x:c>
      <x:c r="B30" s="24" t="n">
        <x:v>46149</x:v>
      </x:c>
      <x:c r="C30" s="13" t="str">
        <x:v>Q2</x:v>
      </x:c>
      <x:c r="D30" s="13" t="str">
        <x:v>Hỗ trợ người dùng</x:v>
      </x:c>
      <x:c r="E30" s="13" t="str">
        <x:v>Đào tạo sử dụng hệ thống</x:v>
      </x:c>
      <x:c r="F30" s="13" t="str">
        <x:v>Microsoft Vietnam</x:v>
      </x:c>
      <x:c r="G30" s="13" t="str">
        <x:v>Thanh toán đào tạo sử dụng hệ thống - Hỗ trợ người dùng</x:v>
      </x:c>
      <x:c r="H30" s="16" t="n">
        <x:v>100000000</x:v>
      </x:c>
      <x:c r="I30" s="16" t="n">
        <x:f>H30*10%</x:f>
        <x:v>10000000</x:v>
      </x:c>
      <x:c r="J30" s="16" t="n">
        <x:f>H30+I30</x:f>
        <x:v>110000000</x:v>
      </x:c>
      <x:c r="K30" s="13" t="str">
        <x:v>Đã duyệt</x:v>
      </x:c>
      <x:c r="L30" s="13" t="str">
        <x:v>Thấp</x:v>
      </x:c>
      <x:c r="M30" s="13" t="str">
        <x:v>IT-DT-2026-047</x:v>
      </x:c>
    </x:row>
    <x:row r="31">
      <x:c r="A31" s="13" t="str">
        <x:v>IT-PR-2026-030</x:v>
      </x:c>
      <x:c r="B31" s="24" t="n">
        <x:v>46189</x:v>
      </x:c>
      <x:c r="C31" s="13" t="str">
        <x:v>Q2</x:v>
      </x:c>
      <x:c r="D31" s="13" t="str">
        <x:v>Chuyển đổi số</x:v>
      </x:c>
      <x:c r="E31" s="13" t="str">
        <x:v>Tích hợp API</x:v>
      </x:c>
      <x:c r="F31" s="13" t="str">
        <x:v>MISA</x:v>
      </x:c>
      <x:c r="G31" s="13" t="str">
        <x:v>Thanh toán tích hợp api - Chuyển đổi số</x:v>
      </x:c>
      <x:c r="H31" s="16" t="n">
        <x:v>75000000</x:v>
      </x:c>
      <x:c r="I31" s="16" t="n">
        <x:f>H31*10%</x:f>
        <x:v>7500000</x:v>
      </x:c>
      <x:c r="J31" s="16" t="n">
        <x:f>H31+I31</x:f>
        <x:v>82500000</x:v>
      </x:c>
      <x:c r="K31" s="13" t="str">
        <x:v>Đã duyệt</x:v>
      </x:c>
      <x:c r="L31" s="13" t="str">
        <x:v>Cao</x:v>
      </x:c>
      <x:c r="M31" s="13" t="str">
        <x:v>IT-DT-2026-071</x:v>
      </x:c>
    </x:row>
    <x:row r="32">
      <x:c r="A32" s="13" t="str">
        <x:v>IT-PR-2026-031</x:v>
      </x:c>
      <x:c r="B32" s="24" t="n">
        <x:v>46215</x:v>
      </x:c>
      <x:c r="C32" s="13" t="str">
        <x:v>Q3</x:v>
      </x:c>
      <x:c r="D32" s="13" t="str">
        <x:v>LMS/SIS</x:v>
      </x:c>
      <x:c r="E32" s="13" t="str">
        <x:v>Tích hợp SSO</x:v>
      </x:c>
      <x:c r="F32" s="13" t="str">
        <x:v>CMC Cyber Security</x:v>
      </x:c>
      <x:c r="G32" s="13" t="str">
        <x:v>Thanh toán tích hợp sso - LMS/SIS</x:v>
      </x:c>
      <x:c r="H32" s="16" t="n">
        <x:v>5000000</x:v>
      </x:c>
      <x:c r="I32" s="16" t="n">
        <x:f>H32*10%</x:f>
        <x:v>500000</x:v>
      </x:c>
      <x:c r="J32" s="16" t="n">
        <x:f>H32+I32</x:f>
        <x:v>5500000</x:v>
      </x:c>
      <x:c r="K32" s="13" t="str">
        <x:v>Đã duyệt</x:v>
      </x:c>
      <x:c r="L32" s="13" t="str">
        <x:v>Trung bình</x:v>
      </x:c>
      <x:c r="M32" s="13" t="str">
        <x:v>IT-DT-2026-132</x:v>
      </x:c>
    </x:row>
    <x:row r="33">
      <x:c r="A33" s="13" t="str">
        <x:v>IT-PR-2026-032</x:v>
      </x:c>
      <x:c r="B33" s="24" t="n">
        <x:v>46247</x:v>
      </x:c>
      <x:c r="C33" s="13" t="str">
        <x:v>Q3</x:v>
      </x:c>
      <x:c r="D33" s="13" t="str">
        <x:v>Phòng máy tính</x:v>
      </x:c>
      <x:c r="E33" s="13" t="str">
        <x:v>Máy chiếu/màn hình</x:v>
      </x:c>
      <x:c r="F33" s="13" t="str">
        <x:v>Microsoft Vietnam</x:v>
      </x:c>
      <x:c r="G33" s="13" t="str">
        <x:v>Thanh toán máy chiếu/màn hình - Phòng máy tính</x:v>
      </x:c>
      <x:c r="H33" s="16" t="n">
        <x:v>8000000</x:v>
      </x:c>
      <x:c r="I33" s="16" t="n">
        <x:f>H33*10%</x:f>
        <x:v>800000</x:v>
      </x:c>
      <x:c r="J33" s="16" t="n">
        <x:f>H33+I33</x:f>
        <x:v>8800000</x:v>
      </x:c>
      <x:c r="K33" s="13" t="str">
        <x:v>Đã duyệt</x:v>
      </x:c>
      <x:c r="L33" s="13" t="str">
        <x:v>Cao</x:v>
      </x:c>
      <x:c r="M33" s="13" t="str">
        <x:v>IT-DT-2026-093</x:v>
      </x:c>
    </x:row>
    <x:row r="34">
      <x:c r="A34" s="13" t="str">
        <x:v>IT-PR-2026-033</x:v>
      </x:c>
      <x:c r="B34" s="24" t="n">
        <x:v>46270</x:v>
      </x:c>
      <x:c r="C34" s="13" t="str">
        <x:v>Q3</x:v>
      </x:c>
      <x:c r="D34" s="13" t="str">
        <x:v>Hạ tầng mạng</x:v>
      </x:c>
      <x:c r="E34" s="13" t="str">
        <x:v>Thiết bị firewall</x:v>
      </x:c>
      <x:c r="F34" s="13" t="str">
        <x:v>Sao Bắc Đẩu</x:v>
      </x:c>
      <x:c r="G34" s="13" t="str">
        <x:v>Thanh toán thiết bị firewall - Hạ tầng mạng</x:v>
      </x:c>
      <x:c r="H34" s="16" t="n">
        <x:v>8000000</x:v>
      </x:c>
      <x:c r="I34" s="16" t="n">
        <x:f>H34*10%</x:f>
        <x:v>800000</x:v>
      </x:c>
      <x:c r="J34" s="16" t="n">
        <x:f>H34+I34</x:f>
        <x:v>8800000</x:v>
      </x:c>
      <x:c r="K34" s="13" t="str">
        <x:v>Nháp</x:v>
      </x:c>
      <x:c r="L34" s="13" t="str">
        <x:v>Cao</x:v>
      </x:c>
      <x:c r="M34" s="13" t="str">
        <x:v>IT-DT-2026-099</x:v>
      </x:c>
    </x:row>
    <x:row r="35">
      <x:c r="A35" s="13" t="str">
        <x:v>IT-PR-2026-034</x:v>
      </x:c>
      <x:c r="B35" s="24" t="n">
        <x:v>46310</x:v>
      </x:c>
      <x:c r="C35" s="13" t="str">
        <x:v>Q4</x:v>
      </x:c>
      <x:c r="D35" s="13" t="str">
        <x:v>Hệ thống máy chủ</x:v>
      </x:c>
      <x:c r="E35" s="13" t="str">
        <x:v>Máy chủ ứng dụng</x:v>
      </x:c>
      <x:c r="F35" s="13" t="str">
        <x:v>Cisco Partner</x:v>
      </x:c>
      <x:c r="G35" s="13" t="str">
        <x:v>Thanh toán máy chủ ứng dụng - Hệ thống máy chủ</x:v>
      </x:c>
      <x:c r="H35" s="16" t="n">
        <x:v>50000000</x:v>
      </x:c>
      <x:c r="I35" s="16" t="n">
        <x:f>H35*10%</x:f>
        <x:v>5000000</x:v>
      </x:c>
      <x:c r="J35" s="16" t="n">
        <x:f>H35+I35</x:f>
        <x:v>55000000</x:v>
      </x:c>
      <x:c r="K35" s="13" t="str">
        <x:v>Đã duyệt</x:v>
      </x:c>
      <x:c r="L35" s="13" t="str">
        <x:v>Trung bình</x:v>
      </x:c>
      <x:c r="M35" s="13" t="str">
        <x:v>IT-DT-2026-015</x:v>
      </x:c>
    </x:row>
    <x:row r="36">
      <x:c r="A36" s="13" t="str">
        <x:v>IT-PR-2026-035</x:v>
      </x:c>
      <x:c r="B36" s="24" t="n">
        <x:v>46336</x:v>
      </x:c>
      <x:c r="C36" s="13" t="str">
        <x:v>Q4</x:v>
      </x:c>
      <x:c r="D36" s="13" t="str">
        <x:v>Bảo mật thông tin</x:v>
      </x:c>
      <x:c r="E36" s="13" t="str">
        <x:v>Giám sát SOC</x:v>
      </x:c>
      <x:c r="F36" s="13" t="str">
        <x:v>CMC Cyber Security</x:v>
      </x:c>
      <x:c r="G36" s="13" t="str">
        <x:v>Thanh toán giám sát soc - Bảo mật thông tin</x:v>
      </x:c>
      <x:c r="H36" s="16" t="n">
        <x:v>20000000</x:v>
      </x:c>
      <x:c r="I36" s="16" t="n">
        <x:f>H36*10%</x:f>
        <x:v>2000000</x:v>
      </x:c>
      <x:c r="J36" s="16" t="n">
        <x:f>H36+I36</x:f>
        <x:v>22000000</x:v>
      </x:c>
      <x:c r="K36" s="13" t="str">
        <x:v>Đã duyệt</x:v>
      </x:c>
      <x:c r="L36" s="13" t="str">
        <x:v>Cao</x:v>
      </x:c>
      <x:c r="M36" s="13" t="str">
        <x:v>IT-DT-2026-132</x:v>
      </x:c>
    </x:row>
    <x:row r="37">
      <x:c r="A37" s="13" t="str">
        <x:v>IT-PR-2026-036</x:v>
      </x:c>
      <x:c r="B37" s="24" t="n">
        <x:v>46376</x:v>
      </x:c>
      <x:c r="C37" s="13" t="str">
        <x:v>Q4</x:v>
      </x:c>
      <x:c r="D37" s="13" t="str">
        <x:v>Phần mềm bản quyền</x:v>
      </x:c>
      <x:c r="E37" s="13" t="str">
        <x:v>Zoom/Teams license</x:v>
      </x:c>
      <x:c r="F37" s="13" t="str">
        <x:v>FPT IS</x:v>
      </x:c>
      <x:c r="G37" s="13" t="str">
        <x:v>Thanh toán zoom/teams license - Phần mềm bản quyền</x:v>
      </x:c>
      <x:c r="H37" s="16" t="n">
        <x:v>20000000</x:v>
      </x:c>
      <x:c r="I37" s="16" t="n">
        <x:f>H37*10%</x:f>
        <x:v>2000000</x:v>
      </x:c>
      <x:c r="J37" s="16" t="n">
        <x:f>H37+I37</x:f>
        <x:v>22000000</x:v>
      </x:c>
      <x:c r="K37" s="13" t="str">
        <x:v>Đã duyệt</x:v>
      </x:c>
      <x:c r="L37" s="13" t="str">
        <x:v>Cao</x:v>
      </x:c>
      <x:c r="M37" s="13" t="str">
        <x:v>IT-DT-2026-140</x:v>
      </x:c>
    </x:row>
    <x:row r="38">
      <x:c r="A38" s="13" t="str">
        <x:v>IT-PR-2026-037</x:v>
      </x:c>
      <x:c r="B38" s="24" t="n">
        <x:v>46045</x:v>
      </x:c>
      <x:c r="C38" s="13" t="str">
        <x:v>Q1</x:v>
      </x:c>
      <x:c r="D38" s="13" t="str">
        <x:v>Hỗ trợ người dùng</x:v>
      </x:c>
      <x:c r="E38" s="13" t="str">
        <x:v>Thiết bị ngoại vi</x:v>
      </x:c>
      <x:c r="F38" s="13" t="str">
        <x:v>MISA</x:v>
      </x:c>
      <x:c r="G38" s="13" t="str">
        <x:v>Thanh toán thiết bị ngoại vi - Hỗ trợ người dùng</x:v>
      </x:c>
      <x:c r="H38" s="16" t="n">
        <x:v>150000000</x:v>
      </x:c>
      <x:c r="I38" s="16" t="n">
        <x:f>H38*10%</x:f>
        <x:v>15000000</x:v>
      </x:c>
      <x:c r="J38" s="16" t="n">
        <x:f>H38+I38</x:f>
        <x:v>165000000</x:v>
      </x:c>
      <x:c r="K38" s="13" t="str">
        <x:v>Đã duyệt</x:v>
      </x:c>
      <x:c r="L38" s="13" t="str">
        <x:v>Trung bình</x:v>
      </x:c>
      <x:c r="M38" s="13" t="str">
        <x:v>IT-DT-2026-097</x:v>
      </x:c>
    </x:row>
    <x:row r="39">
      <x:c r="A39" s="13" t="str">
        <x:v>IT-PR-2026-038</x:v>
      </x:c>
      <x:c r="B39" s="24" t="n">
        <x:v>46058</x:v>
      </x:c>
      <x:c r="C39" s="13" t="str">
        <x:v>Q1</x:v>
      </x:c>
      <x:c r="D39" s="13" t="str">
        <x:v>Chuyển đổi số</x:v>
      </x:c>
      <x:c r="E39" s="13" t="str">
        <x:v>Tích hợp API</x:v>
      </x:c>
      <x:c r="F39" s="13" t="str">
        <x:v>Microsoft Vietnam</x:v>
      </x:c>
      <x:c r="G39" s="13" t="str">
        <x:v>Thanh toán tích hợp api - Chuyển đổi số</x:v>
      </x:c>
      <x:c r="H39" s="16" t="n">
        <x:v>150000000</x:v>
      </x:c>
      <x:c r="I39" s="16" t="n">
        <x:f>H39*10%</x:f>
        <x:v>15000000</x:v>
      </x:c>
      <x:c r="J39" s="16" t="n">
        <x:f>H39+I39</x:f>
        <x:v>165000000</x:v>
      </x:c>
      <x:c r="K39" s="13" t="str">
        <x:v>Đã thanh toán</x:v>
      </x:c>
      <x:c r="L39" s="13" t="str">
        <x:v>Cao</x:v>
      </x:c>
      <x:c r="M39" s="13" t="str">
        <x:v>IT-DT-2026-099</x:v>
      </x:c>
    </x:row>
    <x:row r="40">
      <x:c r="A40" s="13" t="str">
        <x:v>IT-PR-2026-039</x:v>
      </x:c>
      <x:c r="B40" s="24" t="n">
        <x:v>46098</x:v>
      </x:c>
      <x:c r="C40" s="13" t="str">
        <x:v>Q1</x:v>
      </x:c>
      <x:c r="D40" s="13" t="str">
        <x:v>LMS/SIS</x:v>
      </x:c>
      <x:c r="E40" s="13" t="str">
        <x:v>Tích hợp SSO</x:v>
      </x:c>
      <x:c r="F40" s="13" t="str">
        <x:v>VNPT Technology</x:v>
      </x:c>
      <x:c r="G40" s="13" t="str">
        <x:v>Thanh toán tích hợp sso - LMS/SIS</x:v>
      </x:c>
      <x:c r="H40" s="16" t="n">
        <x:v>8000000</x:v>
      </x:c>
      <x:c r="I40" s="16" t="n">
        <x:f>H40*10%</x:f>
        <x:v>800000</x:v>
      </x:c>
      <x:c r="J40" s="16" t="n">
        <x:f>H40+I40</x:f>
        <x:v>8800000</x:v>
      </x:c>
      <x:c r="K40" s="13" t="str">
        <x:v>Đã duyệt</x:v>
      </x:c>
      <x:c r="L40" s="13" t="str">
        <x:v>Cao</x:v>
      </x:c>
      <x:c r="M40" s="13" t="str">
        <x:v>IT-DT-2026-056</x:v>
      </x:c>
    </x:row>
    <x:row r="41">
      <x:c r="A41" s="13" t="str">
        <x:v>IT-PR-2026-040</x:v>
      </x:c>
      <x:c r="B41" s="24" t="n">
        <x:v>46117</x:v>
      </x:c>
      <x:c r="C41" s="13" t="str">
        <x:v>Q2</x:v>
      </x:c>
      <x:c r="D41" s="13" t="str">
        <x:v>Phòng máy tính</x:v>
      </x:c>
      <x:c r="E41" s="13" t="str">
        <x:v>Nâng cấp PC lab</x:v>
      </x:c>
      <x:c r="F41" s="13" t="str">
        <x:v>FPT IS</x:v>
      </x:c>
      <x:c r="G41" s="13" t="str">
        <x:v>Thanh toán nâng cấp pc lab - Phòng máy tính</x:v>
      </x:c>
      <x:c r="H41" s="16" t="n">
        <x:v>100000000</x:v>
      </x:c>
      <x:c r="I41" s="16" t="n">
        <x:f>H41*10%</x:f>
        <x:v>10000000</x:v>
      </x:c>
      <x:c r="J41" s="16" t="n">
        <x:f>H41+I41</x:f>
        <x:v>110000000</x:v>
      </x:c>
      <x:c r="K41" s="13" t="str">
        <x:v>Đã thanh toán</x:v>
      </x:c>
      <x:c r="L41" s="13" t="str">
        <x:v>Trung bình</x:v>
      </x:c>
      <x:c r="M41" s="13" t="str">
        <x:v>IT-DT-2026-077</x:v>
      </x:c>
    </x:row>
    <x:row r="42">
      <x:c r="A42" s="13" t="str">
        <x:v>IT-PR-2026-041</x:v>
      </x:c>
      <x:c r="B42" s="24" t="n">
        <x:v>46164</x:v>
      </x:c>
      <x:c r="C42" s="13" t="str">
        <x:v>Q2</x:v>
      </x:c>
      <x:c r="D42" s="13" t="str">
        <x:v>Hạ tầng mạng</x:v>
      </x:c>
      <x:c r="E42" s="13" t="str">
        <x:v>Nâng cấp switch core</x:v>
      </x:c>
      <x:c r="F42" s="13" t="str">
        <x:v>VNPT Technology</x:v>
      </x:c>
      <x:c r="G42" s="13" t="str">
        <x:v>Thanh toán nâng cấp switch core - Hạ tầng mạng</x:v>
      </x:c>
      <x:c r="H42" s="16" t="n">
        <x:v>150000000</x:v>
      </x:c>
      <x:c r="I42" s="16" t="n">
        <x:f>H42*10%</x:f>
        <x:v>15000000</x:v>
      </x:c>
      <x:c r="J42" s="16" t="n">
        <x:f>H42+I42</x:f>
        <x:v>165000000</x:v>
      </x:c>
      <x:c r="K42" s="13" t="str">
        <x:v>Đã thanh toán</x:v>
      </x:c>
      <x:c r="L42" s="13" t="str">
        <x:v>Trung bình</x:v>
      </x:c>
      <x:c r="M42" s="13" t="str">
        <x:v>IT-DT-2026-096</x:v>
      </x:c>
    </x:row>
    <x:row r="43">
      <x:c r="A43" s="13" t="str">
        <x:v>IT-PR-2026-042</x:v>
      </x:c>
      <x:c r="B43" s="24" t="n">
        <x:v>46181</x:v>
      </x:c>
      <x:c r="C43" s="13" t="str">
        <x:v>Q2</x:v>
      </x:c>
      <x:c r="D43" s="13" t="str">
        <x:v>Hệ thống máy chủ</x:v>
      </x:c>
      <x:c r="E43" s="13" t="str">
        <x:v>Backup server</x:v>
      </x:c>
      <x:c r="F43" s="13" t="str">
        <x:v>CMC Telecom</x:v>
      </x:c>
      <x:c r="G43" s="13" t="str">
        <x:v>Thanh toán backup server - Hệ thống máy chủ</x:v>
      </x:c>
      <x:c r="H43" s="16" t="n">
        <x:v>75000000</x:v>
      </x:c>
      <x:c r="I43" s="16" t="n">
        <x:f>H43*10%</x:f>
        <x:v>7500000</x:v>
      </x:c>
      <x:c r="J43" s="16" t="n">
        <x:f>H43+I43</x:f>
        <x:v>82500000</x:v>
      </x:c>
      <x:c r="K43" s="13" t="str">
        <x:v>Chờ duyệt</x:v>
      </x:c>
      <x:c r="L43" s="13" t="str">
        <x:v>Cao</x:v>
      </x:c>
      <x:c r="M43" s="13" t="str">
        <x:v>IT-DT-2026-126</x:v>
      </x:c>
    </x:row>
    <x:row r="44">
      <x:c r="A44" s="13" t="str">
        <x:v>IT-PR-2026-043</x:v>
      </x:c>
      <x:c r="B44" s="24" t="n">
        <x:v>46216</x:v>
      </x:c>
      <x:c r="C44" s="13" t="str">
        <x:v>Q3</x:v>
      </x:c>
      <x:c r="D44" s="13" t="str">
        <x:v>Bảo mật thông tin</x:v>
      </x:c>
      <x:c r="E44" s="13" t="str">
        <x:v>Đào tạo an toàn thông tin</x:v>
      </x:c>
      <x:c r="F44" s="13" t="str">
        <x:v>Microsoft Vietnam</x:v>
      </x:c>
      <x:c r="G44" s="13" t="str">
        <x:v>Thanh toán đào tạo an toàn thông tin - Bảo mật thông tin</x:v>
      </x:c>
      <x:c r="H44" s="16" t="n">
        <x:v>100000000</x:v>
      </x:c>
      <x:c r="I44" s="16" t="n">
        <x:f>H44*10%</x:f>
        <x:v>10000000</x:v>
      </x:c>
      <x:c r="J44" s="16" t="n">
        <x:f>H44+I44</x:f>
        <x:v>110000000</x:v>
      </x:c>
      <x:c r="K44" s="13" t="str">
        <x:v>Đã thanh toán</x:v>
      </x:c>
      <x:c r="L44" s="13" t="str">
        <x:v>Cao</x:v>
      </x:c>
      <x:c r="M44" s="13" t="str">
        <x:v>IT-DT-2026-104</x:v>
      </x:c>
    </x:row>
    <x:row r="45">
      <x:c r="A45" s="13" t="str">
        <x:v>IT-PR-2026-044</x:v>
      </x:c>
      <x:c r="B45" s="24" t="n">
        <x:v>46241</x:v>
      </x:c>
      <x:c r="C45" s="13" t="str">
        <x:v>Q3</x:v>
      </x:c>
      <x:c r="D45" s="13" t="str">
        <x:v>Phần mềm bản quyền</x:v>
      </x:c>
      <x:c r="E45" s="13" t="str">
        <x:v>Phần mềm thống kê/dữ liệu</x:v>
      </x:c>
      <x:c r="F45" s="13" t="str">
        <x:v>Viettel Solutions</x:v>
      </x:c>
      <x:c r="G45" s="13" t="str">
        <x:v>Thanh toán phần mềm thống kê/dữ liệu - Phần mềm bản quyền</x:v>
      </x:c>
      <x:c r="H45" s="16" t="n">
        <x:v>50000000</x:v>
      </x:c>
      <x:c r="I45" s="16" t="n">
        <x:f>H45*10%</x:f>
        <x:v>5000000</x:v>
      </x:c>
      <x:c r="J45" s="16" t="n">
        <x:f>H45+I45</x:f>
        <x:v>55000000</x:v>
      </x:c>
      <x:c r="K45" s="13" t="str">
        <x:v>Đã thanh toán</x:v>
      </x:c>
      <x:c r="L45" s="13" t="str">
        <x:v>Cao</x:v>
      </x:c>
      <x:c r="M45" s="13" t="str">
        <x:v>IT-DT-2026-024</x:v>
      </x:c>
    </x:row>
    <x:row r="46">
      <x:c r="A46" s="13" t="str">
        <x:v>IT-PR-2026-045</x:v>
      </x:c>
      <x:c r="B46" s="24" t="n">
        <x:v>46289</x:v>
      </x:c>
      <x:c r="C46" s="13" t="str">
        <x:v>Q3</x:v>
      </x:c>
      <x:c r="D46" s="13" t="str">
        <x:v>Hỗ trợ người dùng</x:v>
      </x:c>
      <x:c r="E46" s="13" t="str">
        <x:v>Helpdesk system</x:v>
      </x:c>
      <x:c r="F46" s="13" t="str">
        <x:v>Cisco Partner</x:v>
      </x:c>
      <x:c r="G46" s="13" t="str">
        <x:v>Thanh toán helpdesk system - Hỗ trợ người dùng</x:v>
      </x:c>
      <x:c r="H46" s="16" t="n">
        <x:v>12000000</x:v>
      </x:c>
      <x:c r="I46" s="16" t="n">
        <x:f>H46*10%</x:f>
        <x:v>1200000</x:v>
      </x:c>
      <x:c r="J46" s="16" t="n">
        <x:f>H46+I46</x:f>
        <x:v>13200000</x:v>
      </x:c>
      <x:c r="K46" s="13" t="str">
        <x:v>Đã duyệt</x:v>
      </x:c>
      <x:c r="L46" s="13" t="str">
        <x:v>Cao</x:v>
      </x:c>
      <x:c r="M46" s="13" t="str">
        <x:v>IT-DT-2026-142</x:v>
      </x:c>
    </x:row>
    <x:row r="47">
      <x:c r="A47" s="13" t="str">
        <x:v>IT-PR-2026-046</x:v>
      </x:c>
      <x:c r="B47" s="24" t="n">
        <x:v>46305</x:v>
      </x:c>
      <x:c r="C47" s="13" t="str">
        <x:v>Q4</x:v>
      </x:c>
      <x:c r="D47" s="13" t="str">
        <x:v>Chuyển đổi số</x:v>
      </x:c>
      <x:c r="E47" s="13" t="str">
        <x:v>Phát triển chatbot nội bộ</x:v>
      </x:c>
      <x:c r="F47" s="13" t="str">
        <x:v>Cisco Partner</x:v>
      </x:c>
      <x:c r="G47" s="13" t="str">
        <x:v>Thanh toán phát triển chatbot nội bộ - Chuyển đổi số</x:v>
      </x:c>
      <x:c r="H47" s="16" t="n">
        <x:v>8000000</x:v>
      </x:c>
      <x:c r="I47" s="16" t="n">
        <x:f>H47*10%</x:f>
        <x:v>800000</x:v>
      </x:c>
      <x:c r="J47" s="16" t="n">
        <x:f>H47+I47</x:f>
        <x:v>8800000</x:v>
      </x:c>
      <x:c r="K47" s="13" t="str">
        <x:v>Đã duyệt</x:v>
      </x:c>
      <x:c r="L47" s="13" t="str">
        <x:v>Cao</x:v>
      </x:c>
      <x:c r="M47" s="13" t="str">
        <x:v>IT-DT-2026-104</x:v>
      </x:c>
    </x:row>
    <x:row r="48">
      <x:c r="A48" s="13" t="str">
        <x:v>IT-PR-2026-047</x:v>
      </x:c>
      <x:c r="B48" s="24" t="n">
        <x:v>46335</x:v>
      </x:c>
      <x:c r="C48" s="13" t="str">
        <x:v>Q4</x:v>
      </x:c>
      <x:c r="D48" s="13" t="str">
        <x:v>LMS/SIS</x:v>
      </x:c>
      <x:c r="E48" s="13" t="str">
        <x:v>Bảo trì LMS</x:v>
      </x:c>
      <x:c r="F48" s="13" t="str">
        <x:v>Cisco Partner</x:v>
      </x:c>
      <x:c r="G48" s="13" t="str">
        <x:v>Thanh toán bảo trì lms - LMS/SIS</x:v>
      </x:c>
      <x:c r="H48" s="16" t="n">
        <x:v>100000000</x:v>
      </x:c>
      <x:c r="I48" s="16" t="n">
        <x:f>H48*10%</x:f>
        <x:v>10000000</x:v>
      </x:c>
      <x:c r="J48" s="16" t="n">
        <x:f>H48+I48</x:f>
        <x:v>110000000</x:v>
      </x:c>
      <x:c r="K48" s="13" t="str">
        <x:v>Đã thanh toán</x:v>
      </x:c>
      <x:c r="L48" s="13" t="str">
        <x:v>Cao</x:v>
      </x:c>
      <x:c r="M48" s="13" t="str">
        <x:v>IT-DT-2026-084</x:v>
      </x:c>
    </x:row>
    <x:row r="49">
      <x:c r="A49" s="13" t="str">
        <x:v>IT-PR-2026-048</x:v>
      </x:c>
      <x:c r="B49" s="24" t="n">
        <x:v>46365</x:v>
      </x:c>
      <x:c r="C49" s="13" t="str">
        <x:v>Q4</x:v>
      </x:c>
      <x:c r="D49" s="13" t="str">
        <x:v>Phòng máy tính</x:v>
      </x:c>
      <x:c r="E49" s="13" t="str">
        <x:v>Nâng cấp PC lab</x:v>
      </x:c>
      <x:c r="F49" s="13" t="str">
        <x:v>FPT IS</x:v>
      </x:c>
      <x:c r="G49" s="13" t="str">
        <x:v>Thanh toán nâng cấp pc lab - Phòng máy tính</x:v>
      </x:c>
      <x:c r="H49" s="16" t="n">
        <x:v>5000000</x:v>
      </x:c>
      <x:c r="I49" s="16" t="n">
        <x:f>H49*10%</x:f>
        <x:v>500000</x:v>
      </x:c>
      <x:c r="J49" s="16" t="n">
        <x:f>H49+I49</x:f>
        <x:v>5500000</x:v>
      </x:c>
      <x:c r="K49" s="13" t="str">
        <x:v>Đã duyệt</x:v>
      </x:c>
      <x:c r="L49" s="13" t="str">
        <x:v>Trung bình</x:v>
      </x:c>
      <x:c r="M49" s="13" t="str">
        <x:v>IT-DT-2026-145</x:v>
      </x:c>
    </x:row>
    <x:row r="50">
      <x:c r="A50" s="13" t="str">
        <x:v>IT-PR-2026-049</x:v>
      </x:c>
      <x:c r="B50" s="24" t="n">
        <x:v>46032</x:v>
      </x:c>
      <x:c r="C50" s="13" t="str">
        <x:v>Q1</x:v>
      </x:c>
      <x:c r="D50" s="13" t="str">
        <x:v>Hạ tầng mạng</x:v>
      </x:c>
      <x:c r="E50" s="13" t="str">
        <x:v>Wi-Fi access point</x:v>
      </x:c>
      <x:c r="F50" s="13" t="str">
        <x:v>Cloud Ace</x:v>
      </x:c>
      <x:c r="G50" s="13" t="str">
        <x:v>Thanh toán wi-fi access point - Hạ tầng mạng</x:v>
      </x:c>
      <x:c r="H50" s="16" t="n">
        <x:v>12000000</x:v>
      </x:c>
      <x:c r="I50" s="16" t="n">
        <x:f>H50*10%</x:f>
        <x:v>1200000</x:v>
      </x:c>
      <x:c r="J50" s="16" t="n">
        <x:f>H50+I50</x:f>
        <x:v>13200000</x:v>
      </x:c>
      <x:c r="K50" s="13" t="str">
        <x:v>Đã thanh toán</x:v>
      </x:c>
      <x:c r="L50" s="13" t="str">
        <x:v>Cao</x:v>
      </x:c>
      <x:c r="M50" s="13" t="str">
        <x:v>IT-DT-2026-088</x:v>
      </x:c>
    </x:row>
    <x:row r="51">
      <x:c r="A51" s="13" t="str">
        <x:v>IT-PR-2026-050</x:v>
      </x:c>
      <x:c r="B51" s="24" t="n">
        <x:v>46065</x:v>
      </x:c>
      <x:c r="C51" s="13" t="str">
        <x:v>Q1</x:v>
      </x:c>
      <x:c r="D51" s="13" t="str">
        <x:v>Hệ thống máy chủ</x:v>
      </x:c>
      <x:c r="E51" s="13" t="str">
        <x:v>Máy chủ ứng dụng</x:v>
      </x:c>
      <x:c r="F51" s="13" t="str">
        <x:v>CMC Cyber Security</x:v>
      </x:c>
      <x:c r="G51" s="13" t="str">
        <x:v>Thanh toán máy chủ ứng dụng - Hệ thống máy chủ</x:v>
      </x:c>
      <x:c r="H51" s="16" t="n">
        <x:v>20000000</x:v>
      </x:c>
      <x:c r="I51" s="16" t="n">
        <x:f>H51*10%</x:f>
        <x:v>2000000</x:v>
      </x:c>
      <x:c r="J51" s="16" t="n">
        <x:f>H51+I51</x:f>
        <x:v>22000000</x:v>
      </x:c>
      <x:c r="K51" s="13" t="str">
        <x:v>Đã thanh toán</x:v>
      </x:c>
      <x:c r="L51" s="13" t="str">
        <x:v>Trung bình</x:v>
      </x:c>
      <x:c r="M51" s="13" t="str">
        <x:v>IT-DT-2026-139</x:v>
      </x:c>
    </x:row>
    <x:row r="52">
      <x:c r="A52" s="13" t="str">
        <x:v>IT-PR-2026-051</x:v>
      </x:c>
      <x:c r="B52" s="24" t="n">
        <x:v>46095</x:v>
      </x:c>
      <x:c r="C52" s="13" t="str">
        <x:v>Q1</x:v>
      </x:c>
      <x:c r="D52" s="13" t="str">
        <x:v>Bảo mật thông tin</x:v>
      </x:c>
      <x:c r="E52" s="13" t="str">
        <x:v>Giám sát SOC</x:v>
      </x:c>
      <x:c r="F52" s="13" t="str">
        <x:v>CMC Telecom</x:v>
      </x:c>
      <x:c r="G52" s="13" t="str">
        <x:v>Thanh toán giám sát soc - Bảo mật thông tin</x:v>
      </x:c>
      <x:c r="H52" s="16" t="n">
        <x:v>35000000</x:v>
      </x:c>
      <x:c r="I52" s="16" t="n">
        <x:f>H52*10%</x:f>
        <x:v>3500000</x:v>
      </x:c>
      <x:c r="J52" s="16" t="n">
        <x:f>H52+I52</x:f>
        <x:v>38500000</x:v>
      </x:c>
      <x:c r="K52" s="13" t="str">
        <x:v>Chờ duyệt</x:v>
      </x:c>
      <x:c r="L52" s="13" t="str">
        <x:v>Cao</x:v>
      </x:c>
      <x:c r="M52" s="13" t="str">
        <x:v>IT-DT-2026-116</x:v>
      </x:c>
    </x:row>
    <x:row r="53">
      <x:c r="A53" s="13" t="str">
        <x:v>IT-PR-2026-052</x:v>
      </x:c>
      <x:c r="B53" s="24" t="n">
        <x:v>46125</x:v>
      </x:c>
      <x:c r="C53" s="13" t="str">
        <x:v>Q2</x:v>
      </x:c>
      <x:c r="D53" s="13" t="str">
        <x:v>Phần mềm bản quyền</x:v>
      </x:c>
      <x:c r="E53" s="13" t="str">
        <x:v>Phần mềm thống kê/dữ liệu</x:v>
      </x:c>
      <x:c r="F53" s="13" t="str">
        <x:v>FPT IS</x:v>
      </x:c>
      <x:c r="G53" s="13" t="str">
        <x:v>Thanh toán phần mềm thống kê/dữ liệu - Phần mềm bản quyền</x:v>
      </x:c>
      <x:c r="H53" s="16" t="n">
        <x:v>12000000</x:v>
      </x:c>
      <x:c r="I53" s="16" t="n">
        <x:f>H53*10%</x:f>
        <x:v>1200000</x:v>
      </x:c>
      <x:c r="J53" s="16" t="n">
        <x:f>H53+I53</x:f>
        <x:v>13200000</x:v>
      </x:c>
      <x:c r="K53" s="13" t="str">
        <x:v>Đã thanh toán</x:v>
      </x:c>
      <x:c r="L53" s="13" t="str">
        <x:v>Cao</x:v>
      </x:c>
      <x:c r="M53" s="13" t="str">
        <x:v>IT-DT-2026-127</x:v>
      </x:c>
    </x:row>
    <x:row r="54">
      <x:c r="A54" s="13" t="str">
        <x:v>IT-PR-2026-053</x:v>
      </x:c>
      <x:c r="B54" s="24" t="n">
        <x:v>46154</x:v>
      </x:c>
      <x:c r="C54" s="13" t="str">
        <x:v>Q2</x:v>
      </x:c>
      <x:c r="D54" s="13" t="str">
        <x:v>Hỗ trợ người dùng</x:v>
      </x:c>
      <x:c r="E54" s="13" t="str">
        <x:v>Đào tạo sử dụng hệ thống</x:v>
      </x:c>
      <x:c r="F54" s="13" t="str">
        <x:v>FPT IS</x:v>
      </x:c>
      <x:c r="G54" s="13" t="str">
        <x:v>Thanh toán đào tạo sử dụng hệ thống - Hỗ trợ người dùng</x:v>
      </x:c>
      <x:c r="H54" s="16" t="n">
        <x:v>12000000</x:v>
      </x:c>
      <x:c r="I54" s="16" t="n">
        <x:f>H54*10%</x:f>
        <x:v>1200000</x:v>
      </x:c>
      <x:c r="J54" s="16" t="n">
        <x:f>H54+I54</x:f>
        <x:v>13200000</x:v>
      </x:c>
      <x:c r="K54" s="13" t="str">
        <x:v>Đã thanh toán</x:v>
      </x:c>
      <x:c r="L54" s="13" t="str">
        <x:v>Cao</x:v>
      </x:c>
      <x:c r="M54" s="13" t="str">
        <x:v>IT-DT-2026-067</x:v>
      </x:c>
    </x:row>
    <x:row r="55">
      <x:c r="A55" s="13" t="str">
        <x:v>IT-PR-2026-054</x:v>
      </x:c>
      <x:c r="B55" s="24" t="n">
        <x:v>46195</x:v>
      </x:c>
      <x:c r="C55" s="13" t="str">
        <x:v>Q2</x:v>
      </x:c>
      <x:c r="D55" s="13" t="str">
        <x:v>Chuyển đổi số</x:v>
      </x:c>
      <x:c r="E55" s="13" t="str">
        <x:v>Tích hợp API</x:v>
      </x:c>
      <x:c r="F55" s="13" t="str">
        <x:v>VNPT Technology</x:v>
      </x:c>
      <x:c r="G55" s="13" t="str">
        <x:v>Thanh toán tích hợp api - Chuyển đổi số</x:v>
      </x:c>
      <x:c r="H55" s="16" t="n">
        <x:v>150000000</x:v>
      </x:c>
      <x:c r="I55" s="16" t="n">
        <x:f>H55*10%</x:f>
        <x:v>15000000</x:v>
      </x:c>
      <x:c r="J55" s="16" t="n">
        <x:f>H55+I55</x:f>
        <x:v>165000000</x:v>
      </x:c>
      <x:c r="K55" s="13" t="str">
        <x:v>Nháp</x:v>
      </x:c>
      <x:c r="L55" s="13" t="str">
        <x:v>Trung bình</x:v>
      </x:c>
      <x:c r="M55" s="13" t="str">
        <x:v>IT-DT-2026-101</x:v>
      </x:c>
    </x:row>
    <x:row r="56">
      <x:c r="A56" s="13" t="str">
        <x:v>IT-PR-2026-055</x:v>
      </x:c>
      <x:c r="B56" s="24" t="n">
        <x:v>46204</x:v>
      </x:c>
      <x:c r="C56" s="13" t="str">
        <x:v>Q3</x:v>
      </x:c>
      <x:c r="D56" s="13" t="str">
        <x:v>LMS/SIS</x:v>
      </x:c>
      <x:c r="E56" s="13" t="str">
        <x:v>Nâng cấp cổng sinh viên</x:v>
      </x:c>
      <x:c r="F56" s="13" t="str">
        <x:v>MISA</x:v>
      </x:c>
      <x:c r="G56" s="13" t="str">
        <x:v>Thanh toán nâng cấp cổng sinh viên - LMS/SIS</x:v>
      </x:c>
      <x:c r="H56" s="16" t="n">
        <x:v>100000000</x:v>
      </x:c>
      <x:c r="I56" s="16" t="n">
        <x:f>H56*10%</x:f>
        <x:v>10000000</x:v>
      </x:c>
      <x:c r="J56" s="16" t="n">
        <x:f>H56+I56</x:f>
        <x:v>110000000</x:v>
      </x:c>
      <x:c r="K56" s="13" t="str">
        <x:v>Đã thanh toán</x:v>
      </x:c>
      <x:c r="L56" s="13" t="str">
        <x:v>Trung bình</x:v>
      </x:c>
      <x:c r="M56" s="13" t="str">
        <x:v>IT-DT-2026-021</x:v>
      </x:c>
    </x:row>
    <x:row r="57">
      <x:c r="A57" s="13" t="str">
        <x:v>IT-PR-2026-056</x:v>
      </x:c>
      <x:c r="B57" s="24" t="n">
        <x:v>46254</x:v>
      </x:c>
      <x:c r="C57" s="13" t="str">
        <x:v>Q3</x:v>
      </x:c>
      <x:c r="D57" s="13" t="str">
        <x:v>Phòng máy tính</x:v>
      </x:c>
      <x:c r="E57" s="13" t="str">
        <x:v>Thiết bị âm thanh</x:v>
      </x:c>
      <x:c r="F57" s="13" t="str">
        <x:v>Microsoft Vietnam</x:v>
      </x:c>
      <x:c r="G57" s="13" t="str">
        <x:v>Thanh toán thiết bị âm thanh - Phòng máy tính</x:v>
      </x:c>
      <x:c r="H57" s="16" t="n">
        <x:v>50000000</x:v>
      </x:c>
      <x:c r="I57" s="16" t="n">
        <x:f>H57*10%</x:f>
        <x:v>5000000</x:v>
      </x:c>
      <x:c r="J57" s="16" t="n">
        <x:f>H57+I57</x:f>
        <x:v>55000000</x:v>
      </x:c>
      <x:c r="K57" s="13" t="str">
        <x:v>Chờ duyệt</x:v>
      </x:c>
      <x:c r="L57" s="13" t="str">
        <x:v>Cao</x:v>
      </x:c>
      <x:c r="M57" s="13" t="str">
        <x:v>IT-DT-2026-054</x:v>
      </x:c>
    </x:row>
    <x:row r="58">
      <x:c r="A58" s="13" t="str">
        <x:v>IT-PR-2026-057</x:v>
      </x:c>
      <x:c r="B58" s="24" t="n">
        <x:v>46288</x:v>
      </x:c>
      <x:c r="C58" s="13" t="str">
        <x:v>Q3</x:v>
      </x:c>
      <x:c r="D58" s="13" t="str">
        <x:v>Hạ tầng mạng</x:v>
      </x:c>
      <x:c r="E58" s="13" t="str">
        <x:v>Bảo trì hệ thống mạng</x:v>
      </x:c>
      <x:c r="F58" s="13" t="str">
        <x:v>Cloud Ace</x:v>
      </x:c>
      <x:c r="G58" s="13" t="str">
        <x:v>Thanh toán bảo trì hệ thống mạng - Hạ tầng mạng</x:v>
      </x:c>
      <x:c r="H58" s="16" t="n">
        <x:v>12000000</x:v>
      </x:c>
      <x:c r="I58" s="16" t="n">
        <x:f>H58*10%</x:f>
        <x:v>1200000</x:v>
      </x:c>
      <x:c r="J58" s="16" t="n">
        <x:f>H58+I58</x:f>
        <x:v>13200000</x:v>
      </x:c>
      <x:c r="K58" s="13" t="str">
        <x:v>Từ chối</x:v>
      </x:c>
      <x:c r="L58" s="13" t="str">
        <x:v>Trung bình</x:v>
      </x:c>
      <x:c r="M58" s="13" t="str">
        <x:v>IT-DT-2026-041</x:v>
      </x:c>
    </x:row>
    <x:row r="59">
      <x:c r="A59" s="13" t="str">
        <x:v>IT-PR-2026-058</x:v>
      </x:c>
      <x:c r="B59" s="24" t="n">
        <x:v>46306</x:v>
      </x:c>
      <x:c r="C59" s="13" t="str">
        <x:v>Q4</x:v>
      </x:c>
      <x:c r="D59" s="13" t="str">
        <x:v>Hệ thống máy chủ</x:v>
      </x:c>
      <x:c r="E59" s="13" t="str">
        <x:v>Gia hạn bảo hành server</x:v>
      </x:c>
      <x:c r="F59" s="13" t="str">
        <x:v>CMC Cyber Security</x:v>
      </x:c>
      <x:c r="G59" s="13" t="str">
        <x:v>Thanh toán gia hạn bảo hành server - Hệ thống máy chủ</x:v>
      </x:c>
      <x:c r="H59" s="16" t="n">
        <x:v>35000000</x:v>
      </x:c>
      <x:c r="I59" s="16" t="n">
        <x:f>H59*10%</x:f>
        <x:v>3500000</x:v>
      </x:c>
      <x:c r="J59" s="16" t="n">
        <x:f>H59+I59</x:f>
        <x:v>38500000</x:v>
      </x:c>
      <x:c r="K59" s="13" t="str">
        <x:v>Đã duyệt</x:v>
      </x:c>
      <x:c r="L59" s="13" t="str">
        <x:v>Cao</x:v>
      </x:c>
      <x:c r="M59" s="13" t="str">
        <x:v>IT-DT-2026-137</x:v>
      </x:c>
    </x:row>
    <x:row r="60">
      <x:c r="A60" s="13" t="str">
        <x:v>IT-PR-2026-059</x:v>
      </x:c>
      <x:c r="B60" s="24" t="n">
        <x:v>46342</x:v>
      </x:c>
      <x:c r="C60" s="13" t="str">
        <x:v>Q4</x:v>
      </x:c>
      <x:c r="D60" s="13" t="str">
        <x:v>Bảo mật thông tin</x:v>
      </x:c>
      <x:c r="E60" s="13" t="str">
        <x:v>Kiểm thử xâm nhập</x:v>
      </x:c>
      <x:c r="F60" s="13" t="str">
        <x:v>Cloud Ace</x:v>
      </x:c>
      <x:c r="G60" s="13" t="str">
        <x:v>Thanh toán kiểm thử xâm nhập - Bảo mật thông tin</x:v>
      </x:c>
      <x:c r="H60" s="16" t="n">
        <x:v>20000000</x:v>
      </x:c>
      <x:c r="I60" s="16" t="n">
        <x:f>H60*10%</x:f>
        <x:v>2000000</x:v>
      </x:c>
      <x:c r="J60" s="16" t="n">
        <x:f>H60+I60</x:f>
        <x:v>22000000</x:v>
      </x:c>
      <x:c r="K60" s="13" t="str">
        <x:v>Đã duyệt</x:v>
      </x:c>
      <x:c r="L60" s="13" t="str">
        <x:v>Trung bình</x:v>
      </x:c>
      <x:c r="M60" s="13" t="str">
        <x:v>IT-DT-2026-132</x:v>
      </x:c>
    </x:row>
    <x:row r="61">
      <x:c r="A61" s="13" t="str">
        <x:v>IT-PR-2026-060</x:v>
      </x:c>
      <x:c r="B61" s="24" t="n">
        <x:v>46380</x:v>
      </x:c>
      <x:c r="C61" s="13" t="str">
        <x:v>Q4</x:v>
      </x:c>
      <x:c r="D61" s="13" t="str">
        <x:v>Phần mềm bản quyền</x:v>
      </x:c>
      <x:c r="E61" s="13" t="str">
        <x:v>Zoom/Teams license</x:v>
      </x:c>
      <x:c r="F61" s="13" t="str">
        <x:v>CMC Telecom</x:v>
      </x:c>
      <x:c r="G61" s="13" t="str">
        <x:v>Thanh toán zoom/teams license - Phần mềm bản quyền</x:v>
      </x:c>
      <x:c r="H61" s="16" t="n">
        <x:v>8000000</x:v>
      </x:c>
      <x:c r="I61" s="16" t="n">
        <x:f>H61*10%</x:f>
        <x:v>800000</x:v>
      </x:c>
      <x:c r="J61" s="16" t="n">
        <x:f>H61+I61</x:f>
        <x:v>8800000</x:v>
      </x:c>
      <x:c r="K61" s="13" t="str">
        <x:v>Đã thanh toán</x:v>
      </x:c>
      <x:c r="L61" s="13" t="str">
        <x:v>Trung bình</x:v>
      </x:c>
      <x:c r="M61" s="13" t="str">
        <x:v>IT-DT-2026-080</x:v>
      </x:c>
    </x:row>
    <x:row r="62">
      <x:c r="A62" s="13" t="str">
        <x:v>IT-PR-2026-061</x:v>
      </x:c>
      <x:c r="B62" s="24" t="n">
        <x:v>46026</x:v>
      </x:c>
      <x:c r="C62" s="13" t="str">
        <x:v>Q1</x:v>
      </x:c>
      <x:c r="D62" s="13" t="str">
        <x:v>Hỗ trợ người dùng</x:v>
      </x:c>
      <x:c r="E62" s="13" t="str">
        <x:v>Đào tạo sử dụng hệ thống</x:v>
      </x:c>
      <x:c r="F62" s="13" t="str">
        <x:v>MISA</x:v>
      </x:c>
      <x:c r="G62" s="13" t="str">
        <x:v>Thanh toán đào tạo sử dụng hệ thống - Hỗ trợ người dùng</x:v>
      </x:c>
      <x:c r="H62" s="16" t="n">
        <x:v>100000000</x:v>
      </x:c>
      <x:c r="I62" s="16" t="n">
        <x:f>H62*10%</x:f>
        <x:v>10000000</x:v>
      </x:c>
      <x:c r="J62" s="16" t="n">
        <x:f>H62+I62</x:f>
        <x:v>110000000</x:v>
      </x:c>
      <x:c r="K62" s="13" t="str">
        <x:v>Nháp</x:v>
      </x:c>
      <x:c r="L62" s="13" t="str">
        <x:v>Trung bình</x:v>
      </x:c>
      <x:c r="M62" s="13" t="str">
        <x:v>IT-DT-2026-106</x:v>
      </x:c>
    </x:row>
    <x:row r="63">
      <x:c r="A63" s="13" t="str">
        <x:v>IT-PR-2026-062</x:v>
      </x:c>
      <x:c r="B63" s="24" t="n">
        <x:v>46069</x:v>
      </x:c>
      <x:c r="C63" s="13" t="str">
        <x:v>Q1</x:v>
      </x:c>
      <x:c r="D63" s="13" t="str">
        <x:v>Chuyển đổi số</x:v>
      </x:c>
      <x:c r="E63" s="13" t="str">
        <x:v>Phát triển chatbot nội bộ</x:v>
      </x:c>
      <x:c r="F63" s="13" t="str">
        <x:v>Dell Technologies</x:v>
      </x:c>
      <x:c r="G63" s="13" t="str">
        <x:v>Thanh toán phát triển chatbot nội bộ - Chuyển đổi số</x:v>
      </x:c>
      <x:c r="H63" s="16" t="n">
        <x:v>35000000</x:v>
      </x:c>
      <x:c r="I63" s="16" t="n">
        <x:f>H63*10%</x:f>
        <x:v>3500000</x:v>
      </x:c>
      <x:c r="J63" s="16" t="n">
        <x:f>H63+I63</x:f>
        <x:v>38500000</x:v>
      </x:c>
      <x:c r="K63" s="13" t="str">
        <x:v>Đã duyệt</x:v>
      </x:c>
      <x:c r="L63" s="13" t="str">
        <x:v>Trung bình</x:v>
      </x:c>
      <x:c r="M63" s="13" t="str">
        <x:v>IT-DT-2026-101</x:v>
      </x:c>
    </x:row>
    <x:row r="64">
      <x:c r="A64" s="13" t="str">
        <x:v>IT-PR-2026-063</x:v>
      </x:c>
      <x:c r="B64" s="24" t="n">
        <x:v>46090</x:v>
      </x:c>
      <x:c r="C64" s="13" t="str">
        <x:v>Q1</x:v>
      </x:c>
      <x:c r="D64" s="13" t="str">
        <x:v>LMS/SIS</x:v>
      </x:c>
      <x:c r="E64" s="13" t="str">
        <x:v>Tích hợp SSO</x:v>
      </x:c>
      <x:c r="F64" s="13" t="str">
        <x:v>Dell Technologies</x:v>
      </x:c>
      <x:c r="G64" s="13" t="str">
        <x:v>Thanh toán tích hợp sso - LMS/SIS</x:v>
      </x:c>
      <x:c r="H64" s="16" t="n">
        <x:v>50000000</x:v>
      </x:c>
      <x:c r="I64" s="16" t="n">
        <x:f>H64*10%</x:f>
        <x:v>5000000</x:v>
      </x:c>
      <x:c r="J64" s="16" t="n">
        <x:f>H64+I64</x:f>
        <x:v>55000000</x:v>
      </x:c>
      <x:c r="K64" s="13" t="str">
        <x:v>Chờ duyệt</x:v>
      </x:c>
      <x:c r="L64" s="13" t="str">
        <x:v>Trung bình</x:v>
      </x:c>
      <x:c r="M64" s="13" t="str">
        <x:v>IT-DT-2026-053</x:v>
      </x:c>
    </x:row>
    <x:row r="65">
      <x:c r="A65" s="13" t="str">
        <x:v>IT-PR-2026-064</x:v>
      </x:c>
      <x:c r="B65" s="24" t="n">
        <x:v>46131</x:v>
      </x:c>
      <x:c r="C65" s="13" t="str">
        <x:v>Q2</x:v>
      </x:c>
      <x:c r="D65" s="13" t="str">
        <x:v>Phòng máy tính</x:v>
      </x:c>
      <x:c r="E65" s="13" t="str">
        <x:v>Máy chiếu/màn hình</x:v>
      </x:c>
      <x:c r="F65" s="13" t="str">
        <x:v>CMC Cyber Security</x:v>
      </x:c>
      <x:c r="G65" s="13" t="str">
        <x:v>Thanh toán máy chiếu/màn hình - Phòng máy tính</x:v>
      </x:c>
      <x:c r="H65" s="16" t="n">
        <x:v>75000000</x:v>
      </x:c>
      <x:c r="I65" s="16" t="n">
        <x:f>H65*10%</x:f>
        <x:v>7500000</x:v>
      </x:c>
      <x:c r="J65" s="16" t="n">
        <x:f>H65+I65</x:f>
        <x:v>82500000</x:v>
      </x:c>
      <x:c r="K65" s="13" t="str">
        <x:v>Đã thanh toán</x:v>
      </x:c>
      <x:c r="L65" s="13" t="str">
        <x:v>Cao</x:v>
      </x:c>
      <x:c r="M65" s="13" t="str">
        <x:v>IT-DT-2026-069</x:v>
      </x:c>
    </x:row>
    <x:row r="66">
      <x:c r="A66" s="13" t="str">
        <x:v>IT-PR-2026-065</x:v>
      </x:c>
      <x:c r="B66" s="24" t="n">
        <x:v>46148</x:v>
      </x:c>
      <x:c r="C66" s="13" t="str">
        <x:v>Q2</x:v>
      </x:c>
      <x:c r="D66" s="13" t="str">
        <x:v>Hạ tầng mạng</x:v>
      </x:c>
      <x:c r="E66" s="13" t="str">
        <x:v>Thiết bị firewall</x:v>
      </x:c>
      <x:c r="F66" s="13" t="str">
        <x:v>VNPT Technology</x:v>
      </x:c>
      <x:c r="G66" s="13" t="str">
        <x:v>Thanh toán thiết bị firewall - Hạ tầng mạng</x:v>
      </x:c>
      <x:c r="H66" s="16" t="n">
        <x:v>75000000</x:v>
      </x:c>
      <x:c r="I66" s="16" t="n">
        <x:f>H66*10%</x:f>
        <x:v>7500000</x:v>
      </x:c>
      <x:c r="J66" s="16" t="n">
        <x:f>H66+I66</x:f>
        <x:v>82500000</x:v>
      </x:c>
      <x:c r="K66" s="13" t="str">
        <x:v>Đã thanh toán</x:v>
      </x:c>
      <x:c r="L66" s="13" t="str">
        <x:v>Cao</x:v>
      </x:c>
      <x:c r="M66" s="13" t="str">
        <x:v>IT-DT-2026-048</x:v>
      </x:c>
    </x:row>
    <x:row r="67">
      <x:c r="A67" s="13" t="str">
        <x:v>IT-PR-2026-066</x:v>
      </x:c>
      <x:c r="B67" s="24" t="n">
        <x:v>46174</x:v>
      </x:c>
      <x:c r="C67" s="13" t="str">
        <x:v>Q2</x:v>
      </x:c>
      <x:c r="D67" s="13" t="str">
        <x:v>Hệ thống máy chủ</x:v>
      </x:c>
      <x:c r="E67" s="13" t="str">
        <x:v>Gia hạn bảo hành server</x:v>
      </x:c>
      <x:c r="F67" s="13" t="str">
        <x:v>CMC Cyber Security</x:v>
      </x:c>
      <x:c r="G67" s="13" t="str">
        <x:v>Thanh toán gia hạn bảo hành server - Hệ thống máy chủ</x:v>
      </x:c>
      <x:c r="H67" s="16" t="n">
        <x:v>12000000</x:v>
      </x:c>
      <x:c r="I67" s="16" t="n">
        <x:f>H67*10%</x:f>
        <x:v>1200000</x:v>
      </x:c>
      <x:c r="J67" s="16" t="n">
        <x:f>H67+I67</x:f>
        <x:v>13200000</x:v>
      </x:c>
      <x:c r="K67" s="13" t="str">
        <x:v>Đã duyệt</x:v>
      </x:c>
      <x:c r="L67" s="13" t="str">
        <x:v>Cao</x:v>
      </x:c>
      <x:c r="M67" s="13" t="str">
        <x:v>IT-DT-2026-065</x:v>
      </x:c>
    </x:row>
    <x:row r="68">
      <x:c r="A68" s="13" t="str">
        <x:v>IT-PR-2026-067</x:v>
      </x:c>
      <x:c r="B68" s="24" t="n">
        <x:v>46224</x:v>
      </x:c>
      <x:c r="C68" s="13" t="str">
        <x:v>Q3</x:v>
      </x:c>
      <x:c r="D68" s="13" t="str">
        <x:v>Bảo mật thông tin</x:v>
      </x:c>
      <x:c r="E68" s="13" t="str">
        <x:v>Giám sát SOC</x:v>
      </x:c>
      <x:c r="F68" s="13" t="str">
        <x:v>Cisco Partner</x:v>
      </x:c>
      <x:c r="G68" s="13" t="str">
        <x:v>Thanh toán giám sát soc - Bảo mật thông tin</x:v>
      </x:c>
      <x:c r="H68" s="16" t="n">
        <x:v>12000000</x:v>
      </x:c>
      <x:c r="I68" s="16" t="n">
        <x:f>H68*10%</x:f>
        <x:v>1200000</x:v>
      </x:c>
      <x:c r="J68" s="16" t="n">
        <x:f>H68+I68</x:f>
        <x:v>13200000</x:v>
      </x:c>
      <x:c r="K68" s="13" t="str">
        <x:v>Nháp</x:v>
      </x:c>
      <x:c r="L68" s="13" t="str">
        <x:v>Trung bình</x:v>
      </x:c>
      <x:c r="M68" s="13" t="str">
        <x:v>IT-DT-2026-031</x:v>
      </x:c>
    </x:row>
    <x:row r="69">
      <x:c r="A69" s="13" t="str">
        <x:v>IT-PR-2026-068</x:v>
      </x:c>
      <x:c r="B69" s="24" t="n">
        <x:v>46236</x:v>
      </x:c>
      <x:c r="C69" s="13" t="str">
        <x:v>Q3</x:v>
      </x:c>
      <x:c r="D69" s="13" t="str">
        <x:v>Phần mềm bản quyền</x:v>
      </x:c>
      <x:c r="E69" s="13" t="str">
        <x:v>Zoom/Teams license</x:v>
      </x:c>
      <x:c r="F69" s="13" t="str">
        <x:v>Microsoft Vietnam</x:v>
      </x:c>
      <x:c r="G69" s="13" t="str">
        <x:v>Thanh toán zoom/teams license - Phần mềm bản quyền</x:v>
      </x:c>
      <x:c r="H69" s="16" t="n">
        <x:v>50000000</x:v>
      </x:c>
      <x:c r="I69" s="16" t="n">
        <x:f>H69*10%</x:f>
        <x:v>5000000</x:v>
      </x:c>
      <x:c r="J69" s="16" t="n">
        <x:f>H69+I69</x:f>
        <x:v>55000000</x:v>
      </x:c>
      <x:c r="K69" s="13" t="str">
        <x:v>Đã thanh toán</x:v>
      </x:c>
      <x:c r="L69" s="13" t="str">
        <x:v>Thấp</x:v>
      </x:c>
      <x:c r="M69" s="13" t="str">
        <x:v>IT-DT-2026-031</x:v>
      </x:c>
    </x:row>
    <x:row r="70">
      <x:c r="A70" s="13" t="str">
        <x:v>IT-PR-2026-069</x:v>
      </x:c>
      <x:c r="B70" s="24" t="n">
        <x:v>46278</x:v>
      </x:c>
      <x:c r="C70" s="13" t="str">
        <x:v>Q3</x:v>
      </x:c>
      <x:c r="D70" s="13" t="str">
        <x:v>Hỗ trợ người dùng</x:v>
      </x:c>
      <x:c r="E70" s="13" t="str">
        <x:v>Helpdesk system</x:v>
      </x:c>
      <x:c r="F70" s="13" t="str">
        <x:v>FPT IS</x:v>
      </x:c>
      <x:c r="G70" s="13" t="str">
        <x:v>Thanh toán helpdesk system - Hỗ trợ người dùng</x:v>
      </x:c>
      <x:c r="H70" s="16" t="n">
        <x:v>150000000</x:v>
      </x:c>
      <x:c r="I70" s="16" t="n">
        <x:f>H70*10%</x:f>
        <x:v>15000000</x:v>
      </x:c>
      <x:c r="J70" s="16" t="n">
        <x:f>H70+I70</x:f>
        <x:v>165000000</x:v>
      </x:c>
      <x:c r="K70" s="13" t="str">
        <x:v>Đã thanh toán</x:v>
      </x:c>
      <x:c r="L70" s="13" t="str">
        <x:v>Cao</x:v>
      </x:c>
      <x:c r="M70" s="13" t="str">
        <x:v>IT-DT-2026-018</x:v>
      </x:c>
    </x:row>
    <x:row r="71">
      <x:c r="A71" s="13" t="str">
        <x:v>IT-PR-2026-070</x:v>
      </x:c>
      <x:c r="B71" s="24" t="n">
        <x:v>46305</x:v>
      </x:c>
      <x:c r="C71" s="13" t="str">
        <x:v>Q4</x:v>
      </x:c>
      <x:c r="D71" s="13" t="str">
        <x:v>Chuyển đổi số</x:v>
      </x:c>
      <x:c r="E71" s="13" t="str">
        <x:v>Tự động hóa quy trình</x:v>
      </x:c>
      <x:c r="F71" s="13" t="str">
        <x:v>Cloud Ace</x:v>
      </x:c>
      <x:c r="G71" s="13" t="str">
        <x:v>Thanh toán tự động hóa quy trình - Chuyển đổi số</x:v>
      </x:c>
      <x:c r="H71" s="16" t="n">
        <x:v>35000000</x:v>
      </x:c>
      <x:c r="I71" s="16" t="n">
        <x:f>H71*10%</x:f>
        <x:v>3500000</x:v>
      </x:c>
      <x:c r="J71" s="16" t="n">
        <x:f>H71+I71</x:f>
        <x:v>38500000</x:v>
      </x:c>
      <x:c r="K71" s="13" t="str">
        <x:v>Chờ duyệt</x:v>
      </x:c>
      <x:c r="L71" s="13" t="str">
        <x:v>Trung bình</x:v>
      </x:c>
      <x:c r="M71" s="13" t="str">
        <x:v>IT-DT-2026-105</x:v>
      </x:c>
    </x:row>
    <x:row r="72">
      <x:c r="A72" s="13" t="str">
        <x:v>IT-PR-2026-071</x:v>
      </x:c>
      <x:c r="B72" s="24" t="n">
        <x:v>46351</x:v>
      </x:c>
      <x:c r="C72" s="13" t="str">
        <x:v>Q4</x:v>
      </x:c>
      <x:c r="D72" s="13" t="str">
        <x:v>LMS/SIS</x:v>
      </x:c>
      <x:c r="E72" s="13" t="str">
        <x:v>Nâng cấp cổng sinh viên</x:v>
      </x:c>
      <x:c r="F72" s="13" t="str">
        <x:v>CMC Cyber Security</x:v>
      </x:c>
      <x:c r="G72" s="13" t="str">
        <x:v>Thanh toán nâng cấp cổng sinh viên - LMS/SIS</x:v>
      </x:c>
      <x:c r="H72" s="16" t="n">
        <x:v>75000000</x:v>
      </x:c>
      <x:c r="I72" s="16" t="n">
        <x:f>H72*10%</x:f>
        <x:v>7500000</x:v>
      </x:c>
      <x:c r="J72" s="16" t="n">
        <x:f>H72+I72</x:f>
        <x:v>82500000</x:v>
      </x:c>
      <x:c r="K72" s="13" t="str">
        <x:v>Đã thanh toán</x:v>
      </x:c>
      <x:c r="L72" s="13" t="str">
        <x:v>Cao</x:v>
      </x:c>
      <x:c r="M72" s="13" t="str">
        <x:v>IT-DT-2026-073</x:v>
      </x:c>
    </x:row>
    <x:row r="73">
      <x:c r="A73" s="13" t="str">
        <x:v>IT-PR-2026-072</x:v>
      </x:c>
      <x:c r="B73" s="24" t="n">
        <x:v>46361</x:v>
      </x:c>
      <x:c r="C73" s="13" t="str">
        <x:v>Q4</x:v>
      </x:c>
      <x:c r="D73" s="13" t="str">
        <x:v>Phòng máy tính</x:v>
      </x:c>
      <x:c r="E73" s="13" t="str">
        <x:v>Bảo trì phòng lab</x:v>
      </x:c>
      <x:c r="F73" s="13" t="str">
        <x:v>Viettel Solutions</x:v>
      </x:c>
      <x:c r="G73" s="13" t="str">
        <x:v>Thanh toán bảo trì phòng lab - Phòng máy tính</x:v>
      </x:c>
      <x:c r="H73" s="16" t="n">
        <x:v>8000000</x:v>
      </x:c>
      <x:c r="I73" s="16" t="n">
        <x:f>H73*10%</x:f>
        <x:v>800000</x:v>
      </x:c>
      <x:c r="J73" s="16" t="n">
        <x:f>H73+I73</x:f>
        <x:v>8800000</x:v>
      </x:c>
      <x:c r="K73" s="13" t="str">
        <x:v>Đã thanh toán</x:v>
      </x:c>
      <x:c r="L73" s="13" t="str">
        <x:v>Trung bình</x:v>
      </x:c>
      <x:c r="M73" s="13" t="str">
        <x:v>IT-DT-2026-125</x:v>
      </x:c>
    </x:row>
    <x:row r="74">
      <x:c r="A74" s="13" t="str">
        <x:v>IT-PR-2026-073</x:v>
      </x:c>
      <x:c r="B74" s="24" t="n">
        <x:v>46036</x:v>
      </x:c>
      <x:c r="C74" s="13" t="str">
        <x:v>Q1</x:v>
      </x:c>
      <x:c r="D74" s="13" t="str">
        <x:v>Hạ tầng mạng</x:v>
      </x:c>
      <x:c r="E74" s="13" t="str">
        <x:v>Nâng cấp switch core</x:v>
      </x:c>
      <x:c r="F74" s="13" t="str">
        <x:v>Viettel Solutions</x:v>
      </x:c>
      <x:c r="G74" s="13" t="str">
        <x:v>Thanh toán nâng cấp switch core - Hạ tầng mạng</x:v>
      </x:c>
      <x:c r="H74" s="16" t="n">
        <x:v>50000000</x:v>
      </x:c>
      <x:c r="I74" s="16" t="n">
        <x:f>H74*10%</x:f>
        <x:v>5000000</x:v>
      </x:c>
      <x:c r="J74" s="16" t="n">
        <x:f>H74+I74</x:f>
        <x:v>55000000</x:v>
      </x:c>
      <x:c r="K74" s="13" t="str">
        <x:v>Đã thanh toán</x:v>
      </x:c>
      <x:c r="L74" s="13" t="str">
        <x:v>Cao</x:v>
      </x:c>
      <x:c r="M74" s="13" t="str">
        <x:v>IT-DT-2026-146</x:v>
      </x:c>
    </x:row>
    <x:row r="75">
      <x:c r="A75" s="13" t="str">
        <x:v>IT-PR-2026-074</x:v>
      </x:c>
      <x:c r="B75" s="24" t="n">
        <x:v>46058</x:v>
      </x:c>
      <x:c r="C75" s="13" t="str">
        <x:v>Q1</x:v>
      </x:c>
      <x:c r="D75" s="13" t="str">
        <x:v>Hệ thống máy chủ</x:v>
      </x:c>
      <x:c r="E75" s="13" t="str">
        <x:v>Backup server</x:v>
      </x:c>
      <x:c r="F75" s="13" t="str">
        <x:v>Cloud Ace</x:v>
      </x:c>
      <x:c r="G75" s="13" t="str">
        <x:v>Thanh toán backup server - Hệ thống máy chủ</x:v>
      </x:c>
      <x:c r="H75" s="16" t="n">
        <x:v>75000000</x:v>
      </x:c>
      <x:c r="I75" s="16" t="n">
        <x:f>H75*10%</x:f>
        <x:v>7500000</x:v>
      </x:c>
      <x:c r="J75" s="16" t="n">
        <x:f>H75+I75</x:f>
        <x:v>82500000</x:v>
      </x:c>
      <x:c r="K75" s="13" t="str">
        <x:v>Đã duyệt</x:v>
      </x:c>
      <x:c r="L75" s="13" t="str">
        <x:v>Cao</x:v>
      </x:c>
      <x:c r="M75" s="13" t="str">
        <x:v>IT-DT-2026-124</x:v>
      </x:c>
    </x:row>
    <x:row r="76">
      <x:c r="A76" s="13" t="str">
        <x:v>IT-PR-2026-075</x:v>
      </x:c>
      <x:c r="B76" s="24" t="n">
        <x:v>46088</x:v>
      </x:c>
      <x:c r="C76" s="13" t="str">
        <x:v>Q1</x:v>
      </x:c>
      <x:c r="D76" s="13" t="str">
        <x:v>Bảo mật thông tin</x:v>
      </x:c>
      <x:c r="E76" s="13" t="str">
        <x:v>Đào tạo an toàn thông tin</x:v>
      </x:c>
      <x:c r="F76" s="13" t="str">
        <x:v>MISA</x:v>
      </x:c>
      <x:c r="G76" s="13" t="str">
        <x:v>Thanh toán đào tạo an toàn thông tin - Bảo mật thông tin</x:v>
      </x:c>
      <x:c r="H76" s="16" t="n">
        <x:v>35000000</x:v>
      </x:c>
      <x:c r="I76" s="16" t="n">
        <x:f>H76*10%</x:f>
        <x:v>3500000</x:v>
      </x:c>
      <x:c r="J76" s="16" t="n">
        <x:f>H76+I76</x:f>
        <x:v>38500000</x:v>
      </x:c>
      <x:c r="K76" s="13" t="str">
        <x:v>Đã thanh toán</x:v>
      </x:c>
      <x:c r="L76" s="13" t="str">
        <x:v>Cao</x:v>
      </x:c>
      <x:c r="M76" s="13" t="str">
        <x:v>IT-DT-2026-002</x:v>
      </x:c>
    </x:row>
    <x:row r="77">
      <x:c r="A77" s="13" t="str">
        <x:v>IT-PR-2026-076</x:v>
      </x:c>
      <x:c r="B77" s="24" t="n">
        <x:v>46137</x:v>
      </x:c>
      <x:c r="C77" s="13" t="str">
        <x:v>Q2</x:v>
      </x:c>
      <x:c r="D77" s="13" t="str">
        <x:v>Phần mềm bản quyền</x:v>
      </x:c>
      <x:c r="E77" s="13" t="str">
        <x:v>Adobe license</x:v>
      </x:c>
      <x:c r="F77" s="13" t="str">
        <x:v>Cloud Ace</x:v>
      </x:c>
      <x:c r="G77" s="13" t="str">
        <x:v>Thanh toán adobe license - Phần mềm bản quyền</x:v>
      </x:c>
      <x:c r="H77" s="16" t="n">
        <x:v>8000000</x:v>
      </x:c>
      <x:c r="I77" s="16" t="n">
        <x:f>H77*10%</x:f>
        <x:v>800000</x:v>
      </x:c>
      <x:c r="J77" s="16" t="n">
        <x:f>H77+I77</x:f>
        <x:v>8800000</x:v>
      </x:c>
      <x:c r="K77" s="13" t="str">
        <x:v>Nháp</x:v>
      </x:c>
      <x:c r="L77" s="13" t="str">
        <x:v>Cao</x:v>
      </x:c>
      <x:c r="M77" s="13" t="str">
        <x:v>IT-DT-2026-036</x:v>
      </x:c>
    </x:row>
    <x:row r="78">
      <x:c r="A78" s="13" t="str">
        <x:v>IT-PR-2026-077</x:v>
      </x:c>
      <x:c r="B78" s="24" t="n">
        <x:v>46149</x:v>
      </x:c>
      <x:c r="C78" s="13" t="str">
        <x:v>Q2</x:v>
      </x:c>
      <x:c r="D78" s="13" t="str">
        <x:v>Hỗ trợ người dùng</x:v>
      </x:c>
      <x:c r="E78" s="13" t="str">
        <x:v>Đào tạo sử dụng hệ thống</x:v>
      </x:c>
      <x:c r="F78" s="13" t="str">
        <x:v>Bkav Enterprise</x:v>
      </x:c>
      <x:c r="G78" s="13" t="str">
        <x:v>Thanh toán đào tạo sử dụng hệ thống - Hỗ trợ người dùng</x:v>
      </x:c>
      <x:c r="H78" s="16" t="n">
        <x:v>5000000</x:v>
      </x:c>
      <x:c r="I78" s="16" t="n">
        <x:f>H78*10%</x:f>
        <x:v>500000</x:v>
      </x:c>
      <x:c r="J78" s="16" t="n">
        <x:f>H78+I78</x:f>
        <x:v>5500000</x:v>
      </x:c>
      <x:c r="K78" s="13" t="str">
        <x:v>Đã duyệt</x:v>
      </x:c>
      <x:c r="L78" s="13" t="str">
        <x:v>Trung bình</x:v>
      </x:c>
      <x:c r="M78" s="13" t="str">
        <x:v>IT-DT-2026-102</x:v>
      </x:c>
    </x:row>
    <x:row r="79">
      <x:c r="A79" s="13" t="str">
        <x:v>IT-PR-2026-078</x:v>
      </x:c>
      <x:c r="B79" s="24" t="n">
        <x:v>46191</x:v>
      </x:c>
      <x:c r="C79" s="13" t="str">
        <x:v>Q2</x:v>
      </x:c>
      <x:c r="D79" s="13" t="str">
        <x:v>Chuyển đổi số</x:v>
      </x:c>
      <x:c r="E79" s="13" t="str">
        <x:v>Phát triển chatbot nội bộ</x:v>
      </x:c>
      <x:c r="F79" s="13" t="str">
        <x:v>VNPT Technology</x:v>
      </x:c>
      <x:c r="G79" s="13" t="str">
        <x:v>Thanh toán phát triển chatbot nội bộ - Chuyển đổi số</x:v>
      </x:c>
      <x:c r="H79" s="16" t="n">
        <x:v>150000000</x:v>
      </x:c>
      <x:c r="I79" s="16" t="n">
        <x:f>H79*10%</x:f>
        <x:v>15000000</x:v>
      </x:c>
      <x:c r="J79" s="16" t="n">
        <x:f>H79+I79</x:f>
        <x:v>165000000</x:v>
      </x:c>
      <x:c r="K79" s="13" t="str">
        <x:v>Đã thanh toán</x:v>
      </x:c>
      <x:c r="L79" s="13" t="str">
        <x:v>Trung bình</x:v>
      </x:c>
      <x:c r="M79" s="13" t="str">
        <x:v>IT-DT-2026-065</x:v>
      </x:c>
    </x:row>
    <x:row r="80">
      <x:c r="A80" s="13" t="str">
        <x:v>IT-PR-2026-079</x:v>
      </x:c>
      <x:c r="B80" s="24" t="n">
        <x:v>46212</x:v>
      </x:c>
      <x:c r="C80" s="13" t="str">
        <x:v>Q3</x:v>
      </x:c>
      <x:c r="D80" s="13" t="str">
        <x:v>LMS/SIS</x:v>
      </x:c>
      <x:c r="E80" s="13" t="str">
        <x:v>Nâng cấp cổng sinh viên</x:v>
      </x:c>
      <x:c r="F80" s="13" t="str">
        <x:v>Microsoft Vietnam</x:v>
      </x:c>
      <x:c r="G80" s="13" t="str">
        <x:v>Thanh toán nâng cấp cổng sinh viên - LMS/SIS</x:v>
      </x:c>
      <x:c r="H80" s="16" t="n">
        <x:v>20000000</x:v>
      </x:c>
      <x:c r="I80" s="16" t="n">
        <x:f>H80*10%</x:f>
        <x:v>2000000</x:v>
      </x:c>
      <x:c r="J80" s="16" t="n">
        <x:f>H80+I80</x:f>
        <x:v>22000000</x:v>
      </x:c>
      <x:c r="K80" s="13" t="str">
        <x:v>Từ chối</x:v>
      </x:c>
      <x:c r="L80" s="13" t="str">
        <x:v>Cao</x:v>
      </x:c>
      <x:c r="M80" s="13" t="str">
        <x:v>IT-DT-2026-013</x:v>
      </x:c>
    </x:row>
    <x:row r="81">
      <x:c r="A81" s="13" t="str">
        <x:v>IT-PR-2026-080</x:v>
      </x:c>
      <x:c r="B81" s="24" t="n">
        <x:v>46240</x:v>
      </x:c>
      <x:c r="C81" s="13" t="str">
        <x:v>Q3</x:v>
      </x:c>
      <x:c r="D81" s="13" t="str">
        <x:v>Phòng máy tính</x:v>
      </x:c>
      <x:c r="E81" s="13" t="str">
        <x:v>Nâng cấp PC lab</x:v>
      </x:c>
      <x:c r="F81" s="13" t="str">
        <x:v>Viettel Solutions</x:v>
      </x:c>
      <x:c r="G81" s="13" t="str">
        <x:v>Thanh toán nâng cấp pc lab - Phòng máy tính</x:v>
      </x:c>
      <x:c r="H81" s="16" t="n">
        <x:v>150000000</x:v>
      </x:c>
      <x:c r="I81" s="16" t="n">
        <x:f>H81*10%</x:f>
        <x:v>15000000</x:v>
      </x:c>
      <x:c r="J81" s="16" t="n">
        <x:f>H81+I81</x:f>
        <x:v>165000000</x:v>
      </x:c>
      <x:c r="K81" s="13" t="str">
        <x:v>Chờ duyệt</x:v>
      </x:c>
      <x:c r="L81" s="13" t="str">
        <x:v>Cao</x:v>
      </x:c>
      <x:c r="M81" s="13" t="str">
        <x:v>IT-DT-2026-092</x:v>
      </x:c>
    </x:row>
    <x:row r="82">
      <x:c r="A82" s="13" t="str">
        <x:v>IT-PR-2026-081</x:v>
      </x:c>
      <x:c r="B82" s="24" t="n">
        <x:v>46266</x:v>
      </x:c>
      <x:c r="C82" s="13" t="str">
        <x:v>Q3</x:v>
      </x:c>
      <x:c r="D82" s="13" t="str">
        <x:v>Hạ tầng mạng</x:v>
      </x:c>
      <x:c r="E82" s="13" t="str">
        <x:v>Wi-Fi access point</x:v>
      </x:c>
      <x:c r="F82" s="13" t="str">
        <x:v>CMC Telecom</x:v>
      </x:c>
      <x:c r="G82" s="13" t="str">
        <x:v>Thanh toán wi-fi access point - Hạ tầng mạng</x:v>
      </x:c>
      <x:c r="H82" s="16" t="n">
        <x:v>150000000</x:v>
      </x:c>
      <x:c r="I82" s="16" t="n">
        <x:f>H82*10%</x:f>
        <x:v>15000000</x:v>
      </x:c>
      <x:c r="J82" s="16" t="n">
        <x:f>H82+I82</x:f>
        <x:v>165000000</x:v>
      </x:c>
      <x:c r="K82" s="13" t="str">
        <x:v>Đã duyệt</x:v>
      </x:c>
      <x:c r="L82" s="13" t="str">
        <x:v>Trung bình</x:v>
      </x:c>
      <x:c r="M82" s="13" t="str">
        <x:v>IT-DT-2026-017</x:v>
      </x:c>
    </x:row>
    <x:row r="83">
      <x:c r="A83" s="13" t="str">
        <x:v>IT-PR-2026-082</x:v>
      </x:c>
      <x:c r="B83" s="24" t="n">
        <x:v>46307</x:v>
      </x:c>
      <x:c r="C83" s="13" t="str">
        <x:v>Q4</x:v>
      </x:c>
      <x:c r="D83" s="13" t="str">
        <x:v>Hệ thống máy chủ</x:v>
      </x:c>
      <x:c r="E83" s="13" t="str">
        <x:v>Máy chủ ứng dụng</x:v>
      </x:c>
      <x:c r="F83" s="13" t="str">
        <x:v>MISA</x:v>
      </x:c>
      <x:c r="G83" s="13" t="str">
        <x:v>Thanh toán máy chủ ứng dụng - Hệ thống máy chủ</x:v>
      </x:c>
      <x:c r="H83" s="16" t="n">
        <x:v>35000000</x:v>
      </x:c>
      <x:c r="I83" s="16" t="n">
        <x:f>H83*10%</x:f>
        <x:v>3500000</x:v>
      </x:c>
      <x:c r="J83" s="16" t="n">
        <x:f>H83+I83</x:f>
        <x:v>38500000</x:v>
      </x:c>
      <x:c r="K83" s="13" t="str">
        <x:v>Đã thanh toán</x:v>
      </x:c>
      <x:c r="L83" s="13" t="str">
        <x:v>Trung bình</x:v>
      </x:c>
      <x:c r="M83" s="13" t="str">
        <x:v>IT-DT-2026-127</x:v>
      </x:c>
    </x:row>
    <x:row r="84">
      <x:c r="A84" s="13" t="str">
        <x:v>IT-PR-2026-083</x:v>
      </x:c>
      <x:c r="B84" s="24" t="n">
        <x:v>46339</x:v>
      </x:c>
      <x:c r="C84" s="13" t="str">
        <x:v>Q4</x:v>
      </x:c>
      <x:c r="D84" s="13" t="str">
        <x:v>Bảo mật thông tin</x:v>
      </x:c>
      <x:c r="E84" s="13" t="str">
        <x:v>Đào tạo an toàn thông tin</x:v>
      </x:c>
      <x:c r="F84" s="13" t="str">
        <x:v>MISA</x:v>
      </x:c>
      <x:c r="G84" s="13" t="str">
        <x:v>Thanh toán đào tạo an toàn thông tin - Bảo mật thông tin</x:v>
      </x:c>
      <x:c r="H84" s="16" t="n">
        <x:v>8000000</x:v>
      </x:c>
      <x:c r="I84" s="16" t="n">
        <x:f>H84*10%</x:f>
        <x:v>800000</x:v>
      </x:c>
      <x:c r="J84" s="16" t="n">
        <x:f>H84+I84</x:f>
        <x:v>8800000</x:v>
      </x:c>
      <x:c r="K84" s="13" t="str">
        <x:v>Đã thanh toán</x:v>
      </x:c>
      <x:c r="L84" s="13" t="str">
        <x:v>Cao</x:v>
      </x:c>
      <x:c r="M84" s="13" t="str">
        <x:v>IT-DT-2026-105</x:v>
      </x:c>
    </x:row>
    <x:row r="85">
      <x:c r="A85" s="13" t="str">
        <x:v>IT-PR-2026-084</x:v>
      </x:c>
      <x:c r="B85" s="24" t="n">
        <x:v>46365</x:v>
      </x:c>
      <x:c r="C85" s="13" t="str">
        <x:v>Q4</x:v>
      </x:c>
      <x:c r="D85" s="13" t="str">
        <x:v>Phần mềm bản quyền</x:v>
      </x:c>
      <x:c r="E85" s="13" t="str">
        <x:v>Microsoft 365</x:v>
      </x:c>
      <x:c r="F85" s="13" t="str">
        <x:v>FPT IS</x:v>
      </x:c>
      <x:c r="G85" s="13" t="str">
        <x:v>Thanh toán microsoft 365 - Phần mềm bản quyền</x:v>
      </x:c>
      <x:c r="H85" s="16" t="n">
        <x:v>12000000</x:v>
      </x:c>
      <x:c r="I85" s="16" t="n">
        <x:f>H85*10%</x:f>
        <x:v>1200000</x:v>
      </x:c>
      <x:c r="J85" s="16" t="n">
        <x:f>H85+I85</x:f>
        <x:v>13200000</x:v>
      </x:c>
      <x:c r="K85" s="13" t="str">
        <x:v>Chờ duyệt</x:v>
      </x:c>
      <x:c r="L85" s="13" t="str">
        <x:v>Cao</x:v>
      </x:c>
      <x:c r="M85" s="13" t="str">
        <x:v>IT-DT-2026-095</x:v>
      </x:c>
    </x:row>
    <x:row r="86">
      <x:c r="A86" s="13" t="str">
        <x:v>IT-PR-2026-085</x:v>
      </x:c>
      <x:c r="B86" s="24" t="n">
        <x:v>46039</x:v>
      </x:c>
      <x:c r="C86" s="13" t="str">
        <x:v>Q1</x:v>
      </x:c>
      <x:c r="D86" s="13" t="str">
        <x:v>Hỗ trợ người dùng</x:v>
      </x:c>
      <x:c r="E86" s="13" t="str">
        <x:v>Helpdesk system</x:v>
      </x:c>
      <x:c r="F86" s="13" t="str">
        <x:v>Dell Technologies</x:v>
      </x:c>
      <x:c r="G86" s="13" t="str">
        <x:v>Thanh toán helpdesk system - Hỗ trợ người dùng</x:v>
      </x:c>
      <x:c r="H86" s="16" t="n">
        <x:v>100000000</x:v>
      </x:c>
      <x:c r="I86" s="16" t="n">
        <x:f>H86*10%</x:f>
        <x:v>10000000</x:v>
      </x:c>
      <x:c r="J86" s="16" t="n">
        <x:f>H86+I86</x:f>
        <x:v>110000000</x:v>
      </x:c>
      <x:c r="K86" s="13" t="str">
        <x:v>Đã duyệt</x:v>
      </x:c>
      <x:c r="L86" s="13" t="str">
        <x:v>Cao</x:v>
      </x:c>
      <x:c r="M86" s="13" t="str">
        <x:v>IT-DT-2026-083</x:v>
      </x:c>
    </x:row>
    <x:row r="87">
      <x:c r="A87" s="13" t="str">
        <x:v>IT-PR-2026-086</x:v>
      </x:c>
      <x:c r="B87" s="24" t="n">
        <x:v>46073</x:v>
      </x:c>
      <x:c r="C87" s="13" t="str">
        <x:v>Q1</x:v>
      </x:c>
      <x:c r="D87" s="13" t="str">
        <x:v>Chuyển đổi số</x:v>
      </x:c>
      <x:c r="E87" s="13" t="str">
        <x:v>Phát triển chatbot nội bộ</x:v>
      </x:c>
      <x:c r="F87" s="13" t="str">
        <x:v>Microsoft Vietnam</x:v>
      </x:c>
      <x:c r="G87" s="13" t="str">
        <x:v>Thanh toán phát triển chatbot nội bộ - Chuyển đổi số</x:v>
      </x:c>
      <x:c r="H87" s="16" t="n">
        <x:v>50000000</x:v>
      </x:c>
      <x:c r="I87" s="16" t="n">
        <x:f>H87*10%</x:f>
        <x:v>5000000</x:v>
      </x:c>
      <x:c r="J87" s="16" t="n">
        <x:f>H87+I87</x:f>
        <x:v>55000000</x:v>
      </x:c>
      <x:c r="K87" s="13" t="str">
        <x:v>Chờ duyệt</x:v>
      </x:c>
      <x:c r="L87" s="13" t="str">
        <x:v>Cao</x:v>
      </x:c>
      <x:c r="M87" s="13" t="str">
        <x:v>IT-DT-2026-013</x:v>
      </x:c>
    </x:row>
    <x:row r="88">
      <x:c r="A88" s="13" t="str">
        <x:v>IT-PR-2026-087</x:v>
      </x:c>
      <x:c r="B88" s="24" t="n">
        <x:v>46105</x:v>
      </x:c>
      <x:c r="C88" s="13" t="str">
        <x:v>Q1</x:v>
      </x:c>
      <x:c r="D88" s="13" t="str">
        <x:v>LMS/SIS</x:v>
      </x:c>
      <x:c r="E88" s="13" t="str">
        <x:v>Nâng cấp cổng sinh viên</x:v>
      </x:c>
      <x:c r="F88" s="13" t="str">
        <x:v>MISA</x:v>
      </x:c>
      <x:c r="G88" s="13" t="str">
        <x:v>Thanh toán nâng cấp cổng sinh viên - LMS/SIS</x:v>
      </x:c>
      <x:c r="H88" s="16" t="n">
        <x:v>35000000</x:v>
      </x:c>
      <x:c r="I88" s="16" t="n">
        <x:f>H88*10%</x:f>
        <x:v>3500000</x:v>
      </x:c>
      <x:c r="J88" s="16" t="n">
        <x:f>H88+I88</x:f>
        <x:v>38500000</x:v>
      </x:c>
      <x:c r="K88" s="13" t="str">
        <x:v>Đã thanh toán</x:v>
      </x:c>
      <x:c r="L88" s="13" t="str">
        <x:v>Cao</x:v>
      </x:c>
      <x:c r="M88" s="13" t="str">
        <x:v>IT-DT-2026-028</x:v>
      </x:c>
    </x:row>
    <x:row r="89">
      <x:c r="A89" s="13" t="str">
        <x:v>IT-PR-2026-088</x:v>
      </x:c>
      <x:c r="B89" s="24" t="n">
        <x:v>46117</x:v>
      </x:c>
      <x:c r="C89" s="13" t="str">
        <x:v>Q2</x:v>
      </x:c>
      <x:c r="D89" s="13" t="str">
        <x:v>Phòng máy tính</x:v>
      </x:c>
      <x:c r="E89" s="13" t="str">
        <x:v>Máy chiếu/màn hình</x:v>
      </x:c>
      <x:c r="F89" s="13" t="str">
        <x:v>Dell Technologies</x:v>
      </x:c>
      <x:c r="G89" s="13" t="str">
        <x:v>Thanh toán máy chiếu/màn hình - Phòng máy tính</x:v>
      </x:c>
      <x:c r="H89" s="16" t="n">
        <x:v>50000000</x:v>
      </x:c>
      <x:c r="I89" s="16" t="n">
        <x:f>H89*10%</x:f>
        <x:v>5000000</x:v>
      </x:c>
      <x:c r="J89" s="16" t="n">
        <x:f>H89+I89</x:f>
        <x:v>55000000</x:v>
      </x:c>
      <x:c r="K89" s="13" t="str">
        <x:v>Chờ duyệt</x:v>
      </x:c>
      <x:c r="L89" s="13" t="str">
        <x:v>Cao</x:v>
      </x:c>
      <x:c r="M89" s="13" t="str">
        <x:v>IT-DT-2026-103</x:v>
      </x:c>
    </x:row>
    <x:row r="90">
      <x:c r="A90" s="13" t="str">
        <x:v>IT-PR-2026-089</x:v>
      </x:c>
      <x:c r="B90" s="24" t="n">
        <x:v>46159</x:v>
      </x:c>
      <x:c r="C90" s="13" t="str">
        <x:v>Q2</x:v>
      </x:c>
      <x:c r="D90" s="13" t="str">
        <x:v>Hạ tầng mạng</x:v>
      </x:c>
      <x:c r="E90" s="13" t="str">
        <x:v>Nâng cấp switch core</x:v>
      </x:c>
      <x:c r="F90" s="13" t="str">
        <x:v>Cisco Partner</x:v>
      </x:c>
      <x:c r="G90" s="13" t="str">
        <x:v>Thanh toán nâng cấp switch core - Hạ tầng mạng</x:v>
      </x:c>
      <x:c r="H90" s="16" t="n">
        <x:v>8000000</x:v>
      </x:c>
      <x:c r="I90" s="16" t="n">
        <x:f>H90*10%</x:f>
        <x:v>800000</x:v>
      </x:c>
      <x:c r="J90" s="16" t="n">
        <x:f>H90+I90</x:f>
        <x:v>8800000</x:v>
      </x:c>
      <x:c r="K90" s="13" t="str">
        <x:v>Đã duyệt</x:v>
      </x:c>
      <x:c r="L90" s="13" t="str">
        <x:v>Trung bình</x:v>
      </x:c>
      <x:c r="M90" s="13" t="str">
        <x:v>IT-DT-2026-053</x:v>
      </x:c>
    </x:row>
    <x:row r="91">
      <x:c r="A91" s="13" t="str">
        <x:v>IT-PR-2026-090</x:v>
      </x:c>
      <x:c r="B91" s="24" t="n">
        <x:v>46174</x:v>
      </x:c>
      <x:c r="C91" s="13" t="str">
        <x:v>Q2</x:v>
      </x:c>
      <x:c r="D91" s="13" t="str">
        <x:v>Hệ thống máy chủ</x:v>
      </x:c>
      <x:c r="E91" s="13" t="str">
        <x:v>Lưu trữ NAS/SAN</x:v>
      </x:c>
      <x:c r="F91" s="13" t="str">
        <x:v>Dell Technologies</x:v>
      </x:c>
      <x:c r="G91" s="13" t="str">
        <x:v>Thanh toán lưu trữ nas/san - Hệ thống máy chủ</x:v>
      </x:c>
      <x:c r="H91" s="16" t="n">
        <x:v>8000000</x:v>
      </x:c>
      <x:c r="I91" s="16" t="n">
        <x:f>H91*10%</x:f>
        <x:v>800000</x:v>
      </x:c>
      <x:c r="J91" s="16" t="n">
        <x:f>H91+I91</x:f>
        <x:v>8800000</x:v>
      </x:c>
      <x:c r="K91" s="13" t="str">
        <x:v>Đã thanh toán</x:v>
      </x:c>
      <x:c r="L91" s="13" t="str">
        <x:v>Cao</x:v>
      </x:c>
      <x:c r="M91" s="13" t="str">
        <x:v>IT-DT-2026-083</x:v>
      </x:c>
    </x:row>
    <x:row r="92">
      <x:c r="A92" s="13" t="str">
        <x:v>IT-PR-2026-091</x:v>
      </x:c>
      <x:c r="B92" s="24" t="n">
        <x:v>46217</x:v>
      </x:c>
      <x:c r="C92" s="13" t="str">
        <x:v>Q3</x:v>
      </x:c>
      <x:c r="D92" s="13" t="str">
        <x:v>Bảo mật thông tin</x:v>
      </x:c>
      <x:c r="E92" s="13" t="str">
        <x:v>Giám sát SOC</x:v>
      </x:c>
      <x:c r="F92" s="13" t="str">
        <x:v>VNPT Technology</x:v>
      </x:c>
      <x:c r="G92" s="13" t="str">
        <x:v>Thanh toán giám sát soc - Bảo mật thông tin</x:v>
      </x:c>
      <x:c r="H92" s="16" t="n">
        <x:v>100000000</x:v>
      </x:c>
      <x:c r="I92" s="16" t="n">
        <x:f>H92*10%</x:f>
        <x:v>10000000</x:v>
      </x:c>
      <x:c r="J92" s="16" t="n">
        <x:f>H92+I92</x:f>
        <x:v>110000000</x:v>
      </x:c>
      <x:c r="K92" s="13" t="str">
        <x:v>Đã duyệt</x:v>
      </x:c>
      <x:c r="L92" s="13" t="str">
        <x:v>Trung bình</x:v>
      </x:c>
      <x:c r="M92" s="13" t="str">
        <x:v>IT-DT-2026-046</x:v>
      </x:c>
    </x:row>
    <x:row r="93">
      <x:c r="A93" s="13" t="str">
        <x:v>IT-PR-2026-092</x:v>
      </x:c>
      <x:c r="B93" s="24" t="n">
        <x:v>46243</x:v>
      </x:c>
      <x:c r="C93" s="13" t="str">
        <x:v>Q3</x:v>
      </x:c>
      <x:c r="D93" s="13" t="str">
        <x:v>Phần mềm bản quyền</x:v>
      </x:c>
      <x:c r="E93" s="13" t="str">
        <x:v>Microsoft 365</x:v>
      </x:c>
      <x:c r="F93" s="13" t="str">
        <x:v>Cloud Ace</x:v>
      </x:c>
      <x:c r="G93" s="13" t="str">
        <x:v>Thanh toán microsoft 365 - Phần mềm bản quyền</x:v>
      </x:c>
      <x:c r="H93" s="16" t="n">
        <x:v>75000000</x:v>
      </x:c>
      <x:c r="I93" s="16" t="n">
        <x:f>H93*10%</x:f>
        <x:v>7500000</x:v>
      </x:c>
      <x:c r="J93" s="16" t="n">
        <x:f>H93+I93</x:f>
        <x:v>82500000</x:v>
      </x:c>
      <x:c r="K93" s="13" t="str">
        <x:v>Đã thanh toán</x:v>
      </x:c>
      <x:c r="L93" s="13" t="str">
        <x:v>Cao</x:v>
      </x:c>
      <x:c r="M93" s="13" t="str">
        <x:v>IT-DT-2026-047</x:v>
      </x:c>
    </x:row>
    <x:row r="94">
      <x:c r="A94" s="13" t="str">
        <x:v>IT-PR-2026-093</x:v>
      </x:c>
      <x:c r="B94" s="24" t="n">
        <x:v>46290</x:v>
      </x:c>
      <x:c r="C94" s="13" t="str">
        <x:v>Q3</x:v>
      </x:c>
      <x:c r="D94" s="13" t="str">
        <x:v>Hỗ trợ người dùng</x:v>
      </x:c>
      <x:c r="E94" s="13" t="str">
        <x:v>Helpdesk system</x:v>
      </x:c>
      <x:c r="F94" s="13" t="str">
        <x:v>MISA</x:v>
      </x:c>
      <x:c r="G94" s="13" t="str">
        <x:v>Thanh toán helpdesk system - Hỗ trợ người dùng</x:v>
      </x:c>
      <x:c r="H94" s="16" t="n">
        <x:v>5000000</x:v>
      </x:c>
      <x:c r="I94" s="16" t="n">
        <x:f>H94*10%</x:f>
        <x:v>500000</x:v>
      </x:c>
      <x:c r="J94" s="16" t="n">
        <x:f>H94+I94</x:f>
        <x:v>5500000</x:v>
      </x:c>
      <x:c r="K94" s="13" t="str">
        <x:v>Chờ duyệt</x:v>
      </x:c>
      <x:c r="L94" s="13" t="str">
        <x:v>Trung bình</x:v>
      </x:c>
      <x:c r="M94" s="13" t="str">
        <x:v>IT-DT-2026-097</x:v>
      </x:c>
    </x:row>
    <x:row r="95">
      <x:c r="A95" s="13" t="str">
        <x:v>IT-PR-2026-094</x:v>
      </x:c>
      <x:c r="B95" s="24" t="n">
        <x:v>46316</x:v>
      </x:c>
      <x:c r="C95" s="13" t="str">
        <x:v>Q4</x:v>
      </x:c>
      <x:c r="D95" s="13" t="str">
        <x:v>Chuyển đổi số</x:v>
      </x:c>
      <x:c r="E95" s="13" t="str">
        <x:v>Phát triển chatbot nội bộ</x:v>
      </x:c>
      <x:c r="F95" s="13" t="str">
        <x:v>VNPT Technology</x:v>
      </x:c>
      <x:c r="G95" s="13" t="str">
        <x:v>Thanh toán phát triển chatbot nội bộ - Chuyển đổi số</x:v>
      </x:c>
      <x:c r="H95" s="16" t="n">
        <x:v>50000000</x:v>
      </x:c>
      <x:c r="I95" s="16" t="n">
        <x:f>H95*10%</x:f>
        <x:v>5000000</x:v>
      </x:c>
      <x:c r="J95" s="16" t="n">
        <x:f>H95+I95</x:f>
        <x:v>55000000</x:v>
      </x:c>
      <x:c r="K95" s="13" t="str">
        <x:v>Đã thanh toán</x:v>
      </x:c>
      <x:c r="L95" s="13" t="str">
        <x:v>Trung bình</x:v>
      </x:c>
      <x:c r="M95" s="13" t="str">
        <x:v>IT-DT-2026-109</x:v>
      </x:c>
    </x:row>
    <x:row r="96">
      <x:c r="A96" s="13" t="str">
        <x:v>IT-PR-2026-095</x:v>
      </x:c>
      <x:c r="B96" s="24" t="n">
        <x:v>46343</x:v>
      </x:c>
      <x:c r="C96" s="13" t="str">
        <x:v>Q4</x:v>
      </x:c>
      <x:c r="D96" s="13" t="str">
        <x:v>LMS/SIS</x:v>
      </x:c>
      <x:c r="E96" s="13" t="str">
        <x:v>Bảo trì LMS</x:v>
      </x:c>
      <x:c r="F96" s="13" t="str">
        <x:v>CMC Telecom</x:v>
      </x:c>
      <x:c r="G96" s="13" t="str">
        <x:v>Thanh toán bảo trì lms - LMS/SIS</x:v>
      </x:c>
      <x:c r="H96" s="16" t="n">
        <x:v>100000000</x:v>
      </x:c>
      <x:c r="I96" s="16" t="n">
        <x:f>H96*10%</x:f>
        <x:v>10000000</x:v>
      </x:c>
      <x:c r="J96" s="16" t="n">
        <x:f>H96+I96</x:f>
        <x:v>110000000</x:v>
      </x:c>
      <x:c r="K96" s="13" t="str">
        <x:v>Đã duyệt</x:v>
      </x:c>
      <x:c r="L96" s="13" t="str">
        <x:v>Cao</x:v>
      </x:c>
      <x:c r="M96" s="13" t="str">
        <x:v>IT-DT-2026-099</x:v>
      </x:c>
    </x:row>
    <x:row r="97">
      <x:c r="A97" s="13" t="str">
        <x:v>IT-PR-2026-096</x:v>
      </x:c>
      <x:c r="B97" s="24" t="n">
        <x:v>46373</x:v>
      </x:c>
      <x:c r="C97" s="13" t="str">
        <x:v>Q4</x:v>
      </x:c>
      <x:c r="D97" s="13" t="str">
        <x:v>Phòng máy tính</x:v>
      </x:c>
      <x:c r="E97" s="13" t="str">
        <x:v>Máy chiếu/màn hình</x:v>
      </x:c>
      <x:c r="F97" s="13" t="str">
        <x:v>Cisco Partner</x:v>
      </x:c>
      <x:c r="G97" s="13" t="str">
        <x:v>Thanh toán máy chiếu/màn hình - Phòng máy tính</x:v>
      </x:c>
      <x:c r="H97" s="16" t="n">
        <x:v>150000000</x:v>
      </x:c>
      <x:c r="I97" s="16" t="n">
        <x:f>H97*10%</x:f>
        <x:v>15000000</x:v>
      </x:c>
      <x:c r="J97" s="16" t="n">
        <x:f>H97+I97</x:f>
        <x:v>165000000</x:v>
      </x:c>
      <x:c r="K97" s="13" t="str">
        <x:v>Đã thanh toán</x:v>
      </x:c>
      <x:c r="L97" s="13" t="str">
        <x:v>Trung bình</x:v>
      </x:c>
      <x:c r="M97" s="13" t="str">
        <x:v>IT-DT-2026-009</x:v>
      </x:c>
    </x:row>
    <x:row r="98">
      <x:c r="A98" s="13" t="str">
        <x:v>IT-PR-2026-097</x:v>
      </x:c>
      <x:c r="B98" s="24" t="n">
        <x:v>46039</x:v>
      </x:c>
      <x:c r="C98" s="13" t="str">
        <x:v>Q1</x:v>
      </x:c>
      <x:c r="D98" s="13" t="str">
        <x:v>Hạ tầng mạng</x:v>
      </x:c>
      <x:c r="E98" s="13" t="str">
        <x:v>Bảo trì hệ thống mạng</x:v>
      </x:c>
      <x:c r="F98" s="13" t="str">
        <x:v>Bkav Enterprise</x:v>
      </x:c>
      <x:c r="G98" s="13" t="str">
        <x:v>Thanh toán bảo trì hệ thống mạng - Hạ tầng mạng</x:v>
      </x:c>
      <x:c r="H98" s="16" t="n">
        <x:v>35000000</x:v>
      </x:c>
      <x:c r="I98" s="16" t="n">
        <x:f>H98*10%</x:f>
        <x:v>3500000</x:v>
      </x:c>
      <x:c r="J98" s="16" t="n">
        <x:f>H98+I98</x:f>
        <x:v>38500000</x:v>
      </x:c>
      <x:c r="K98" s="13" t="str">
        <x:v>Đã thanh toán</x:v>
      </x:c>
      <x:c r="L98" s="13" t="str">
        <x:v>Trung bình</x:v>
      </x:c>
      <x:c r="M98" s="13" t="str">
        <x:v>IT-DT-2026-084</x:v>
      </x:c>
    </x:row>
    <x:row r="99">
      <x:c r="A99" s="13" t="str">
        <x:v>IT-PR-2026-098</x:v>
      </x:c>
      <x:c r="B99" s="24" t="n">
        <x:v>46058</x:v>
      </x:c>
      <x:c r="C99" s="13" t="str">
        <x:v>Q1</x:v>
      </x:c>
      <x:c r="D99" s="13" t="str">
        <x:v>Hệ thống máy chủ</x:v>
      </x:c>
      <x:c r="E99" s="13" t="str">
        <x:v>Gia hạn bảo hành server</x:v>
      </x:c>
      <x:c r="F99" s="13" t="str">
        <x:v>Dell Technologies</x:v>
      </x:c>
      <x:c r="G99" s="13" t="str">
        <x:v>Thanh toán gia hạn bảo hành server - Hệ thống máy chủ</x:v>
      </x:c>
      <x:c r="H99" s="16" t="n">
        <x:v>35000000</x:v>
      </x:c>
      <x:c r="I99" s="16" t="n">
        <x:f>H99*10%</x:f>
        <x:v>3500000</x:v>
      </x:c>
      <x:c r="J99" s="16" t="n">
        <x:f>H99+I99</x:f>
        <x:v>38500000</x:v>
      </x:c>
      <x:c r="K99" s="13" t="str">
        <x:v>Đã thanh toán</x:v>
      </x:c>
      <x:c r="L99" s="13" t="str">
        <x:v>Cao</x:v>
      </x:c>
      <x:c r="M99" s="13" t="str">
        <x:v>IT-DT-2026-121</x:v>
      </x:c>
    </x:row>
    <x:row r="100">
      <x:c r="A100" s="13" t="str">
        <x:v>IT-PR-2026-099</x:v>
      </x:c>
      <x:c r="B100" s="24" t="n">
        <x:v>46099</x:v>
      </x:c>
      <x:c r="C100" s="13" t="str">
        <x:v>Q1</x:v>
      </x:c>
      <x:c r="D100" s="13" t="str">
        <x:v>Bảo mật thông tin</x:v>
      </x:c>
      <x:c r="E100" s="13" t="str">
        <x:v>Giám sát SOC</x:v>
      </x:c>
      <x:c r="F100" s="13" t="str">
        <x:v>FPT IS</x:v>
      </x:c>
      <x:c r="G100" s="13" t="str">
        <x:v>Thanh toán giám sát soc - Bảo mật thông tin</x:v>
      </x:c>
      <x:c r="H100" s="16" t="n">
        <x:v>12000000</x:v>
      </x:c>
      <x:c r="I100" s="16" t="n">
        <x:f>H100*10%</x:f>
        <x:v>1200000</x:v>
      </x:c>
      <x:c r="J100" s="16" t="n">
        <x:f>H100+I100</x:f>
        <x:v>13200000</x:v>
      </x:c>
      <x:c r="K100" s="13" t="str">
        <x:v>Đã thanh toán</x:v>
      </x:c>
      <x:c r="L100" s="13" t="str">
        <x:v>Trung bình</x:v>
      </x:c>
      <x:c r="M100" s="13" t="str">
        <x:v>IT-DT-2026-029</x:v>
      </x:c>
    </x:row>
    <x:row r="101">
      <x:c r="A101" s="13" t="str">
        <x:v>IT-PR-2026-100</x:v>
      </x:c>
      <x:c r="B101" s="24" t="n">
        <x:v>46120</x:v>
      </x:c>
      <x:c r="C101" s="13" t="str">
        <x:v>Q2</x:v>
      </x:c>
      <x:c r="D101" s="13" t="str">
        <x:v>Phần mềm bản quyền</x:v>
      </x:c>
      <x:c r="E101" s="13" t="str">
        <x:v>Zoom/Teams license</x:v>
      </x:c>
      <x:c r="F101" s="13" t="str">
        <x:v>Cloud Ace</x:v>
      </x:c>
      <x:c r="G101" s="13" t="str">
        <x:v>Thanh toán zoom/teams license - Phần mềm bản quyền</x:v>
      </x:c>
      <x:c r="H101" s="16" t="n">
        <x:v>12000000</x:v>
      </x:c>
      <x:c r="I101" s="16" t="n">
        <x:f>H101*10%</x:f>
        <x:v>1200000</x:v>
      </x:c>
      <x:c r="J101" s="16" t="n">
        <x:f>H101+I101</x:f>
        <x:v>13200000</x:v>
      </x:c>
      <x:c r="K101" s="13" t="str">
        <x:v>Đã thanh toán</x:v>
      </x:c>
      <x:c r="L101" s="13" t="str">
        <x:v>Trung bình</x:v>
      </x:c>
      <x:c r="M101" s="13" t="str">
        <x:v>IT-DT-2026-131</x:v>
      </x:c>
    </x:row>
    <x:row r="102">
      <x:c r="A102" s="13" t="str">
        <x:v>IT-PR-2026-101</x:v>
      </x:c>
      <x:c r="B102" s="24" t="n">
        <x:v>46151</x:v>
      </x:c>
      <x:c r="C102" s="13" t="str">
        <x:v>Q2</x:v>
      </x:c>
      <x:c r="D102" s="13" t="str">
        <x:v>Hỗ trợ người dùng</x:v>
      </x:c>
      <x:c r="E102" s="13" t="str">
        <x:v>Helpdesk system</x:v>
      </x:c>
      <x:c r="F102" s="13" t="str">
        <x:v>CMC Telecom</x:v>
      </x:c>
      <x:c r="G102" s="13" t="str">
        <x:v>Thanh toán helpdesk system - Hỗ trợ người dùng</x:v>
      </x:c>
      <x:c r="H102" s="16" t="n">
        <x:v>12000000</x:v>
      </x:c>
      <x:c r="I102" s="16" t="n">
        <x:f>H102*10%</x:f>
        <x:v>1200000</x:v>
      </x:c>
      <x:c r="J102" s="16" t="n">
        <x:f>H102+I102</x:f>
        <x:v>13200000</x:v>
      </x:c>
      <x:c r="K102" s="13" t="str">
        <x:v>Đã thanh toán</x:v>
      </x:c>
      <x:c r="L102" s="13" t="str">
        <x:v>Trung bình</x:v>
      </x:c>
      <x:c r="M102" s="13" t="str">
        <x:v>IT-DT-2026-065</x:v>
      </x:c>
    </x:row>
    <x:row r="103">
      <x:c r="A103" s="13" t="str">
        <x:v>IT-PR-2026-102</x:v>
      </x:c>
      <x:c r="B103" s="24" t="n">
        <x:v>46190</x:v>
      </x:c>
      <x:c r="C103" s="13" t="str">
        <x:v>Q2</x:v>
      </x:c>
      <x:c r="D103" s="13" t="str">
        <x:v>Chuyển đổi số</x:v>
      </x:c>
      <x:c r="E103" s="13" t="str">
        <x:v>Dashboard quản trị</x:v>
      </x:c>
      <x:c r="F103" s="13" t="str">
        <x:v>Bkav Enterprise</x:v>
      </x:c>
      <x:c r="G103" s="13" t="str">
        <x:v>Thanh toán dashboard quản trị - Chuyển đổi số</x:v>
      </x:c>
      <x:c r="H103" s="16" t="n">
        <x:v>20000000</x:v>
      </x:c>
      <x:c r="I103" s="16" t="n">
        <x:f>H103*10%</x:f>
        <x:v>2000000</x:v>
      </x:c>
      <x:c r="J103" s="16" t="n">
        <x:f>H103+I103</x:f>
        <x:v>22000000</x:v>
      </x:c>
      <x:c r="K103" s="13" t="str">
        <x:v>Đã thanh toán</x:v>
      </x:c>
      <x:c r="L103" s="13" t="str">
        <x:v>Trung bình</x:v>
      </x:c>
      <x:c r="M103" s="13" t="str">
        <x:v>IT-DT-2026-051</x:v>
      </x:c>
    </x:row>
    <x:row r="104">
      <x:c r="A104" s="13" t="str">
        <x:v>IT-PR-2026-103</x:v>
      </x:c>
      <x:c r="B104" s="24" t="n">
        <x:v>46219</x:v>
      </x:c>
      <x:c r="C104" s="13" t="str">
        <x:v>Q3</x:v>
      </x:c>
      <x:c r="D104" s="13" t="str">
        <x:v>LMS/SIS</x:v>
      </x:c>
      <x:c r="E104" s="13" t="str">
        <x:v>Tích hợp SSO</x:v>
      </x:c>
      <x:c r="F104" s="13" t="str">
        <x:v>Cloud Ace</x:v>
      </x:c>
      <x:c r="G104" s="13" t="str">
        <x:v>Thanh toán tích hợp sso - LMS/SIS</x:v>
      </x:c>
      <x:c r="H104" s="16" t="n">
        <x:v>20000000</x:v>
      </x:c>
      <x:c r="I104" s="16" t="n">
        <x:f>H104*10%</x:f>
        <x:v>2000000</x:v>
      </x:c>
      <x:c r="J104" s="16" t="n">
        <x:f>H104+I104</x:f>
        <x:v>22000000</x:v>
      </x:c>
      <x:c r="K104" s="13" t="str">
        <x:v>Chờ duyệt</x:v>
      </x:c>
      <x:c r="L104" s="13" t="str">
        <x:v>Trung bình</x:v>
      </x:c>
      <x:c r="M104" s="13" t="str">
        <x:v>IT-DT-2026-126</x:v>
      </x:c>
    </x:row>
    <x:row r="105">
      <x:c r="A105" s="13" t="str">
        <x:v>IT-PR-2026-104</x:v>
      </x:c>
      <x:c r="B105" s="24" t="n">
        <x:v>46242</x:v>
      </x:c>
      <x:c r="C105" s="13" t="str">
        <x:v>Q3</x:v>
      </x:c>
      <x:c r="D105" s="13" t="str">
        <x:v>Phòng máy tính</x:v>
      </x:c>
      <x:c r="E105" s="13" t="str">
        <x:v>Nâng cấp PC lab</x:v>
      </x:c>
      <x:c r="F105" s="13" t="str">
        <x:v>Bkav Enterprise</x:v>
      </x:c>
      <x:c r="G105" s="13" t="str">
        <x:v>Thanh toán nâng cấp pc lab - Phòng máy tính</x:v>
      </x:c>
      <x:c r="H105" s="16" t="n">
        <x:v>5000000</x:v>
      </x:c>
      <x:c r="I105" s="16" t="n">
        <x:f>H105*10%</x:f>
        <x:v>500000</x:v>
      </x:c>
      <x:c r="J105" s="16" t="n">
        <x:f>H105+I105</x:f>
        <x:v>5500000</x:v>
      </x:c>
      <x:c r="K105" s="13" t="str">
        <x:v>Đã thanh toán</x:v>
      </x:c>
      <x:c r="L105" s="13" t="str">
        <x:v>Trung bình</x:v>
      </x:c>
      <x:c r="M105" s="13" t="str">
        <x:v>IT-DT-2026-017</x:v>
      </x:c>
    </x:row>
    <x:row r="106">
      <x:c r="A106" s="13" t="str">
        <x:v>IT-PR-2026-105</x:v>
      </x:c>
      <x:c r="B106" s="24" t="n">
        <x:v>46270</x:v>
      </x:c>
      <x:c r="C106" s="13" t="str">
        <x:v>Q3</x:v>
      </x:c>
      <x:c r="D106" s="13" t="str">
        <x:v>Hạ tầng mạng</x:v>
      </x:c>
      <x:c r="E106" s="13" t="str">
        <x:v>Wi-Fi access point</x:v>
      </x:c>
      <x:c r="F106" s="13" t="str">
        <x:v>Viettel Solutions</x:v>
      </x:c>
      <x:c r="G106" s="13" t="str">
        <x:v>Thanh toán wi-fi access point - Hạ tầng mạng</x:v>
      </x:c>
      <x:c r="H106" s="16" t="n">
        <x:v>8000000</x:v>
      </x:c>
      <x:c r="I106" s="16" t="n">
        <x:f>H106*10%</x:f>
        <x:v>800000</x:v>
      </x:c>
      <x:c r="J106" s="16" t="n">
        <x:f>H106+I106</x:f>
        <x:v>8800000</x:v>
      </x:c>
      <x:c r="K106" s="13" t="str">
        <x:v>Đã duyệt</x:v>
      </x:c>
      <x:c r="L106" s="13" t="str">
        <x:v>Thấp</x:v>
      </x:c>
      <x:c r="M106" s="13" t="str">
        <x:v>IT-DT-2026-057</x:v>
      </x:c>
    </x:row>
    <x:row r="107">
      <x:c r="A107" s="13" t="str">
        <x:v>IT-PR-2026-106</x:v>
      </x:c>
      <x:c r="B107" s="24" t="n">
        <x:v>46305</x:v>
      </x:c>
      <x:c r="C107" s="13" t="str">
        <x:v>Q4</x:v>
      </x:c>
      <x:c r="D107" s="13" t="str">
        <x:v>Hệ thống máy chủ</x:v>
      </x:c>
      <x:c r="E107" s="13" t="str">
        <x:v>Máy chủ ứng dụng</x:v>
      </x:c>
      <x:c r="F107" s="13" t="str">
        <x:v>Cisco Partner</x:v>
      </x:c>
      <x:c r="G107" s="13" t="str">
        <x:v>Thanh toán máy chủ ứng dụng - Hệ thống máy chủ</x:v>
      </x:c>
      <x:c r="H107" s="16" t="n">
        <x:v>12000000</x:v>
      </x:c>
      <x:c r="I107" s="16" t="n">
        <x:f>H107*10%</x:f>
        <x:v>1200000</x:v>
      </x:c>
      <x:c r="J107" s="16" t="n">
        <x:f>H107+I107</x:f>
        <x:v>13200000</x:v>
      </x:c>
      <x:c r="K107" s="13" t="str">
        <x:v>Đã thanh toán</x:v>
      </x:c>
      <x:c r="L107" s="13" t="str">
        <x:v>Cao</x:v>
      </x:c>
      <x:c r="M107" s="13" t="str">
        <x:v>IT-DT-2026-120</x:v>
      </x:c>
    </x:row>
    <x:row r="108">
      <x:c r="A108" s="13" t="str">
        <x:v>IT-PR-2026-107</x:v>
      </x:c>
      <x:c r="B108" s="24" t="n">
        <x:v>46342</x:v>
      </x:c>
      <x:c r="C108" s="13" t="str">
        <x:v>Q4</x:v>
      </x:c>
      <x:c r="D108" s="13" t="str">
        <x:v>Bảo mật thông tin</x:v>
      </x:c>
      <x:c r="E108" s="13" t="str">
        <x:v>Phần mềm antivirus/EDR</x:v>
      </x:c>
      <x:c r="F108" s="13" t="str">
        <x:v>CMC Telecom</x:v>
      </x:c>
      <x:c r="G108" s="13" t="str">
        <x:v>Thanh toán phần mềm antivirus/edr - Bảo mật thông tin</x:v>
      </x:c>
      <x:c r="H108" s="16" t="n">
        <x:v>20000000</x:v>
      </x:c>
      <x:c r="I108" s="16" t="n">
        <x:f>H108*10%</x:f>
        <x:v>2000000</x:v>
      </x:c>
      <x:c r="J108" s="16" t="n">
        <x:f>H108+I108</x:f>
        <x:v>22000000</x:v>
      </x:c>
      <x:c r="K108" s="13" t="str">
        <x:v>Đã thanh toán</x:v>
      </x:c>
      <x:c r="L108" s="13" t="str">
        <x:v>Cao</x:v>
      </x:c>
      <x:c r="M108" s="13" t="str">
        <x:v>IT-DT-2026-051</x:v>
      </x:c>
    </x:row>
    <x:row r="109">
      <x:c r="A109" s="13" t="str">
        <x:v>IT-PR-2026-108</x:v>
      </x:c>
      <x:c r="B109" s="24" t="n">
        <x:v>46374</x:v>
      </x:c>
      <x:c r="C109" s="13" t="str">
        <x:v>Q4</x:v>
      </x:c>
      <x:c r="D109" s="13" t="str">
        <x:v>Phần mềm bản quyền</x:v>
      </x:c>
      <x:c r="E109" s="13" t="str">
        <x:v>Phần mềm thống kê/dữ liệu</x:v>
      </x:c>
      <x:c r="F109" s="13" t="str">
        <x:v>Cisco Partner</x:v>
      </x:c>
      <x:c r="G109" s="13" t="str">
        <x:v>Thanh toán phần mềm thống kê/dữ liệu - Phần mềm bản quyền</x:v>
      </x:c>
      <x:c r="H109" s="16" t="n">
        <x:v>5000000</x:v>
      </x:c>
      <x:c r="I109" s="16" t="n">
        <x:f>H109*10%</x:f>
        <x:v>500000</x:v>
      </x:c>
      <x:c r="J109" s="16" t="n">
        <x:f>H109+I109</x:f>
        <x:v>5500000</x:v>
      </x:c>
      <x:c r="K109" s="13" t="str">
        <x:v>Đã thanh toán</x:v>
      </x:c>
      <x:c r="L109" s="13" t="str">
        <x:v>Trung bình</x:v>
      </x:c>
      <x:c r="M109" s="13" t="str">
        <x:v>IT-DT-2026-072</x:v>
      </x:c>
    </x:row>
    <x:row r="110">
      <x:c r="A110" s="13" t="str">
        <x:v>IT-PR-2026-109</x:v>
      </x:c>
      <x:c r="B110" s="24" t="n">
        <x:v>46044</x:v>
      </x:c>
      <x:c r="C110" s="13" t="str">
        <x:v>Q1</x:v>
      </x:c>
      <x:c r="D110" s="13" t="str">
        <x:v>Hỗ trợ người dùng</x:v>
      </x:c>
      <x:c r="E110" s="13" t="str">
        <x:v>Thiết bị ngoại vi</x:v>
      </x:c>
      <x:c r="F110" s="13" t="str">
        <x:v>Sao Bắc Đẩu</x:v>
      </x:c>
      <x:c r="G110" s="13" t="str">
        <x:v>Thanh toán thiết bị ngoại vi - Hỗ trợ người dùng</x:v>
      </x:c>
      <x:c r="H110" s="16" t="n">
        <x:v>20000000</x:v>
      </x:c>
      <x:c r="I110" s="16" t="n">
        <x:f>H110*10%</x:f>
        <x:v>2000000</x:v>
      </x:c>
      <x:c r="J110" s="16" t="n">
        <x:f>H110+I110</x:f>
        <x:v>22000000</x:v>
      </x:c>
      <x:c r="K110" s="13" t="str">
        <x:v>Chờ duyệt</x:v>
      </x:c>
      <x:c r="L110" s="13" t="str">
        <x:v>Cao</x:v>
      </x:c>
      <x:c r="M110" s="13" t="str">
        <x:v>IT-DT-2026-149</x:v>
      </x:c>
    </x:row>
    <x:row r="111">
      <x:c r="A111" s="13" t="str">
        <x:v>IT-PR-2026-110</x:v>
      </x:c>
      <x:c r="B111" s="24" t="n">
        <x:v>46068</x:v>
      </x:c>
      <x:c r="C111" s="13" t="str">
        <x:v>Q1</x:v>
      </x:c>
      <x:c r="D111" s="13" t="str">
        <x:v>Chuyển đổi số</x:v>
      </x:c>
      <x:c r="E111" s="13" t="str">
        <x:v>Phát triển chatbot nội bộ</x:v>
      </x:c>
      <x:c r="F111" s="13" t="str">
        <x:v>Viettel Solutions</x:v>
      </x:c>
      <x:c r="G111" s="13" t="str">
        <x:v>Thanh toán phát triển chatbot nội bộ - Chuyển đổi số</x:v>
      </x:c>
      <x:c r="H111" s="16" t="n">
        <x:v>35000000</x:v>
      </x:c>
      <x:c r="I111" s="16" t="n">
        <x:f>H111*10%</x:f>
        <x:v>3500000</x:v>
      </x:c>
      <x:c r="J111" s="16" t="n">
        <x:f>H111+I111</x:f>
        <x:v>38500000</x:v>
      </x:c>
      <x:c r="K111" s="13" t="str">
        <x:v>Chờ duyệt</x:v>
      </x:c>
      <x:c r="L111" s="13" t="str">
        <x:v>Thấp</x:v>
      </x:c>
      <x:c r="M111" s="13" t="str">
        <x:v>IT-DT-2026-092</x:v>
      </x:c>
    </x:row>
    <x:row r="112">
      <x:c r="A112" s="13" t="str">
        <x:v>IT-PR-2026-111</x:v>
      </x:c>
      <x:c r="B112" s="24" t="n">
        <x:v>46091</x:v>
      </x:c>
      <x:c r="C112" s="13" t="str">
        <x:v>Q1</x:v>
      </x:c>
      <x:c r="D112" s="13" t="str">
        <x:v>LMS/SIS</x:v>
      </x:c>
      <x:c r="E112" s="13" t="str">
        <x:v>Nâng cấp cổng sinh viên</x:v>
      </x:c>
      <x:c r="F112" s="13" t="str">
        <x:v>FPT IS</x:v>
      </x:c>
      <x:c r="G112" s="13" t="str">
        <x:v>Thanh toán nâng cấp cổng sinh viên - LMS/SIS</x:v>
      </x:c>
      <x:c r="H112" s="16" t="n">
        <x:v>8000000</x:v>
      </x:c>
      <x:c r="I112" s="16" t="n">
        <x:f>H112*10%</x:f>
        <x:v>800000</x:v>
      </x:c>
      <x:c r="J112" s="16" t="n">
        <x:f>H112+I112</x:f>
        <x:v>8800000</x:v>
      </x:c>
      <x:c r="K112" s="13" t="str">
        <x:v>Đã thanh toán</x:v>
      </x:c>
      <x:c r="L112" s="13" t="str">
        <x:v>Trung bình</x:v>
      </x:c>
      <x:c r="M112" s="13" t="str">
        <x:v>IT-DT-2026-093</x:v>
      </x:c>
    </x:row>
    <x:row r="113">
      <x:c r="A113" s="13" t="str">
        <x:v>IT-PR-2026-112</x:v>
      </x:c>
      <x:c r="B113" s="24" t="n">
        <x:v>46122</x:v>
      </x:c>
      <x:c r="C113" s="13" t="str">
        <x:v>Q2</x:v>
      </x:c>
      <x:c r="D113" s="13" t="str">
        <x:v>Phòng máy tính</x:v>
      </x:c>
      <x:c r="E113" s="13" t="str">
        <x:v>Bảo trì phòng lab</x:v>
      </x:c>
      <x:c r="F113" s="13" t="str">
        <x:v>VNPT Technology</x:v>
      </x:c>
      <x:c r="G113" s="13" t="str">
        <x:v>Thanh toán bảo trì phòng lab - Phòng máy tính</x:v>
      </x:c>
      <x:c r="H113" s="16" t="n">
        <x:v>12000000</x:v>
      </x:c>
      <x:c r="I113" s="16" t="n">
        <x:f>H113*10%</x:f>
        <x:v>1200000</x:v>
      </x:c>
      <x:c r="J113" s="16" t="n">
        <x:f>H113+I113</x:f>
        <x:v>13200000</x:v>
      </x:c>
      <x:c r="K113" s="13" t="str">
        <x:v>Chờ duyệt</x:v>
      </x:c>
      <x:c r="L113" s="13" t="str">
        <x:v>Cao</x:v>
      </x:c>
      <x:c r="M113" s="13" t="str">
        <x:v>IT-DT-2026-096</x:v>
      </x:c>
    </x:row>
    <x:row r="114">
      <x:c r="A114" s="13" t="str">
        <x:v>IT-PR-2026-113</x:v>
      </x:c>
      <x:c r="B114" s="24" t="n">
        <x:v>46162</x:v>
      </x:c>
      <x:c r="C114" s="13" t="str">
        <x:v>Q2</x:v>
      </x:c>
      <x:c r="D114" s="13" t="str">
        <x:v>Hạ tầng mạng</x:v>
      </x:c>
      <x:c r="E114" s="13" t="str">
        <x:v>Bảo trì hệ thống mạng</x:v>
      </x:c>
      <x:c r="F114" s="13" t="str">
        <x:v>Microsoft Vietnam</x:v>
      </x:c>
      <x:c r="G114" s="13" t="str">
        <x:v>Thanh toán bảo trì hệ thống mạng - Hạ tầng mạng</x:v>
      </x:c>
      <x:c r="H114" s="16" t="n">
        <x:v>100000000</x:v>
      </x:c>
      <x:c r="I114" s="16" t="n">
        <x:f>H114*10%</x:f>
        <x:v>10000000</x:v>
      </x:c>
      <x:c r="J114" s="16" t="n">
        <x:f>H114+I114</x:f>
        <x:v>110000000</x:v>
      </x:c>
      <x:c r="K114" s="13" t="str">
        <x:v>Chờ duyệt</x:v>
      </x:c>
      <x:c r="L114" s="13" t="str">
        <x:v>Cao</x:v>
      </x:c>
      <x:c r="M114" s="13" t="str">
        <x:v>IT-DT-2026-025</x:v>
      </x:c>
    </x:row>
    <x:row r="115">
      <x:c r="A115" s="13" t="str">
        <x:v>IT-PR-2026-114</x:v>
      </x:c>
      <x:c r="B115" s="24" t="n">
        <x:v>46185</x:v>
      </x:c>
      <x:c r="C115" s="13" t="str">
        <x:v>Q2</x:v>
      </x:c>
      <x:c r="D115" s="13" t="str">
        <x:v>Hệ thống máy chủ</x:v>
      </x:c>
      <x:c r="E115" s="13" t="str">
        <x:v>Gia hạn bảo hành server</x:v>
      </x:c>
      <x:c r="F115" s="13" t="str">
        <x:v>VNPT Technology</x:v>
      </x:c>
      <x:c r="G115" s="13" t="str">
        <x:v>Thanh toán gia hạn bảo hành server - Hệ thống máy chủ</x:v>
      </x:c>
      <x:c r="H115" s="16" t="n">
        <x:v>100000000</x:v>
      </x:c>
      <x:c r="I115" s="16" t="n">
        <x:f>H115*10%</x:f>
        <x:v>10000000</x:v>
      </x:c>
      <x:c r="J115" s="16" t="n">
        <x:f>H115+I115</x:f>
        <x:v>110000000</x:v>
      </x:c>
      <x:c r="K115" s="13" t="str">
        <x:v>Đã thanh toán</x:v>
      </x:c>
      <x:c r="L115" s="13" t="str">
        <x:v>Cao</x:v>
      </x:c>
      <x:c r="M115" s="13" t="str">
        <x:v>IT-DT-2026-074</x:v>
      </x:c>
    </x:row>
    <x:row r="116">
      <x:c r="A116" s="13" t="str">
        <x:v>IT-PR-2026-115</x:v>
      </x:c>
      <x:c r="B116" s="24" t="n">
        <x:v>46206</x:v>
      </x:c>
      <x:c r="C116" s="13" t="str">
        <x:v>Q3</x:v>
      </x:c>
      <x:c r="D116" s="13" t="str">
        <x:v>Bảo mật thông tin</x:v>
      </x:c>
      <x:c r="E116" s="13" t="str">
        <x:v>Giám sát SOC</x:v>
      </x:c>
      <x:c r="F116" s="13" t="str">
        <x:v>VNPT Technology</x:v>
      </x:c>
      <x:c r="G116" s="13" t="str">
        <x:v>Thanh toán giám sát soc - Bảo mật thông tin</x:v>
      </x:c>
      <x:c r="H116" s="16" t="n">
        <x:v>100000000</x:v>
      </x:c>
      <x:c r="I116" s="16" t="n">
        <x:f>H116*10%</x:f>
        <x:v>10000000</x:v>
      </x:c>
      <x:c r="J116" s="16" t="n">
        <x:f>H116+I116</x:f>
        <x:v>110000000</x:v>
      </x:c>
      <x:c r="K116" s="13" t="str">
        <x:v>Đã duyệt</x:v>
      </x:c>
      <x:c r="L116" s="13" t="str">
        <x:v>Trung bình</x:v>
      </x:c>
      <x:c r="M116" s="13" t="str">
        <x:v>IT-DT-2026-057</x:v>
      </x:c>
    </x:row>
    <x:row r="117">
      <x:c r="A117" s="13" t="str">
        <x:v>IT-PR-2026-116</x:v>
      </x:c>
      <x:c r="B117" s="24" t="n">
        <x:v>46249</x:v>
      </x:c>
      <x:c r="C117" s="13" t="str">
        <x:v>Q3</x:v>
      </x:c>
      <x:c r="D117" s="13" t="str">
        <x:v>Phần mềm bản quyền</x:v>
      </x:c>
      <x:c r="E117" s="13" t="str">
        <x:v>Microsoft 365</x:v>
      </x:c>
      <x:c r="F117" s="13" t="str">
        <x:v>Dell Technologies</x:v>
      </x:c>
      <x:c r="G117" s="13" t="str">
        <x:v>Thanh toán microsoft 365 - Phần mềm bản quyền</x:v>
      </x:c>
      <x:c r="H117" s="16" t="n">
        <x:v>75000000</x:v>
      </x:c>
      <x:c r="I117" s="16" t="n">
        <x:f>H117*10%</x:f>
        <x:v>7500000</x:v>
      </x:c>
      <x:c r="J117" s="16" t="n">
        <x:f>H117+I117</x:f>
        <x:v>82500000</x:v>
      </x:c>
      <x:c r="K117" s="13" t="str">
        <x:v>Đã duyệt</x:v>
      </x:c>
      <x:c r="L117" s="13" t="str">
        <x:v>Trung bình</x:v>
      </x:c>
      <x:c r="M117" s="13" t="str">
        <x:v>IT-DT-2026-069</x:v>
      </x:c>
    </x:row>
    <x:row r="118">
      <x:c r="A118" s="13" t="str">
        <x:v>IT-PR-2026-117</x:v>
      </x:c>
      <x:c r="B118" s="24" t="n">
        <x:v>46275</x:v>
      </x:c>
      <x:c r="C118" s="13" t="str">
        <x:v>Q3</x:v>
      </x:c>
      <x:c r="D118" s="13" t="str">
        <x:v>Hỗ trợ người dùng</x:v>
      </x:c>
      <x:c r="E118" s="13" t="str">
        <x:v>Máy tính cho cán bộ</x:v>
      </x:c>
      <x:c r="F118" s="13" t="str">
        <x:v>Cloud Ace</x:v>
      </x:c>
      <x:c r="G118" s="13" t="str">
        <x:v>Thanh toán máy tính cho cán bộ - Hỗ trợ người dùng</x:v>
      </x:c>
      <x:c r="H118" s="16" t="n">
        <x:v>20000000</x:v>
      </x:c>
      <x:c r="I118" s="16" t="n">
        <x:f>H118*10%</x:f>
        <x:v>2000000</x:v>
      </x:c>
      <x:c r="J118" s="16" t="n">
        <x:f>H118+I118</x:f>
        <x:v>22000000</x:v>
      </x:c>
      <x:c r="K118" s="13" t="str">
        <x:v>Nháp</x:v>
      </x:c>
      <x:c r="L118" s="13" t="str">
        <x:v>Cao</x:v>
      </x:c>
      <x:c r="M118" s="13" t="str">
        <x:v>IT-DT-2026-065</x:v>
      </x:c>
    </x:row>
    <x:row r="119">
      <x:c r="A119" s="13" t="str">
        <x:v>IT-PR-2026-118</x:v>
      </x:c>
      <x:c r="B119" s="24" t="n">
        <x:v>46308</x:v>
      </x:c>
      <x:c r="C119" s="13" t="str">
        <x:v>Q4</x:v>
      </x:c>
      <x:c r="D119" s="13" t="str">
        <x:v>Chuyển đổi số</x:v>
      </x:c>
      <x:c r="E119" s="13" t="str">
        <x:v>Tự động hóa quy trình</x:v>
      </x:c>
      <x:c r="F119" s="13" t="str">
        <x:v>Microsoft Vietnam</x:v>
      </x:c>
      <x:c r="G119" s="13" t="str">
        <x:v>Thanh toán tự động hóa quy trình - Chuyển đổi số</x:v>
      </x:c>
      <x:c r="H119" s="16" t="n">
        <x:v>50000000</x:v>
      </x:c>
      <x:c r="I119" s="16" t="n">
        <x:f>H119*10%</x:f>
        <x:v>5000000</x:v>
      </x:c>
      <x:c r="J119" s="16" t="n">
        <x:f>H119+I119</x:f>
        <x:v>55000000</x:v>
      </x:c>
      <x:c r="K119" s="13" t="str">
        <x:v>Chờ duyệt</x:v>
      </x:c>
      <x:c r="L119" s="13" t="str">
        <x:v>Trung bình</x:v>
      </x:c>
      <x:c r="M119" s="13" t="str">
        <x:v>IT-DT-2026-027</x:v>
      </x:c>
    </x:row>
    <x:row r="120">
      <x:c r="A120" s="13" t="str">
        <x:v>IT-PR-2026-119</x:v>
      </x:c>
      <x:c r="B120" s="24" t="n">
        <x:v>46344</x:v>
      </x:c>
      <x:c r="C120" s="13" t="str">
        <x:v>Q4</x:v>
      </x:c>
      <x:c r="D120" s="13" t="str">
        <x:v>LMS/SIS</x:v>
      </x:c>
      <x:c r="E120" s="13" t="str">
        <x:v>Bảo trì LMS</x:v>
      </x:c>
      <x:c r="F120" s="13" t="str">
        <x:v>Bkav Enterprise</x:v>
      </x:c>
      <x:c r="G120" s="13" t="str">
        <x:v>Thanh toán bảo trì lms - LMS/SIS</x:v>
      </x:c>
      <x:c r="H120" s="16" t="n">
        <x:v>20000000</x:v>
      </x:c>
      <x:c r="I120" s="16" t="n">
        <x:f>H120*10%</x:f>
        <x:v>2000000</x:v>
      </x:c>
      <x:c r="J120" s="16" t="n">
        <x:f>H120+I120</x:f>
        <x:v>22000000</x:v>
      </x:c>
      <x:c r="K120" s="13" t="str">
        <x:v>Chờ duyệt</x:v>
      </x:c>
      <x:c r="L120" s="13" t="str">
        <x:v>Cao</x:v>
      </x:c>
      <x:c r="M120" s="13" t="str">
        <x:v>IT-DT-2026-096</x:v>
      </x:c>
    </x:row>
    <x:row r="121">
      <x:c r="A121" s="13" t="str">
        <x:v>IT-PR-2026-120</x:v>
      </x:c>
      <x:c r="B121" s="24" t="n">
        <x:v>46357</x:v>
      </x:c>
      <x:c r="C121" s="13" t="str">
        <x:v>Q4</x:v>
      </x:c>
      <x:c r="D121" s="13" t="str">
        <x:v>Phòng máy tính</x:v>
      </x:c>
      <x:c r="E121" s="13" t="str">
        <x:v>Thiết bị âm thanh</x:v>
      </x:c>
      <x:c r="F121" s="13" t="str">
        <x:v>FPT IS</x:v>
      </x:c>
      <x:c r="G121" s="13" t="str">
        <x:v>Thanh toán thiết bị âm thanh - Phòng máy tính</x:v>
      </x:c>
      <x:c r="H121" s="16" t="n">
        <x:v>12000000</x:v>
      </x:c>
      <x:c r="I121" s="16" t="n">
        <x:f>H121*10%</x:f>
        <x:v>1200000</x:v>
      </x:c>
      <x:c r="J121" s="16" t="n">
        <x:f>H121+I121</x:f>
        <x:v>13200000</x:v>
      </x:c>
      <x:c r="K121" s="13" t="str">
        <x:v>Đã duyệt</x:v>
      </x:c>
      <x:c r="L121" s="13" t="str">
        <x:v>Cao</x:v>
      </x:c>
      <x:c r="M121" s="13" t="str">
        <x:v>IT-DT-2026-119</x:v>
      </x:c>
    </x:row>
    <x:row r="122">
      <x:c r="A122" s="13" t="str">
        <x:v>IT-PR-2026-121</x:v>
      </x:c>
      <x:c r="B122" s="24" t="n">
        <x:v>46039</x:v>
      </x:c>
      <x:c r="C122" s="13" t="str">
        <x:v>Q1</x:v>
      </x:c>
      <x:c r="D122" s="13" t="str">
        <x:v>Hạ tầng mạng</x:v>
      </x:c>
      <x:c r="E122" s="13" t="str">
        <x:v>Wi-Fi access point</x:v>
      </x:c>
      <x:c r="F122" s="13" t="str">
        <x:v>Bkav Enterprise</x:v>
      </x:c>
      <x:c r="G122" s="13" t="str">
        <x:v>Thanh toán wi-fi access point - Hạ tầng mạng</x:v>
      </x:c>
      <x:c r="H122" s="16" t="n">
        <x:v>5000000</x:v>
      </x:c>
      <x:c r="I122" s="16" t="n">
        <x:f>H122*10%</x:f>
        <x:v>500000</x:v>
      </x:c>
      <x:c r="J122" s="16" t="n">
        <x:f>H122+I122</x:f>
        <x:v>5500000</x:v>
      </x:c>
      <x:c r="K122" s="13" t="str">
        <x:v>Từ chối</x:v>
      </x:c>
      <x:c r="L122" s="13" t="str">
        <x:v>Thấp</x:v>
      </x:c>
      <x:c r="M122" s="13" t="str">
        <x:v>IT-DT-2026-102</x:v>
      </x:c>
    </x:row>
    <x:row r="123">
      <x:c r="A123" s="13" t="str">
        <x:v>IT-PR-2026-122</x:v>
      </x:c>
      <x:c r="B123" s="24" t="n">
        <x:v>46067</x:v>
      </x:c>
      <x:c r="C123" s="13" t="str">
        <x:v>Q1</x:v>
      </x:c>
      <x:c r="D123" s="13" t="str">
        <x:v>Hệ thống máy chủ</x:v>
      </x:c>
      <x:c r="E123" s="13" t="str">
        <x:v>Lưu trữ NAS/SAN</x:v>
      </x:c>
      <x:c r="F123" s="13" t="str">
        <x:v>Cloud Ace</x:v>
      </x:c>
      <x:c r="G123" s="13" t="str">
        <x:v>Thanh toán lưu trữ nas/san - Hệ thống máy chủ</x:v>
      </x:c>
      <x:c r="H123" s="16" t="n">
        <x:v>150000000</x:v>
      </x:c>
      <x:c r="I123" s="16" t="n">
        <x:f>H123*10%</x:f>
        <x:v>15000000</x:v>
      </x:c>
      <x:c r="J123" s="16" t="n">
        <x:f>H123+I123</x:f>
        <x:v>165000000</x:v>
      </x:c>
      <x:c r="K123" s="13" t="str">
        <x:v>Đã thanh toán</x:v>
      </x:c>
      <x:c r="L123" s="13" t="str">
        <x:v>Thấp</x:v>
      </x:c>
      <x:c r="M123" s="13" t="str">
        <x:v>IT-DT-2026-018</x:v>
      </x:c>
    </x:row>
    <x:row r="124">
      <x:c r="A124" s="13" t="str">
        <x:v>IT-PR-2026-123</x:v>
      </x:c>
      <x:c r="B124" s="24" t="n">
        <x:v>46096</x:v>
      </x:c>
      <x:c r="C124" s="13" t="str">
        <x:v>Q1</x:v>
      </x:c>
      <x:c r="D124" s="13" t="str">
        <x:v>Bảo mật thông tin</x:v>
      </x:c>
      <x:c r="E124" s="13" t="str">
        <x:v>Giám sát SOC</x:v>
      </x:c>
      <x:c r="F124" s="13" t="str">
        <x:v>Cloud Ace</x:v>
      </x:c>
      <x:c r="G124" s="13" t="str">
        <x:v>Thanh toán giám sát soc - Bảo mật thông tin</x:v>
      </x:c>
      <x:c r="H124" s="16" t="n">
        <x:v>20000000</x:v>
      </x:c>
      <x:c r="I124" s="16" t="n">
        <x:f>H124*10%</x:f>
        <x:v>2000000</x:v>
      </x:c>
      <x:c r="J124" s="16" t="n">
        <x:f>H124+I124</x:f>
        <x:v>22000000</x:v>
      </x:c>
      <x:c r="K124" s="13" t="str">
        <x:v>Đã duyệt</x:v>
      </x:c>
      <x:c r="L124" s="13" t="str">
        <x:v>Trung bình</x:v>
      </x:c>
      <x:c r="M124" s="13" t="str">
        <x:v>IT-DT-2026-128</x:v>
      </x:c>
    </x:row>
    <x:row r="125">
      <x:c r="A125" s="13" t="str">
        <x:v>IT-PR-2026-124</x:v>
      </x:c>
      <x:c r="B125" s="24" t="n">
        <x:v>46124</x:v>
      </x:c>
      <x:c r="C125" s="13" t="str">
        <x:v>Q2</x:v>
      </x:c>
      <x:c r="D125" s="13" t="str">
        <x:v>Phần mềm bản quyền</x:v>
      </x:c>
      <x:c r="E125" s="13" t="str">
        <x:v>Zoom/Teams license</x:v>
      </x:c>
      <x:c r="F125" s="13" t="str">
        <x:v>MISA</x:v>
      </x:c>
      <x:c r="G125" s="13" t="str">
        <x:v>Thanh toán zoom/teams license - Phần mềm bản quyền</x:v>
      </x:c>
      <x:c r="H125" s="16" t="n">
        <x:v>75000000</x:v>
      </x:c>
      <x:c r="I125" s="16" t="n">
        <x:f>H125*10%</x:f>
        <x:v>7500000</x:v>
      </x:c>
      <x:c r="J125" s="16" t="n">
        <x:f>H125+I125</x:f>
        <x:v>82500000</x:v>
      </x:c>
      <x:c r="K125" s="13" t="str">
        <x:v>Chờ duyệt</x:v>
      </x:c>
      <x:c r="L125" s="13" t="str">
        <x:v>Trung bình</x:v>
      </x:c>
      <x:c r="M125" s="13" t="str">
        <x:v>IT-DT-2026-001</x:v>
      </x:c>
    </x:row>
    <x:row r="126">
      <x:c r="A126" s="13" t="str">
        <x:v>IT-PR-2026-125</x:v>
      </x:c>
      <x:c r="B126" s="24" t="n">
        <x:v>46148</x:v>
      </x:c>
      <x:c r="C126" s="13" t="str">
        <x:v>Q2</x:v>
      </x:c>
      <x:c r="D126" s="13" t="str">
        <x:v>Hỗ trợ người dùng</x:v>
      </x:c>
      <x:c r="E126" s="13" t="str">
        <x:v>Helpdesk system</x:v>
      </x:c>
      <x:c r="F126" s="13" t="str">
        <x:v>Cloud Ace</x:v>
      </x:c>
      <x:c r="G126" s="13" t="str">
        <x:v>Thanh toán helpdesk system - Hỗ trợ người dùng</x:v>
      </x:c>
      <x:c r="H126" s="16" t="n">
        <x:v>100000000</x:v>
      </x:c>
      <x:c r="I126" s="16" t="n">
        <x:f>H126*10%</x:f>
        <x:v>10000000</x:v>
      </x:c>
      <x:c r="J126" s="16" t="n">
        <x:f>H126+I126</x:f>
        <x:v>110000000</x:v>
      </x:c>
      <x:c r="K126" s="13" t="str">
        <x:v>Đã thanh toán</x:v>
      </x:c>
      <x:c r="L126" s="13" t="str">
        <x:v>Cao</x:v>
      </x:c>
      <x:c r="M126" s="13" t="str">
        <x:v>IT-DT-2026-120</x:v>
      </x:c>
    </x:row>
    <x:row r="127">
      <x:c r="A127" s="13" t="str">
        <x:v>IT-PR-2026-126</x:v>
      </x:c>
      <x:c r="B127" s="24" t="n">
        <x:v>46178</x:v>
      </x:c>
      <x:c r="C127" s="13" t="str">
        <x:v>Q2</x:v>
      </x:c>
      <x:c r="D127" s="13" t="str">
        <x:v>Chuyển đổi số</x:v>
      </x:c>
      <x:c r="E127" s="13" t="str">
        <x:v>Phát triển chatbot nội bộ</x:v>
      </x:c>
      <x:c r="F127" s="13" t="str">
        <x:v>Dell Technologies</x:v>
      </x:c>
      <x:c r="G127" s="13" t="str">
        <x:v>Thanh toán phát triển chatbot nội bộ - Chuyển đổi số</x:v>
      </x:c>
      <x:c r="H127" s="16" t="n">
        <x:v>50000000</x:v>
      </x:c>
      <x:c r="I127" s="16" t="n">
        <x:f>H127*10%</x:f>
        <x:v>5000000</x:v>
      </x:c>
      <x:c r="J127" s="16" t="n">
        <x:f>H127+I127</x:f>
        <x:v>55000000</x:v>
      </x:c>
      <x:c r="K127" s="13" t="str">
        <x:v>Đã thanh toán</x:v>
      </x:c>
      <x:c r="L127" s="13" t="str">
        <x:v>Trung bình</x:v>
      </x:c>
      <x:c r="M127" s="13" t="str">
        <x:v>IT-DT-2026-007</x:v>
      </x:c>
    </x:row>
    <x:row r="128">
      <x:c r="A128" s="13" t="str">
        <x:v>IT-PR-2026-127</x:v>
      </x:c>
      <x:c r="B128" s="24" t="n">
        <x:v>46207</x:v>
      </x:c>
      <x:c r="C128" s="13" t="str">
        <x:v>Q3</x:v>
      </x:c>
      <x:c r="D128" s="13" t="str">
        <x:v>LMS/SIS</x:v>
      </x:c>
      <x:c r="E128" s="13" t="str">
        <x:v>Tích hợp SSO</x:v>
      </x:c>
      <x:c r="F128" s="13" t="str">
        <x:v>Cisco Partner</x:v>
      </x:c>
      <x:c r="G128" s="13" t="str">
        <x:v>Thanh toán tích hợp sso - LMS/SIS</x:v>
      </x:c>
      <x:c r="H128" s="16" t="n">
        <x:v>150000000</x:v>
      </x:c>
      <x:c r="I128" s="16" t="n">
        <x:f>H128*10%</x:f>
        <x:v>15000000</x:v>
      </x:c>
      <x:c r="J128" s="16" t="n">
        <x:f>H128+I128</x:f>
        <x:v>165000000</x:v>
      </x:c>
      <x:c r="K128" s="13" t="str">
        <x:v>Đã thanh toán</x:v>
      </x:c>
      <x:c r="L128" s="13" t="str">
        <x:v>Thấp</x:v>
      </x:c>
      <x:c r="M128" s="13" t="str">
        <x:v>IT-DT-2026-025</x:v>
      </x:c>
    </x:row>
    <x:row r="129">
      <x:c r="A129" s="13" t="str">
        <x:v>IT-PR-2026-128</x:v>
      </x:c>
      <x:c r="B129" s="24" t="n">
        <x:v>46244</x:v>
      </x:c>
      <x:c r="C129" s="13" t="str">
        <x:v>Q3</x:v>
      </x:c>
      <x:c r="D129" s="13" t="str">
        <x:v>Phòng máy tính</x:v>
      </x:c>
      <x:c r="E129" s="13" t="str">
        <x:v>Nâng cấp PC lab</x:v>
      </x:c>
      <x:c r="F129" s="13" t="str">
        <x:v>CMC Telecom</x:v>
      </x:c>
      <x:c r="G129" s="13" t="str">
        <x:v>Thanh toán nâng cấp pc lab - Phòng máy tính</x:v>
      </x:c>
      <x:c r="H129" s="16" t="n">
        <x:v>20000000</x:v>
      </x:c>
      <x:c r="I129" s="16" t="n">
        <x:f>H129*10%</x:f>
        <x:v>2000000</x:v>
      </x:c>
      <x:c r="J129" s="16" t="n">
        <x:f>H129+I129</x:f>
        <x:v>22000000</x:v>
      </x:c>
      <x:c r="K129" s="13" t="str">
        <x:v>Chờ duyệt</x:v>
      </x:c>
      <x:c r="L129" s="13" t="str">
        <x:v>Cao</x:v>
      </x:c>
      <x:c r="M129" s="13" t="str">
        <x:v>IT-DT-2026-132</x:v>
      </x:c>
    </x:row>
    <x:row r="130">
      <x:c r="A130" s="13" t="str">
        <x:v>IT-PR-2026-129</x:v>
      </x:c>
      <x:c r="B130" s="24" t="n">
        <x:v>46275</x:v>
      </x:c>
      <x:c r="C130" s="13" t="str">
        <x:v>Q3</x:v>
      </x:c>
      <x:c r="D130" s="13" t="str">
        <x:v>Hạ tầng mạng</x:v>
      </x:c>
      <x:c r="E130" s="13" t="str">
        <x:v>Wi-Fi access point</x:v>
      </x:c>
      <x:c r="F130" s="13" t="str">
        <x:v>Dell Technologies</x:v>
      </x:c>
      <x:c r="G130" s="13" t="str">
        <x:v>Thanh toán wi-fi access point - Hạ tầng mạng</x:v>
      </x:c>
      <x:c r="H130" s="16" t="n">
        <x:v>20000000</x:v>
      </x:c>
      <x:c r="I130" s="16" t="n">
        <x:f>H130*10%</x:f>
        <x:v>2000000</x:v>
      </x:c>
      <x:c r="J130" s="16" t="n">
        <x:f>H130+I130</x:f>
        <x:v>22000000</x:v>
      </x:c>
      <x:c r="K130" s="13" t="str">
        <x:v>Đã duyệt</x:v>
      </x:c>
      <x:c r="L130" s="13" t="str">
        <x:v>Cao</x:v>
      </x:c>
      <x:c r="M130" s="13" t="str">
        <x:v>IT-DT-2026-014</x:v>
      </x:c>
    </x:row>
    <x:row r="131">
      <x:c r="A131" s="13" t="str">
        <x:v>IT-PR-2026-130</x:v>
      </x:c>
      <x:c r="B131" s="24" t="n">
        <x:v>46302</x:v>
      </x:c>
      <x:c r="C131" s="13" t="str">
        <x:v>Q4</x:v>
      </x:c>
      <x:c r="D131" s="13" t="str">
        <x:v>Hệ thống máy chủ</x:v>
      </x:c>
      <x:c r="E131" s="13" t="str">
        <x:v>Gia hạn bảo hành server</x:v>
      </x:c>
      <x:c r="F131" s="13" t="str">
        <x:v>Viettel Solutions</x:v>
      </x:c>
      <x:c r="G131" s="13" t="str">
        <x:v>Thanh toán gia hạn bảo hành server - Hệ thống máy chủ</x:v>
      </x:c>
      <x:c r="H131" s="16" t="n">
        <x:v>150000000</x:v>
      </x:c>
      <x:c r="I131" s="16" t="n">
        <x:f>H131*10%</x:f>
        <x:v>15000000</x:v>
      </x:c>
      <x:c r="J131" s="16" t="n">
        <x:f>H131+I131</x:f>
        <x:v>165000000</x:v>
      </x:c>
      <x:c r="K131" s="13" t="str">
        <x:v>Chờ duyệt</x:v>
      </x:c>
      <x:c r="L131" s="13" t="str">
        <x:v>Cao</x:v>
      </x:c>
      <x:c r="M131" s="13" t="str">
        <x:v>IT-DT-2026-027</x:v>
      </x:c>
    </x:row>
    <x:row r="132">
      <x:c r="A132" s="13" t="str">
        <x:v>IT-PR-2026-131</x:v>
      </x:c>
      <x:c r="B132" s="24" t="n">
        <x:v>46343</x:v>
      </x:c>
      <x:c r="C132" s="13" t="str">
        <x:v>Q4</x:v>
      </x:c>
      <x:c r="D132" s="13" t="str">
        <x:v>Bảo mật thông tin</x:v>
      </x:c>
      <x:c r="E132" s="13" t="str">
        <x:v>Kiểm thử xâm nhập</x:v>
      </x:c>
      <x:c r="F132" s="13" t="str">
        <x:v>Viettel Solutions</x:v>
      </x:c>
      <x:c r="G132" s="13" t="str">
        <x:v>Thanh toán kiểm thử xâm nhập - Bảo mật thông tin</x:v>
      </x:c>
      <x:c r="H132" s="16" t="n">
        <x:v>150000000</x:v>
      </x:c>
      <x:c r="I132" s="16" t="n">
        <x:f>H132*10%</x:f>
        <x:v>15000000</x:v>
      </x:c>
      <x:c r="J132" s="16" t="n">
        <x:f>H132+I132</x:f>
        <x:v>165000000</x:v>
      </x:c>
      <x:c r="K132" s="13" t="str">
        <x:v>Chờ duyệt</x:v>
      </x:c>
      <x:c r="L132" s="13" t="str">
        <x:v>Trung bình</x:v>
      </x:c>
      <x:c r="M132" s="13" t="str">
        <x:v>IT-DT-2026-031</x:v>
      </x:c>
    </x:row>
    <x:row r="133">
      <x:c r="A133" s="13" t="str">
        <x:v>IT-PR-2026-132</x:v>
      </x:c>
      <x:c r="B133" s="24" t="n">
        <x:v>46370</x:v>
      </x:c>
      <x:c r="C133" s="13" t="str">
        <x:v>Q4</x:v>
      </x:c>
      <x:c r="D133" s="13" t="str">
        <x:v>Phần mềm bản quyền</x:v>
      </x:c>
      <x:c r="E133" s="13" t="str">
        <x:v>Microsoft 365</x:v>
      </x:c>
      <x:c r="F133" s="13" t="str">
        <x:v>VNPT Technology</x:v>
      </x:c>
      <x:c r="G133" s="13" t="str">
        <x:v>Thanh toán microsoft 365 - Phần mềm bản quyền</x:v>
      </x:c>
      <x:c r="H133" s="16" t="n">
        <x:v>12000000</x:v>
      </x:c>
      <x:c r="I133" s="16" t="n">
        <x:f>H133*10%</x:f>
        <x:v>1200000</x:v>
      </x:c>
      <x:c r="J133" s="16" t="n">
        <x:f>H133+I133</x:f>
        <x:v>13200000</x:v>
      </x:c>
      <x:c r="K133" s="13" t="str">
        <x:v>Đã thanh toán</x:v>
      </x:c>
      <x:c r="L133" s="13" t="str">
        <x:v>Cao</x:v>
      </x:c>
      <x:c r="M133" s="13" t="str">
        <x:v>IT-DT-2026-097</x:v>
      </x:c>
    </x:row>
    <x:row r="134">
      <x:c r="A134" s="13" t="str">
        <x:v>IT-PR-2026-133</x:v>
      </x:c>
      <x:c r="B134" s="24" t="n">
        <x:v>46028</x:v>
      </x:c>
      <x:c r="C134" s="13" t="str">
        <x:v>Q1</x:v>
      </x:c>
      <x:c r="D134" s="13" t="str">
        <x:v>Hỗ trợ người dùng</x:v>
      </x:c>
      <x:c r="E134" s="13" t="str">
        <x:v>Helpdesk system</x:v>
      </x:c>
      <x:c r="F134" s="13" t="str">
        <x:v>MISA</x:v>
      </x:c>
      <x:c r="G134" s="13" t="str">
        <x:v>Thanh toán helpdesk system - Hỗ trợ người dùng</x:v>
      </x:c>
      <x:c r="H134" s="16" t="n">
        <x:v>5000000</x:v>
      </x:c>
      <x:c r="I134" s="16" t="n">
        <x:f>H134*10%</x:f>
        <x:v>500000</x:v>
      </x:c>
      <x:c r="J134" s="16" t="n">
        <x:f>H134+I134</x:f>
        <x:v>5500000</x:v>
      </x:c>
      <x:c r="K134" s="13" t="str">
        <x:v>Đã duyệt</x:v>
      </x:c>
      <x:c r="L134" s="13" t="str">
        <x:v>Cao</x:v>
      </x:c>
      <x:c r="M134" s="13" t="str">
        <x:v>IT-DT-2026-140</x:v>
      </x:c>
    </x:row>
    <x:row r="135">
      <x:c r="A135" s="13" t="str">
        <x:v>IT-PR-2026-134</x:v>
      </x:c>
      <x:c r="B135" s="24" t="n">
        <x:v>46074</x:v>
      </x:c>
      <x:c r="C135" s="13" t="str">
        <x:v>Q1</x:v>
      </x:c>
      <x:c r="D135" s="13" t="str">
        <x:v>Chuyển đổi số</x:v>
      </x:c>
      <x:c r="E135" s="13" t="str">
        <x:v>Phát triển chatbot nội bộ</x:v>
      </x:c>
      <x:c r="F135" s="13" t="str">
        <x:v>Cisco Partner</x:v>
      </x:c>
      <x:c r="G135" s="13" t="str">
        <x:v>Thanh toán phát triển chatbot nội bộ - Chuyển đổi số</x:v>
      </x:c>
      <x:c r="H135" s="16" t="n">
        <x:v>75000000</x:v>
      </x:c>
      <x:c r="I135" s="16" t="n">
        <x:f>H135*10%</x:f>
        <x:v>7500000</x:v>
      </x:c>
      <x:c r="J135" s="16" t="n">
        <x:f>H135+I135</x:f>
        <x:v>82500000</x:v>
      </x:c>
      <x:c r="K135" s="13" t="str">
        <x:v>Đã duyệt</x:v>
      </x:c>
      <x:c r="L135" s="13" t="str">
        <x:v>Cao</x:v>
      </x:c>
      <x:c r="M135" s="13" t="str">
        <x:v>IT-DT-2026-138</x:v>
      </x:c>
    </x:row>
    <x:row r="136">
      <x:c r="A136" s="13" t="str">
        <x:v>IT-PR-2026-135</x:v>
      </x:c>
      <x:c r="B136" s="24" t="n">
        <x:v>46085</x:v>
      </x:c>
      <x:c r="C136" s="13" t="str">
        <x:v>Q1</x:v>
      </x:c>
      <x:c r="D136" s="13" t="str">
        <x:v>LMS/SIS</x:v>
      </x:c>
      <x:c r="E136" s="13" t="str">
        <x:v>Tối ưu cơ sở dữ liệu</x:v>
      </x:c>
      <x:c r="F136" s="13" t="str">
        <x:v>Dell Technologies</x:v>
      </x:c>
      <x:c r="G136" s="13" t="str">
        <x:v>Thanh toán tối ưu cơ sở dữ liệu - LMS/SIS</x:v>
      </x:c>
      <x:c r="H136" s="16" t="n">
        <x:v>100000000</x:v>
      </x:c>
      <x:c r="I136" s="16" t="n">
        <x:f>H136*10%</x:f>
        <x:v>10000000</x:v>
      </x:c>
      <x:c r="J136" s="16" t="n">
        <x:f>H136+I136</x:f>
        <x:v>110000000</x:v>
      </x:c>
      <x:c r="K136" s="13" t="str">
        <x:v>Chờ duyệt</x:v>
      </x:c>
      <x:c r="L136" s="13" t="str">
        <x:v>Thấp</x:v>
      </x:c>
      <x:c r="M136" s="13" t="str">
        <x:v>IT-DT-2026-144</x:v>
      </x:c>
    </x:row>
    <x:row r="137">
      <x:c r="A137" s="13" t="str">
        <x:v>IT-PR-2026-136</x:v>
      </x:c>
      <x:c r="B137" s="24" t="n">
        <x:v>46117</x:v>
      </x:c>
      <x:c r="C137" s="13" t="str">
        <x:v>Q2</x:v>
      </x:c>
      <x:c r="D137" s="13" t="str">
        <x:v>Phòng máy tính</x:v>
      </x:c>
      <x:c r="E137" s="13" t="str">
        <x:v>Nâng cấp PC lab</x:v>
      </x:c>
      <x:c r="F137" s="13" t="str">
        <x:v>Cisco Partner</x:v>
      </x:c>
      <x:c r="G137" s="13" t="str">
        <x:v>Thanh toán nâng cấp pc lab - Phòng máy tính</x:v>
      </x:c>
      <x:c r="H137" s="16" t="n">
        <x:v>35000000</x:v>
      </x:c>
      <x:c r="I137" s="16" t="n">
        <x:f>H137*10%</x:f>
        <x:v>3500000</x:v>
      </x:c>
      <x:c r="J137" s="16" t="n">
        <x:f>H137+I137</x:f>
        <x:v>38500000</x:v>
      </x:c>
      <x:c r="K137" s="13" t="str">
        <x:v>Đã duyệt</x:v>
      </x:c>
      <x:c r="L137" s="13" t="str">
        <x:v>Trung bình</x:v>
      </x:c>
      <x:c r="M137" s="13" t="str">
        <x:v>IT-DT-2026-057</x:v>
      </x:c>
    </x:row>
    <x:row r="138">
      <x:c r="A138" s="13" t="str">
        <x:v>IT-PR-2026-137</x:v>
      </x:c>
      <x:c r="B138" s="24" t="n">
        <x:v>46154</x:v>
      </x:c>
      <x:c r="C138" s="13" t="str">
        <x:v>Q2</x:v>
      </x:c>
      <x:c r="D138" s="13" t="str">
        <x:v>Hạ tầng mạng</x:v>
      </x:c>
      <x:c r="E138" s="13" t="str">
        <x:v>Nâng cấp switch core</x:v>
      </x:c>
      <x:c r="F138" s="13" t="str">
        <x:v>Cisco Partner</x:v>
      </x:c>
      <x:c r="G138" s="13" t="str">
        <x:v>Thanh toán nâng cấp switch core - Hạ tầng mạng</x:v>
      </x:c>
      <x:c r="H138" s="16" t="n">
        <x:v>100000000</x:v>
      </x:c>
      <x:c r="I138" s="16" t="n">
        <x:f>H138*10%</x:f>
        <x:v>10000000</x:v>
      </x:c>
      <x:c r="J138" s="16" t="n">
        <x:f>H138+I138</x:f>
        <x:v>110000000</x:v>
      </x:c>
      <x:c r="K138" s="13" t="str">
        <x:v>Đã duyệt</x:v>
      </x:c>
      <x:c r="L138" s="13" t="str">
        <x:v>Trung bình</x:v>
      </x:c>
      <x:c r="M138" s="13" t="str">
        <x:v>IT-DT-2026-086</x:v>
      </x:c>
    </x:row>
    <x:row r="139">
      <x:c r="A139" s="13" t="str">
        <x:v>IT-PR-2026-138</x:v>
      </x:c>
      <x:c r="B139" s="24" t="n">
        <x:v>46188</x:v>
      </x:c>
      <x:c r="C139" s="13" t="str">
        <x:v>Q2</x:v>
      </x:c>
      <x:c r="D139" s="13" t="str">
        <x:v>Hệ thống máy chủ</x:v>
      </x:c>
      <x:c r="E139" s="13" t="str">
        <x:v>Máy chủ ứng dụng</x:v>
      </x:c>
      <x:c r="F139" s="13" t="str">
        <x:v>FPT IS</x:v>
      </x:c>
      <x:c r="G139" s="13" t="str">
        <x:v>Thanh toán máy chủ ứng dụng - Hệ thống máy chủ</x:v>
      </x:c>
      <x:c r="H139" s="16" t="n">
        <x:v>35000000</x:v>
      </x:c>
      <x:c r="I139" s="16" t="n">
        <x:f>H139*10%</x:f>
        <x:v>3500000</x:v>
      </x:c>
      <x:c r="J139" s="16" t="n">
        <x:f>H139+I139</x:f>
        <x:v>38500000</x:v>
      </x:c>
      <x:c r="K139" s="13" t="str">
        <x:v>Đã thanh toán</x:v>
      </x:c>
      <x:c r="L139" s="13" t="str">
        <x:v>Cao</x:v>
      </x:c>
      <x:c r="M139" s="13" t="str">
        <x:v>IT-DT-2026-136</x:v>
      </x:c>
    </x:row>
    <x:row r="140">
      <x:c r="A140" s="13" t="str">
        <x:v>IT-PR-2026-139</x:v>
      </x:c>
      <x:c r="B140" s="24" t="n">
        <x:v>46216</x:v>
      </x:c>
      <x:c r="C140" s="13" t="str">
        <x:v>Q3</x:v>
      </x:c>
      <x:c r="D140" s="13" t="str">
        <x:v>Bảo mật thông tin</x:v>
      </x:c>
      <x:c r="E140" s="13" t="str">
        <x:v>Đào tạo an toàn thông tin</x:v>
      </x:c>
      <x:c r="F140" s="13" t="str">
        <x:v>Cisco Partner</x:v>
      </x:c>
      <x:c r="G140" s="13" t="str">
        <x:v>Thanh toán đào tạo an toàn thông tin - Bảo mật thông tin</x:v>
      </x:c>
      <x:c r="H140" s="16" t="n">
        <x:v>20000000</x:v>
      </x:c>
      <x:c r="I140" s="16" t="n">
        <x:f>H140*10%</x:f>
        <x:v>2000000</x:v>
      </x:c>
      <x:c r="J140" s="16" t="n">
        <x:f>H140+I140</x:f>
        <x:v>22000000</x:v>
      </x:c>
      <x:c r="K140" s="13" t="str">
        <x:v>Đã thanh toán</x:v>
      </x:c>
      <x:c r="L140" s="13" t="str">
        <x:v>Trung bình</x:v>
      </x:c>
      <x:c r="M140" s="13" t="str">
        <x:v>IT-DT-2026-009</x:v>
      </x:c>
    </x:row>
    <x:row r="141">
      <x:c r="A141" s="13" t="str">
        <x:v>IT-PR-2026-140</x:v>
      </x:c>
      <x:c r="B141" s="24" t="n">
        <x:v>46245</x:v>
      </x:c>
      <x:c r="C141" s="13" t="str">
        <x:v>Q3</x:v>
      </x:c>
      <x:c r="D141" s="13" t="str">
        <x:v>Phần mềm bản quyền</x:v>
      </x:c>
      <x:c r="E141" s="13" t="str">
        <x:v>Adobe license</x:v>
      </x:c>
      <x:c r="F141" s="13" t="str">
        <x:v>Bkav Enterprise</x:v>
      </x:c>
      <x:c r="G141" s="13" t="str">
        <x:v>Thanh toán adobe license - Phần mềm bản quyền</x:v>
      </x:c>
      <x:c r="H141" s="16" t="n">
        <x:v>20000000</x:v>
      </x:c>
      <x:c r="I141" s="16" t="n">
        <x:f>H141*10%</x:f>
        <x:v>2000000</x:v>
      </x:c>
      <x:c r="J141" s="16" t="n">
        <x:f>H141+I141</x:f>
        <x:v>22000000</x:v>
      </x:c>
      <x:c r="K141" s="13" t="str">
        <x:v>Đã duyệt</x:v>
      </x:c>
      <x:c r="L141" s="13" t="str">
        <x:v>Trung bình</x:v>
      </x:c>
      <x:c r="M141" s="13" t="str">
        <x:v>IT-DT-2026-003</x:v>
      </x:c>
    </x:row>
    <x:row r="142">
      <x:c r="A142" s="13" t="str">
        <x:v>IT-PR-2026-141</x:v>
      </x:c>
      <x:c r="B142" s="24" t="n">
        <x:v>46277</x:v>
      </x:c>
      <x:c r="C142" s="13" t="str">
        <x:v>Q3</x:v>
      </x:c>
      <x:c r="D142" s="13" t="str">
        <x:v>Hỗ trợ người dùng</x:v>
      </x:c>
      <x:c r="E142" s="13" t="str">
        <x:v>Đào tạo sử dụng hệ thống</x:v>
      </x:c>
      <x:c r="F142" s="13" t="str">
        <x:v>CMC Cyber Security</x:v>
      </x:c>
      <x:c r="G142" s="13" t="str">
        <x:v>Thanh toán đào tạo sử dụng hệ thống - Hỗ trợ người dùng</x:v>
      </x:c>
      <x:c r="H142" s="16" t="n">
        <x:v>8000000</x:v>
      </x:c>
      <x:c r="I142" s="16" t="n">
        <x:f>H142*10%</x:f>
        <x:v>800000</x:v>
      </x:c>
      <x:c r="J142" s="16" t="n">
        <x:f>H142+I142</x:f>
        <x:v>8800000</x:v>
      </x:c>
      <x:c r="K142" s="13" t="str">
        <x:v>Nháp</x:v>
      </x:c>
      <x:c r="L142" s="13" t="str">
        <x:v>Trung bình</x:v>
      </x:c>
      <x:c r="M142" s="13" t="str">
        <x:v>IT-DT-2026-064</x:v>
      </x:c>
    </x:row>
    <x:row r="143">
      <x:c r="A143" s="13" t="str">
        <x:v>IT-PR-2026-142</x:v>
      </x:c>
      <x:c r="B143" s="24" t="n">
        <x:v>46307</x:v>
      </x:c>
      <x:c r="C143" s="13" t="str">
        <x:v>Q4</x:v>
      </x:c>
      <x:c r="D143" s="13" t="str">
        <x:v>Chuyển đổi số</x:v>
      </x:c>
      <x:c r="E143" s="13" t="str">
        <x:v>Dashboard quản trị</x:v>
      </x:c>
      <x:c r="F143" s="13" t="str">
        <x:v>Microsoft Vietnam</x:v>
      </x:c>
      <x:c r="G143" s="13" t="str">
        <x:v>Thanh toán dashboard quản trị - Chuyển đổi số</x:v>
      </x:c>
      <x:c r="H143" s="16" t="n">
        <x:v>20000000</x:v>
      </x:c>
      <x:c r="I143" s="16" t="n">
        <x:f>H143*10%</x:f>
        <x:v>2000000</x:v>
      </x:c>
      <x:c r="J143" s="16" t="n">
        <x:f>H143+I143</x:f>
        <x:v>22000000</x:v>
      </x:c>
      <x:c r="K143" s="13" t="str">
        <x:v>Đã thanh toán</x:v>
      </x:c>
      <x:c r="L143" s="13" t="str">
        <x:v>Trung bình</x:v>
      </x:c>
      <x:c r="M143" s="13" t="str">
        <x:v>IT-DT-2026-081</x:v>
      </x:c>
    </x:row>
    <x:row r="144">
      <x:c r="A144" s="13" t="str">
        <x:v>IT-PR-2026-143</x:v>
      </x:c>
      <x:c r="B144" s="24" t="n">
        <x:v>46332</x:v>
      </x:c>
      <x:c r="C144" s="13" t="str">
        <x:v>Q4</x:v>
      </x:c>
      <x:c r="D144" s="13" t="str">
        <x:v>LMS/SIS</x:v>
      </x:c>
      <x:c r="E144" s="13" t="str">
        <x:v>Tối ưu cơ sở dữ liệu</x:v>
      </x:c>
      <x:c r="F144" s="13" t="str">
        <x:v>CMC Telecom</x:v>
      </x:c>
      <x:c r="G144" s="13" t="str">
        <x:v>Thanh toán tối ưu cơ sở dữ liệu - LMS/SIS</x:v>
      </x:c>
      <x:c r="H144" s="16" t="n">
        <x:v>150000000</x:v>
      </x:c>
      <x:c r="I144" s="16" t="n">
        <x:f>H144*10%</x:f>
        <x:v>15000000</x:v>
      </x:c>
      <x:c r="J144" s="16" t="n">
        <x:f>H144+I144</x:f>
        <x:v>165000000</x:v>
      </x:c>
      <x:c r="K144" s="13" t="str">
        <x:v>Đã thanh toán</x:v>
      </x:c>
      <x:c r="L144" s="13" t="str">
        <x:v>Cao</x:v>
      </x:c>
      <x:c r="M144" s="13" t="str">
        <x:v>IT-DT-2026-024</x:v>
      </x:c>
    </x:row>
    <x:row r="145">
      <x:c r="A145" s="13" t="str">
        <x:v>IT-PR-2026-144</x:v>
      </x:c>
      <x:c r="B145" s="24" t="n">
        <x:v>46363</x:v>
      </x:c>
      <x:c r="C145" s="13" t="str">
        <x:v>Q4</x:v>
      </x:c>
      <x:c r="D145" s="13" t="str">
        <x:v>Phòng máy tính</x:v>
      </x:c>
      <x:c r="E145" s="13" t="str">
        <x:v>Thiết bị âm thanh</x:v>
      </x:c>
      <x:c r="F145" s="13" t="str">
        <x:v>CMC Cyber Security</x:v>
      </x:c>
      <x:c r="G145" s="13" t="str">
        <x:v>Thanh toán thiết bị âm thanh - Phòng máy tính</x:v>
      </x:c>
      <x:c r="H145" s="16" t="n">
        <x:v>35000000</x:v>
      </x:c>
      <x:c r="I145" s="16" t="n">
        <x:f>H145*10%</x:f>
        <x:v>3500000</x:v>
      </x:c>
      <x:c r="J145" s="16" t="n">
        <x:f>H145+I145</x:f>
        <x:v>38500000</x:v>
      </x:c>
      <x:c r="K145" s="13" t="str">
        <x:v>Đã thanh toán</x:v>
      </x:c>
      <x:c r="L145" s="13" t="str">
        <x:v>Thấp</x:v>
      </x:c>
      <x:c r="M145" s="13" t="str">
        <x:v>IT-DT-2026-096</x:v>
      </x:c>
    </x:row>
    <x:row r="146">
      <x:c r="A146" s="13" t="str">
        <x:v>IT-PR-2026-145</x:v>
      </x:c>
      <x:c r="B146" s="24" t="n">
        <x:v>46035</x:v>
      </x:c>
      <x:c r="C146" s="13" t="str">
        <x:v>Q1</x:v>
      </x:c>
      <x:c r="D146" s="13" t="str">
        <x:v>Hạ tầng mạng</x:v>
      </x:c>
      <x:c r="E146" s="13" t="str">
        <x:v>Nâng cấp switch core</x:v>
      </x:c>
      <x:c r="F146" s="13" t="str">
        <x:v>Microsoft Vietnam</x:v>
      </x:c>
      <x:c r="G146" s="13" t="str">
        <x:v>Thanh toán nâng cấp switch core - Hạ tầng mạng</x:v>
      </x:c>
      <x:c r="H146" s="16" t="n">
        <x:v>8000000</x:v>
      </x:c>
      <x:c r="I146" s="16" t="n">
        <x:f>H146*10%</x:f>
        <x:v>800000</x:v>
      </x:c>
      <x:c r="J146" s="16" t="n">
        <x:f>H146+I146</x:f>
        <x:v>8800000</x:v>
      </x:c>
      <x:c r="K146" s="13" t="str">
        <x:v>Chờ duyệt</x:v>
      </x:c>
      <x:c r="L146" s="13" t="str">
        <x:v>Thấp</x:v>
      </x:c>
      <x:c r="M146" s="13" t="str">
        <x:v>IT-DT-2026-065</x:v>
      </x:c>
    </x:row>
    <x:row r="147">
      <x:c r="A147" s="13" t="str">
        <x:v>IT-PR-2026-146</x:v>
      </x:c>
      <x:c r="B147" s="24" t="n">
        <x:v>46064</x:v>
      </x:c>
      <x:c r="C147" s="13" t="str">
        <x:v>Q1</x:v>
      </x:c>
      <x:c r="D147" s="13" t="str">
        <x:v>Hệ thống máy chủ</x:v>
      </x:c>
      <x:c r="E147" s="13" t="str">
        <x:v>Máy chủ ứng dụng</x:v>
      </x:c>
      <x:c r="F147" s="13" t="str">
        <x:v>Dell Technologies</x:v>
      </x:c>
      <x:c r="G147" s="13" t="str">
        <x:v>Thanh toán máy chủ ứng dụng - Hệ thống máy chủ</x:v>
      </x:c>
      <x:c r="H147" s="16" t="n">
        <x:v>12000000</x:v>
      </x:c>
      <x:c r="I147" s="16" t="n">
        <x:f>H147*10%</x:f>
        <x:v>1200000</x:v>
      </x:c>
      <x:c r="J147" s="16" t="n">
        <x:f>H147+I147</x:f>
        <x:v>13200000</x:v>
      </x:c>
      <x:c r="K147" s="13" t="str">
        <x:v>Đã thanh toán</x:v>
      </x:c>
      <x:c r="L147" s="13" t="str">
        <x:v>Trung bình</x:v>
      </x:c>
      <x:c r="M147" s="13" t="str">
        <x:v>IT-DT-2026-073</x:v>
      </x:c>
    </x:row>
    <x:row r="148">
      <x:c r="A148" s="13" t="str">
        <x:v>IT-PR-2026-147</x:v>
      </x:c>
      <x:c r="B148" s="24" t="n">
        <x:v>46083</x:v>
      </x:c>
      <x:c r="C148" s="13" t="str">
        <x:v>Q1</x:v>
      </x:c>
      <x:c r="D148" s="13" t="str">
        <x:v>Bảo mật thông tin</x:v>
      </x:c>
      <x:c r="E148" s="13" t="str">
        <x:v>Giám sát SOC</x:v>
      </x:c>
      <x:c r="F148" s="13" t="str">
        <x:v>FPT IS</x:v>
      </x:c>
      <x:c r="G148" s="13" t="str">
        <x:v>Thanh toán giám sát soc - Bảo mật thông tin</x:v>
      </x:c>
      <x:c r="H148" s="16" t="n">
        <x:v>75000000</x:v>
      </x:c>
      <x:c r="I148" s="16" t="n">
        <x:f>H148*10%</x:f>
        <x:v>7500000</x:v>
      </x:c>
      <x:c r="J148" s="16" t="n">
        <x:f>H148+I148</x:f>
        <x:v>82500000</x:v>
      </x:c>
      <x:c r="K148" s="13" t="str">
        <x:v>Đã thanh toán</x:v>
      </x:c>
      <x:c r="L148" s="13" t="str">
        <x:v>Trung bình</x:v>
      </x:c>
      <x:c r="M148" s="13" t="str">
        <x:v>IT-DT-2026-088</x:v>
      </x:c>
    </x:row>
    <x:row r="149">
      <x:c r="A149" s="13" t="str">
        <x:v>IT-PR-2026-148</x:v>
      </x:c>
      <x:c r="B149" s="24" t="n">
        <x:v>46133</x:v>
      </x:c>
      <x:c r="C149" s="13" t="str">
        <x:v>Q2</x:v>
      </x:c>
      <x:c r="D149" s="13" t="str">
        <x:v>Phần mềm bản quyền</x:v>
      </x:c>
      <x:c r="E149" s="13" t="str">
        <x:v>Microsoft 365</x:v>
      </x:c>
      <x:c r="F149" s="13" t="str">
        <x:v>CMC Cyber Security</x:v>
      </x:c>
      <x:c r="G149" s="13" t="str">
        <x:v>Thanh toán microsoft 365 - Phần mềm bản quyền</x:v>
      </x:c>
      <x:c r="H149" s="16" t="n">
        <x:v>20000000</x:v>
      </x:c>
      <x:c r="I149" s="16" t="n">
        <x:f>H149*10%</x:f>
        <x:v>2000000</x:v>
      </x:c>
      <x:c r="J149" s="16" t="n">
        <x:f>H149+I149</x:f>
        <x:v>22000000</x:v>
      </x:c>
      <x:c r="K149" s="13" t="str">
        <x:v>Đã thanh toán</x:v>
      </x:c>
      <x:c r="L149" s="13" t="str">
        <x:v>Cao</x:v>
      </x:c>
      <x:c r="M149" s="13" t="str">
        <x:v>IT-DT-2026-123</x:v>
      </x:c>
    </x:row>
    <x:row r="150">
      <x:c r="A150" s="13" t="str">
        <x:v>IT-PR-2026-149</x:v>
      </x:c>
      <x:c r="B150" s="24" t="n">
        <x:v>46156</x:v>
      </x:c>
      <x:c r="C150" s="13" t="str">
        <x:v>Q2</x:v>
      </x:c>
      <x:c r="D150" s="13" t="str">
        <x:v>Hỗ trợ người dùng</x:v>
      </x:c>
      <x:c r="E150" s="13" t="str">
        <x:v>Helpdesk system</x:v>
      </x:c>
      <x:c r="F150" s="13" t="str">
        <x:v>Cloud Ace</x:v>
      </x:c>
      <x:c r="G150" s="13" t="str">
        <x:v>Thanh toán helpdesk system - Hỗ trợ người dùng</x:v>
      </x:c>
      <x:c r="H150" s="16" t="n">
        <x:v>8000000</x:v>
      </x:c>
      <x:c r="I150" s="16" t="n">
        <x:f>H150*10%</x:f>
        <x:v>800000</x:v>
      </x:c>
      <x:c r="J150" s="16" t="n">
        <x:f>H150+I150</x:f>
        <x:v>8800000</x:v>
      </x:c>
      <x:c r="K150" s="13" t="str">
        <x:v>Chờ duyệt</x:v>
      </x:c>
      <x:c r="L150" s="13" t="str">
        <x:v>Cao</x:v>
      </x:c>
      <x:c r="M150" s="13" t="str">
        <x:v>IT-DT-2026-036</x:v>
      </x:c>
    </x:row>
    <x:row r="151">
      <x:c r="A151" s="13" t="str">
        <x:v>IT-PR-2026-150</x:v>
      </x:c>
      <x:c r="B151" s="24" t="n">
        <x:v>46186</x:v>
      </x:c>
      <x:c r="C151" s="13" t="str">
        <x:v>Q2</x:v>
      </x:c>
      <x:c r="D151" s="13" t="str">
        <x:v>Chuyển đổi số</x:v>
      </x:c>
      <x:c r="E151" s="13" t="str">
        <x:v>Tự động hóa quy trình</x:v>
      </x:c>
      <x:c r="F151" s="13" t="str">
        <x:v>Cloud Ace</x:v>
      </x:c>
      <x:c r="G151" s="13" t="str">
        <x:v>Thanh toán tự động hóa quy trình - Chuyển đổi số</x:v>
      </x:c>
      <x:c r="H151" s="16" t="n">
        <x:v>75000000</x:v>
      </x:c>
      <x:c r="I151" s="16" t="n">
        <x:f>H151*10%</x:f>
        <x:v>7500000</x:v>
      </x:c>
      <x:c r="J151" s="16" t="n">
        <x:f>H151+I151</x:f>
        <x:v>82500000</x:v>
      </x:c>
      <x:c r="K151" s="13" t="str">
        <x:v>Đã thanh toán</x:v>
      </x:c>
      <x:c r="L151" s="13" t="str">
        <x:v>Cao</x:v>
      </x:c>
      <x:c r="M151" s="13" t="str">
        <x:v>IT-DT-2026-019</x:v>
      </x:c>
    </x:row>
    <x:row r="152">
      <x:c r="A152" s="13" t="str">
        <x:v>IT-PR-2026-151</x:v>
      </x:c>
      <x:c r="B152" s="24" t="n">
        <x:v>46207</x:v>
      </x:c>
      <x:c r="C152" s="13" t="str">
        <x:v>Q3</x:v>
      </x:c>
      <x:c r="D152" s="13" t="str">
        <x:v>LMS/SIS</x:v>
      </x:c>
      <x:c r="E152" s="13" t="str">
        <x:v>Tích hợp SSO</x:v>
      </x:c>
      <x:c r="F152" s="13" t="str">
        <x:v>Cloud Ace</x:v>
      </x:c>
      <x:c r="G152" s="13" t="str">
        <x:v>Thanh toán tích hợp sso - LMS/SIS</x:v>
      </x:c>
      <x:c r="H152" s="16" t="n">
        <x:v>150000000</x:v>
      </x:c>
      <x:c r="I152" s="16" t="n">
        <x:f>H152*10%</x:f>
        <x:v>15000000</x:v>
      </x:c>
      <x:c r="J152" s="16" t="n">
        <x:f>H152+I152</x:f>
        <x:v>165000000</x:v>
      </x:c>
      <x:c r="K152" s="13" t="str">
        <x:v>Đã thanh toán</x:v>
      </x:c>
      <x:c r="L152" s="13" t="str">
        <x:v>Trung bình</x:v>
      </x:c>
      <x:c r="M152" s="13" t="str">
        <x:v>IT-DT-2026-102</x:v>
      </x:c>
    </x:row>
    <x:row r="153">
      <x:c r="A153" s="13" t="str">
        <x:v>IT-PR-2026-152</x:v>
      </x:c>
      <x:c r="B153" s="24" t="n">
        <x:v>46244</x:v>
      </x:c>
      <x:c r="C153" s="13" t="str">
        <x:v>Q3</x:v>
      </x:c>
      <x:c r="D153" s="13" t="str">
        <x:v>Phòng máy tính</x:v>
      </x:c>
      <x:c r="E153" s="13" t="str">
        <x:v>Nâng cấp PC lab</x:v>
      </x:c>
      <x:c r="F153" s="13" t="str">
        <x:v>VNPT Technology</x:v>
      </x:c>
      <x:c r="G153" s="13" t="str">
        <x:v>Thanh toán nâng cấp pc lab - Phòng máy tính</x:v>
      </x:c>
      <x:c r="H153" s="16" t="n">
        <x:v>8000000</x:v>
      </x:c>
      <x:c r="I153" s="16" t="n">
        <x:f>H153*10%</x:f>
        <x:v>800000</x:v>
      </x:c>
      <x:c r="J153" s="16" t="n">
        <x:f>H153+I153</x:f>
        <x:v>8800000</x:v>
      </x:c>
      <x:c r="K153" s="13" t="str">
        <x:v>Đã duyệt</x:v>
      </x:c>
      <x:c r="L153" s="13" t="str">
        <x:v>Trung bình</x:v>
      </x:c>
      <x:c r="M153" s="13" t="str">
        <x:v>IT-DT-2026-032</x:v>
      </x:c>
    </x:row>
    <x:row r="154">
      <x:c r="A154" s="13" t="str">
        <x:v>IT-PR-2026-153</x:v>
      </x:c>
      <x:c r="B154" s="24" t="n">
        <x:v>46270</x:v>
      </x:c>
      <x:c r="C154" s="13" t="str">
        <x:v>Q3</x:v>
      </x:c>
      <x:c r="D154" s="13" t="str">
        <x:v>Hạ tầng mạng</x:v>
      </x:c>
      <x:c r="E154" s="13" t="str">
        <x:v>Wi-Fi access point</x:v>
      </x:c>
      <x:c r="F154" s="13" t="str">
        <x:v>Bkav Enterprise</x:v>
      </x:c>
      <x:c r="G154" s="13" t="str">
        <x:v>Thanh toán wi-fi access point - Hạ tầng mạng</x:v>
      </x:c>
      <x:c r="H154" s="16" t="n">
        <x:v>75000000</x:v>
      </x:c>
      <x:c r="I154" s="16" t="n">
        <x:f>H154*10%</x:f>
        <x:v>7500000</x:v>
      </x:c>
      <x:c r="J154" s="16" t="n">
        <x:f>H154+I154</x:f>
        <x:v>82500000</x:v>
      </x:c>
      <x:c r="K154" s="13" t="str">
        <x:v>Nháp</x:v>
      </x:c>
      <x:c r="L154" s="13" t="str">
        <x:v>Cao</x:v>
      </x:c>
      <x:c r="M154" s="13" t="str">
        <x:v>IT-DT-2026-097</x:v>
      </x:c>
    </x:row>
    <x:row r="155">
      <x:c r="A155" s="13" t="str">
        <x:v>IT-PR-2026-154</x:v>
      </x:c>
      <x:c r="B155" s="24" t="n">
        <x:v>46302</x:v>
      </x:c>
      <x:c r="C155" s="13" t="str">
        <x:v>Q4</x:v>
      </x:c>
      <x:c r="D155" s="13" t="str">
        <x:v>Hệ thống máy chủ</x:v>
      </x:c>
      <x:c r="E155" s="13" t="str">
        <x:v>Gia hạn bảo hành server</x:v>
      </x:c>
      <x:c r="F155" s="13" t="str">
        <x:v>Bkav Enterprise</x:v>
      </x:c>
      <x:c r="G155" s="13" t="str">
        <x:v>Thanh toán gia hạn bảo hành server - Hệ thống máy chủ</x:v>
      </x:c>
      <x:c r="H155" s="16" t="n">
        <x:v>75000000</x:v>
      </x:c>
      <x:c r="I155" s="16" t="n">
        <x:f>H155*10%</x:f>
        <x:v>7500000</x:v>
      </x:c>
      <x:c r="J155" s="16" t="n">
        <x:f>H155+I155</x:f>
        <x:v>82500000</x:v>
      </x:c>
      <x:c r="K155" s="13" t="str">
        <x:v>Đã thanh toán</x:v>
      </x:c>
      <x:c r="L155" s="13" t="str">
        <x:v>Cao</x:v>
      </x:c>
      <x:c r="M155" s="13" t="str">
        <x:v>IT-DT-2026-124</x:v>
      </x:c>
    </x:row>
    <x:row r="156">
      <x:c r="A156" s="13" t="str">
        <x:v>IT-PR-2026-155</x:v>
      </x:c>
      <x:c r="B156" s="24" t="n">
        <x:v>46330</x:v>
      </x:c>
      <x:c r="C156" s="13" t="str">
        <x:v>Q4</x:v>
      </x:c>
      <x:c r="D156" s="13" t="str">
        <x:v>Bảo mật thông tin</x:v>
      </x:c>
      <x:c r="E156" s="13" t="str">
        <x:v>Kiểm thử xâm nhập</x:v>
      </x:c>
      <x:c r="F156" s="13" t="str">
        <x:v>CMC Cyber Security</x:v>
      </x:c>
      <x:c r="G156" s="13" t="str">
        <x:v>Thanh toán kiểm thử xâm nhập - Bảo mật thông tin</x:v>
      </x:c>
      <x:c r="H156" s="16" t="n">
        <x:v>50000000</x:v>
      </x:c>
      <x:c r="I156" s="16" t="n">
        <x:f>H156*10%</x:f>
        <x:v>5000000</x:v>
      </x:c>
      <x:c r="J156" s="16" t="n">
        <x:f>H156+I156</x:f>
        <x:v>55000000</x:v>
      </x:c>
      <x:c r="K156" s="13" t="str">
        <x:v>Chờ duyệt</x:v>
      </x:c>
      <x:c r="L156" s="13" t="str">
        <x:v>Cao</x:v>
      </x:c>
      <x:c r="M156" s="13" t="str">
        <x:v>IT-DT-2026-042</x:v>
      </x:c>
    </x:row>
    <x:row r="157">
      <x:c r="A157" s="13" t="str">
        <x:v>IT-PR-2026-156</x:v>
      </x:c>
      <x:c r="B157" s="24" t="n">
        <x:v>46377</x:v>
      </x:c>
      <x:c r="C157" s="13" t="str">
        <x:v>Q4</x:v>
      </x:c>
      <x:c r="D157" s="13" t="str">
        <x:v>Phần mềm bản quyền</x:v>
      </x:c>
      <x:c r="E157" s="13" t="str">
        <x:v>Adobe license</x:v>
      </x:c>
      <x:c r="F157" s="13" t="str">
        <x:v>Cisco Partner</x:v>
      </x:c>
      <x:c r="G157" s="13" t="str">
        <x:v>Thanh toán adobe license - Phần mềm bản quyền</x:v>
      </x:c>
      <x:c r="H157" s="16" t="n">
        <x:v>150000000</x:v>
      </x:c>
      <x:c r="I157" s="16" t="n">
        <x:f>H157*10%</x:f>
        <x:v>15000000</x:v>
      </x:c>
      <x:c r="J157" s="16" t="n">
        <x:f>H157+I157</x:f>
        <x:v>165000000</x:v>
      </x:c>
      <x:c r="K157" s="13" t="str">
        <x:v>Đã thanh toán</x:v>
      </x:c>
      <x:c r="L157" s="13" t="str">
        <x:v>Cao</x:v>
      </x:c>
      <x:c r="M157" s="13" t="str">
        <x:v>IT-DT-2026-119</x:v>
      </x:c>
    </x:row>
    <x:row r="158">
      <x:c r="A158" s="13" t="str">
        <x:v>IT-PR-2026-157</x:v>
      </x:c>
      <x:c r="B158" s="24" t="n">
        <x:v>46034</x:v>
      </x:c>
      <x:c r="C158" s="13" t="str">
        <x:v>Q1</x:v>
      </x:c>
      <x:c r="D158" s="13" t="str">
        <x:v>Hỗ trợ người dùng</x:v>
      </x:c>
      <x:c r="E158" s="13" t="str">
        <x:v>Thiết bị ngoại vi</x:v>
      </x:c>
      <x:c r="F158" s="13" t="str">
        <x:v>Bkav Enterprise</x:v>
      </x:c>
      <x:c r="G158" s="13" t="str">
        <x:v>Thanh toán thiết bị ngoại vi - Hỗ trợ người dùng</x:v>
      </x:c>
      <x:c r="H158" s="16" t="n">
        <x:v>75000000</x:v>
      </x:c>
      <x:c r="I158" s="16" t="n">
        <x:f>H158*10%</x:f>
        <x:v>7500000</x:v>
      </x:c>
      <x:c r="J158" s="16" t="n">
        <x:f>H158+I158</x:f>
        <x:v>82500000</x:v>
      </x:c>
      <x:c r="K158" s="13" t="str">
        <x:v>Đã duyệt</x:v>
      </x:c>
      <x:c r="L158" s="13" t="str">
        <x:v>Trung bình</x:v>
      </x:c>
      <x:c r="M158" s="13" t="str">
        <x:v>IT-DT-2026-060</x:v>
      </x:c>
    </x:row>
    <x:row r="159">
      <x:c r="A159" s="13" t="str">
        <x:v>IT-PR-2026-158</x:v>
      </x:c>
      <x:c r="B159" s="24" t="n">
        <x:v>46074</x:v>
      </x:c>
      <x:c r="C159" s="13" t="str">
        <x:v>Q1</x:v>
      </x:c>
      <x:c r="D159" s="13" t="str">
        <x:v>Chuyển đổi số</x:v>
      </x:c>
      <x:c r="E159" s="13" t="str">
        <x:v>Dashboard quản trị</x:v>
      </x:c>
      <x:c r="F159" s="13" t="str">
        <x:v>Dell Technologies</x:v>
      </x:c>
      <x:c r="G159" s="13" t="str">
        <x:v>Thanh toán dashboard quản trị - Chuyển đổi số</x:v>
      </x:c>
      <x:c r="H159" s="16" t="n">
        <x:v>75000000</x:v>
      </x:c>
      <x:c r="I159" s="16" t="n">
        <x:f>H159*10%</x:f>
        <x:v>7500000</x:v>
      </x:c>
      <x:c r="J159" s="16" t="n">
        <x:f>H159+I159</x:f>
        <x:v>82500000</x:v>
      </x:c>
      <x:c r="K159" s="13" t="str">
        <x:v>Đã thanh toán</x:v>
      </x:c>
      <x:c r="L159" s="13" t="str">
        <x:v>Cao</x:v>
      </x:c>
      <x:c r="M159" s="13" t="str">
        <x:v>IT-DT-2026-017</x:v>
      </x:c>
    </x:row>
    <x:row r="160">
      <x:c r="A160" s="13" t="str">
        <x:v>IT-PR-2026-159</x:v>
      </x:c>
      <x:c r="B160" s="24" t="n">
        <x:v>46090</x:v>
      </x:c>
      <x:c r="C160" s="13" t="str">
        <x:v>Q1</x:v>
      </x:c>
      <x:c r="D160" s="13" t="str">
        <x:v>LMS/SIS</x:v>
      </x:c>
      <x:c r="E160" s="13" t="str">
        <x:v>Tối ưu cơ sở dữ liệu</x:v>
      </x:c>
      <x:c r="F160" s="13" t="str">
        <x:v>VNPT Technology</x:v>
      </x:c>
      <x:c r="G160" s="13" t="str">
        <x:v>Thanh toán tối ưu cơ sở dữ liệu - LMS/SIS</x:v>
      </x:c>
      <x:c r="H160" s="16" t="n">
        <x:v>20000000</x:v>
      </x:c>
      <x:c r="I160" s="16" t="n">
        <x:f>H160*10%</x:f>
        <x:v>2000000</x:v>
      </x:c>
      <x:c r="J160" s="16" t="n">
        <x:f>H160+I160</x:f>
        <x:v>22000000</x:v>
      </x:c>
      <x:c r="K160" s="13" t="str">
        <x:v>Đã duyệt</x:v>
      </x:c>
      <x:c r="L160" s="13" t="str">
        <x:v>Trung bình</x:v>
      </x:c>
      <x:c r="M160" s="13" t="str">
        <x:v>IT-DT-2026-144</x:v>
      </x:c>
    </x:row>
    <x:row r="161">
      <x:c r="A161" s="13" t="str">
        <x:v>IT-PR-2026-160</x:v>
      </x:c>
      <x:c r="B161" s="24" t="n">
        <x:v>46118</x:v>
      </x:c>
      <x:c r="C161" s="13" t="str">
        <x:v>Q2</x:v>
      </x:c>
      <x:c r="D161" s="13" t="str">
        <x:v>Phòng máy tính</x:v>
      </x:c>
      <x:c r="E161" s="13" t="str">
        <x:v>Bảo trì phòng lab</x:v>
      </x:c>
      <x:c r="F161" s="13" t="str">
        <x:v>MISA</x:v>
      </x:c>
      <x:c r="G161" s="13" t="str">
        <x:v>Thanh toán bảo trì phòng lab - Phòng máy tính</x:v>
      </x:c>
      <x:c r="H161" s="16" t="n">
        <x:v>100000000</x:v>
      </x:c>
      <x:c r="I161" s="16" t="n">
        <x:f>H161*10%</x:f>
        <x:v>10000000</x:v>
      </x:c>
      <x:c r="J161" s="16" t="n">
        <x:f>H161+I161</x:f>
        <x:v>110000000</x:v>
      </x:c>
      <x:c r="K161" s="13" t="str">
        <x:v>Đã duyệt</x:v>
      </x:c>
      <x:c r="L161" s="13" t="str">
        <x:v>Cao</x:v>
      </x:c>
      <x:c r="M161" s="13" t="str">
        <x:v>IT-DT-2026-048</x:v>
      </x:c>
    </x:row>
    <x:row r="162">
      <x:c r="A162" s="13" t="str">
        <x:v>IT-PR-2026-161</x:v>
      </x:c>
      <x:c r="B162" s="24" t="n">
        <x:v>46167</x:v>
      </x:c>
      <x:c r="C162" s="13" t="str">
        <x:v>Q2</x:v>
      </x:c>
      <x:c r="D162" s="13" t="str">
        <x:v>Hạ tầng mạng</x:v>
      </x:c>
      <x:c r="E162" s="13" t="str">
        <x:v>Nâng cấp switch core</x:v>
      </x:c>
      <x:c r="F162" s="13" t="str">
        <x:v>Cloud Ace</x:v>
      </x:c>
      <x:c r="G162" s="13" t="str">
        <x:v>Thanh toán nâng cấp switch core - Hạ tầng mạng</x:v>
      </x:c>
      <x:c r="H162" s="16" t="n">
        <x:v>35000000</x:v>
      </x:c>
      <x:c r="I162" s="16" t="n">
        <x:f>H162*10%</x:f>
        <x:v>3500000</x:v>
      </x:c>
      <x:c r="J162" s="16" t="n">
        <x:f>H162+I162</x:f>
        <x:v>38500000</x:v>
      </x:c>
      <x:c r="K162" s="13" t="str">
        <x:v>Đã duyệt</x:v>
      </x:c>
      <x:c r="L162" s="13" t="str">
        <x:v>Cao</x:v>
      </x:c>
      <x:c r="M162" s="13" t="str">
        <x:v>IT-DT-2026-091</x:v>
      </x:c>
    </x:row>
    <x:row r="163">
      <x:c r="A163" s="13" t="str">
        <x:v>IT-PR-2026-162</x:v>
      </x:c>
      <x:c r="B163" s="24" t="n">
        <x:v>46192</x:v>
      </x:c>
      <x:c r="C163" s="13" t="str">
        <x:v>Q2</x:v>
      </x:c>
      <x:c r="D163" s="13" t="str">
        <x:v>Hệ thống máy chủ</x:v>
      </x:c>
      <x:c r="E163" s="13" t="str">
        <x:v>Lưu trữ NAS/SAN</x:v>
      </x:c>
      <x:c r="F163" s="13" t="str">
        <x:v>MISA</x:v>
      </x:c>
      <x:c r="G163" s="13" t="str">
        <x:v>Thanh toán lưu trữ nas/san - Hệ thống máy chủ</x:v>
      </x:c>
      <x:c r="H163" s="16" t="n">
        <x:v>100000000</x:v>
      </x:c>
      <x:c r="I163" s="16" t="n">
        <x:f>H163*10%</x:f>
        <x:v>10000000</x:v>
      </x:c>
      <x:c r="J163" s="16" t="n">
        <x:f>H163+I163</x:f>
        <x:v>110000000</x:v>
      </x:c>
      <x:c r="K163" s="13" t="str">
        <x:v>Đã duyệt</x:v>
      </x:c>
      <x:c r="L163" s="13" t="str">
        <x:v>Cao</x:v>
      </x:c>
      <x:c r="M163" s="13" t="str">
        <x:v>IT-DT-2026-092</x:v>
      </x:c>
    </x:row>
    <x:row r="164">
      <x:c r="A164" s="13" t="str">
        <x:v>IT-PR-2026-163</x:v>
      </x:c>
      <x:c r="B164" s="24" t="n">
        <x:v>46213</x:v>
      </x:c>
      <x:c r="C164" s="13" t="str">
        <x:v>Q3</x:v>
      </x:c>
      <x:c r="D164" s="13" t="str">
        <x:v>Bảo mật thông tin</x:v>
      </x:c>
      <x:c r="E164" s="13" t="str">
        <x:v>Phần mềm antivirus/EDR</x:v>
      </x:c>
      <x:c r="F164" s="13" t="str">
        <x:v>VNPT Technology</x:v>
      </x:c>
      <x:c r="G164" s="13" t="str">
        <x:v>Thanh toán phần mềm antivirus/edr - Bảo mật thông tin</x:v>
      </x:c>
      <x:c r="H164" s="16" t="n">
        <x:v>12000000</x:v>
      </x:c>
      <x:c r="I164" s="16" t="n">
        <x:f>H164*10%</x:f>
        <x:v>1200000</x:v>
      </x:c>
      <x:c r="J164" s="16" t="n">
        <x:f>H164+I164</x:f>
        <x:v>13200000</x:v>
      </x:c>
      <x:c r="K164" s="13" t="str">
        <x:v>Chờ duyệt</x:v>
      </x:c>
      <x:c r="L164" s="13" t="str">
        <x:v>Cao</x:v>
      </x:c>
      <x:c r="M164" s="13" t="str">
        <x:v>IT-DT-2026-137</x:v>
      </x:c>
    </x:row>
    <x:row r="165">
      <x:c r="A165" s="13" t="str">
        <x:v>IT-PR-2026-164</x:v>
      </x:c>
      <x:c r="B165" s="24" t="n">
        <x:v>46258</x:v>
      </x:c>
      <x:c r="C165" s="13" t="str">
        <x:v>Q3</x:v>
      </x:c>
      <x:c r="D165" s="13" t="str">
        <x:v>Phần mềm bản quyền</x:v>
      </x:c>
      <x:c r="E165" s="13" t="str">
        <x:v>Adobe license</x:v>
      </x:c>
      <x:c r="F165" s="13" t="str">
        <x:v>CMC Telecom</x:v>
      </x:c>
      <x:c r="G165" s="13" t="str">
        <x:v>Thanh toán adobe license - Phần mềm bản quyền</x:v>
      </x:c>
      <x:c r="H165" s="16" t="n">
        <x:v>12000000</x:v>
      </x:c>
      <x:c r="I165" s="16" t="n">
        <x:f>H165*10%</x:f>
        <x:v>1200000</x:v>
      </x:c>
      <x:c r="J165" s="16" t="n">
        <x:f>H165+I165</x:f>
        <x:v>13200000</x:v>
      </x:c>
      <x:c r="K165" s="13" t="str">
        <x:v>Đã thanh toán</x:v>
      </x:c>
      <x:c r="L165" s="13" t="str">
        <x:v>Trung bình</x:v>
      </x:c>
      <x:c r="M165" s="13" t="str">
        <x:v>IT-DT-2026-095</x:v>
      </x:c>
    </x:row>
    <x:row r="166">
      <x:c r="A166" s="13" t="str">
        <x:v>IT-PR-2026-165</x:v>
      </x:c>
      <x:c r="B166" s="24" t="n">
        <x:v>46288</x:v>
      </x:c>
      <x:c r="C166" s="13" t="str">
        <x:v>Q3</x:v>
      </x:c>
      <x:c r="D166" s="13" t="str">
        <x:v>Hỗ trợ người dùng</x:v>
      </x:c>
      <x:c r="E166" s="13" t="str">
        <x:v>Helpdesk system</x:v>
      </x:c>
      <x:c r="F166" s="13" t="str">
        <x:v>Dell Technologies</x:v>
      </x:c>
      <x:c r="G166" s="13" t="str">
        <x:v>Thanh toán helpdesk system - Hỗ trợ người dùng</x:v>
      </x:c>
      <x:c r="H166" s="16" t="n">
        <x:v>8000000</x:v>
      </x:c>
      <x:c r="I166" s="16" t="n">
        <x:f>H166*10%</x:f>
        <x:v>800000</x:v>
      </x:c>
      <x:c r="J166" s="16" t="n">
        <x:f>H166+I166</x:f>
        <x:v>8800000</x:v>
      </x:c>
      <x:c r="K166" s="13" t="str">
        <x:v>Từ chối</x:v>
      </x:c>
      <x:c r="L166" s="13" t="str">
        <x:v>Trung bình</x:v>
      </x:c>
      <x:c r="M166" s="13" t="str">
        <x:v>IT-DT-2026-075</x:v>
      </x:c>
    </x:row>
    <x:row r="167">
      <x:c r="A167" s="13" t="str">
        <x:v>IT-PR-2026-166</x:v>
      </x:c>
      <x:c r="B167" s="24" t="n">
        <x:v>46315</x:v>
      </x:c>
      <x:c r="C167" s="13" t="str">
        <x:v>Q4</x:v>
      </x:c>
      <x:c r="D167" s="13" t="str">
        <x:v>Chuyển đổi số</x:v>
      </x:c>
      <x:c r="E167" s="13" t="str">
        <x:v>Dashboard quản trị</x:v>
      </x:c>
      <x:c r="F167" s="13" t="str">
        <x:v>CMC Telecom</x:v>
      </x:c>
      <x:c r="G167" s="13" t="str">
        <x:v>Thanh toán dashboard quản trị - Chuyển đổi số</x:v>
      </x:c>
      <x:c r="H167" s="16" t="n">
        <x:v>20000000</x:v>
      </x:c>
      <x:c r="I167" s="16" t="n">
        <x:f>H167*10%</x:f>
        <x:v>2000000</x:v>
      </x:c>
      <x:c r="J167" s="16" t="n">
        <x:f>H167+I167</x:f>
        <x:v>22000000</x:v>
      </x:c>
      <x:c r="K167" s="13" t="str">
        <x:v>Đã duyệt</x:v>
      </x:c>
      <x:c r="L167" s="13" t="str">
        <x:v>Cao</x:v>
      </x:c>
      <x:c r="M167" s="13" t="str">
        <x:v>IT-DT-2026-065</x:v>
      </x:c>
    </x:row>
    <x:row r="168">
      <x:c r="A168" s="13" t="str">
        <x:v>IT-PR-2026-167</x:v>
      </x:c>
      <x:c r="B168" s="24" t="n">
        <x:v>46348</x:v>
      </x:c>
      <x:c r="C168" s="13" t="str">
        <x:v>Q4</x:v>
      </x:c>
      <x:c r="D168" s="13" t="str">
        <x:v>LMS/SIS</x:v>
      </x:c>
      <x:c r="E168" s="13" t="str">
        <x:v>Tích hợp SSO</x:v>
      </x:c>
      <x:c r="F168" s="13" t="str">
        <x:v>Microsoft Vietnam</x:v>
      </x:c>
      <x:c r="G168" s="13" t="str">
        <x:v>Thanh toán tích hợp sso - LMS/SIS</x:v>
      </x:c>
      <x:c r="H168" s="16" t="n">
        <x:v>35000000</x:v>
      </x:c>
      <x:c r="I168" s="16" t="n">
        <x:f>H168*10%</x:f>
        <x:v>3500000</x:v>
      </x:c>
      <x:c r="J168" s="16" t="n">
        <x:f>H168+I168</x:f>
        <x:v>38500000</x:v>
      </x:c>
      <x:c r="K168" s="13" t="str">
        <x:v>Đã thanh toán</x:v>
      </x:c>
      <x:c r="L168" s="13" t="str">
        <x:v>Cao</x:v>
      </x:c>
      <x:c r="M168" s="13" t="str">
        <x:v>IT-DT-2026-020</x:v>
      </x:c>
    </x:row>
    <x:row r="169">
      <x:c r="A169" s="13" t="str">
        <x:v>IT-PR-2026-168</x:v>
      </x:c>
      <x:c r="B169" s="24" t="n">
        <x:v>46365</x:v>
      </x:c>
      <x:c r="C169" s="13" t="str">
        <x:v>Q4</x:v>
      </x:c>
      <x:c r="D169" s="13" t="str">
        <x:v>Phòng máy tính</x:v>
      </x:c>
      <x:c r="E169" s="13" t="str">
        <x:v>Nâng cấp PC lab</x:v>
      </x:c>
      <x:c r="F169" s="13" t="str">
        <x:v>Microsoft Vietnam</x:v>
      </x:c>
      <x:c r="G169" s="13" t="str">
        <x:v>Thanh toán nâng cấp pc lab - Phòng máy tính</x:v>
      </x:c>
      <x:c r="H169" s="16" t="n">
        <x:v>35000000</x:v>
      </x:c>
      <x:c r="I169" s="16" t="n">
        <x:f>H169*10%</x:f>
        <x:v>3500000</x:v>
      </x:c>
      <x:c r="J169" s="16" t="n">
        <x:f>H169+I169</x:f>
        <x:v>38500000</x:v>
      </x:c>
      <x:c r="K169" s="13" t="str">
        <x:v>Đã thanh toán</x:v>
      </x:c>
      <x:c r="L169" s="13" t="str">
        <x:v>Cao</x:v>
      </x:c>
      <x:c r="M169" s="13" t="str">
        <x:v>IT-DT-2026-100</x:v>
      </x:c>
    </x:row>
    <x:row r="170">
      <x:c r="A170" s="13" t="str">
        <x:v>IT-PR-2026-169</x:v>
      </x:c>
      <x:c r="B170" s="24" t="n">
        <x:v>46028</x:v>
      </x:c>
      <x:c r="C170" s="13" t="str">
        <x:v>Q1</x:v>
      </x:c>
      <x:c r="D170" s="13" t="str">
        <x:v>Hạ tầng mạng</x:v>
      </x:c>
      <x:c r="E170" s="13" t="str">
        <x:v>Thiết bị firewall</x:v>
      </x:c>
      <x:c r="F170" s="13" t="str">
        <x:v>CMC Cyber Security</x:v>
      </x:c>
      <x:c r="G170" s="13" t="str">
        <x:v>Thanh toán thiết bị firewall - Hạ tầng mạng</x:v>
      </x:c>
      <x:c r="H170" s="16" t="n">
        <x:v>8000000</x:v>
      </x:c>
      <x:c r="I170" s="16" t="n">
        <x:f>H170*10%</x:f>
        <x:v>800000</x:v>
      </x:c>
      <x:c r="J170" s="16" t="n">
        <x:f>H170+I170</x:f>
        <x:v>8800000</x:v>
      </x:c>
      <x:c r="K170" s="13" t="str">
        <x:v>Đã thanh toán</x:v>
      </x:c>
      <x:c r="L170" s="13" t="str">
        <x:v>Trung bình</x:v>
      </x:c>
      <x:c r="M170" s="13" t="str">
        <x:v>IT-DT-2026-137</x:v>
      </x:c>
    </x:row>
    <x:row r="171">
      <x:c r="A171" s="13" t="str">
        <x:v>IT-PR-2026-170</x:v>
      </x:c>
      <x:c r="B171" s="24" t="n">
        <x:v>46078</x:v>
      </x:c>
      <x:c r="C171" s="13" t="str">
        <x:v>Q1</x:v>
      </x:c>
      <x:c r="D171" s="13" t="str">
        <x:v>Hệ thống máy chủ</x:v>
      </x:c>
      <x:c r="E171" s="13" t="str">
        <x:v>Backup server</x:v>
      </x:c>
      <x:c r="F171" s="13" t="str">
        <x:v>Microsoft Vietnam</x:v>
      </x:c>
      <x:c r="G171" s="13" t="str">
        <x:v>Thanh toán backup server - Hệ thống máy chủ</x:v>
      </x:c>
      <x:c r="H171" s="16" t="n">
        <x:v>5000000</x:v>
      </x:c>
      <x:c r="I171" s="16" t="n">
        <x:f>H171*10%</x:f>
        <x:v>500000</x:v>
      </x:c>
      <x:c r="J171" s="16" t="n">
        <x:f>H171+I171</x:f>
        <x:v>5500000</x:v>
      </x:c>
      <x:c r="K171" s="13" t="str">
        <x:v>Đã duyệt</x:v>
      </x:c>
      <x:c r="L171" s="13" t="str">
        <x:v>Trung bình</x:v>
      </x:c>
      <x:c r="M171" s="13" t="str">
        <x:v>IT-DT-2026-139</x:v>
      </x:c>
    </x:row>
    <x:row r="172">
      <x:c r="A172" s="13" t="str">
        <x:v>IT-PR-2026-171</x:v>
      </x:c>
      <x:c r="B172" s="24" t="n">
        <x:v>46089</x:v>
      </x:c>
      <x:c r="C172" s="13" t="str">
        <x:v>Q1</x:v>
      </x:c>
      <x:c r="D172" s="13" t="str">
        <x:v>Bảo mật thông tin</x:v>
      </x:c>
      <x:c r="E172" s="13" t="str">
        <x:v>Giám sát SOC</x:v>
      </x:c>
      <x:c r="F172" s="13" t="str">
        <x:v>Bkav Enterprise</x:v>
      </x:c>
      <x:c r="G172" s="13" t="str">
        <x:v>Thanh toán giám sát soc - Bảo mật thông tin</x:v>
      </x:c>
      <x:c r="H172" s="16" t="n">
        <x:v>50000000</x:v>
      </x:c>
      <x:c r="I172" s="16" t="n">
        <x:f>H172*10%</x:f>
        <x:v>5000000</x:v>
      </x:c>
      <x:c r="J172" s="16" t="n">
        <x:f>H172+I172</x:f>
        <x:v>55000000</x:v>
      </x:c>
      <x:c r="K172" s="13" t="str">
        <x:v>Đã duyệt</x:v>
      </x:c>
      <x:c r="L172" s="13" t="str">
        <x:v>Cao</x:v>
      </x:c>
      <x:c r="M172" s="13" t="str">
        <x:v>IT-DT-2026-130</x:v>
      </x:c>
    </x:row>
    <x:row r="173">
      <x:c r="A173" s="13" t="str">
        <x:v>IT-PR-2026-172</x:v>
      </x:c>
      <x:c r="B173" s="24" t="n">
        <x:v>46121</x:v>
      </x:c>
      <x:c r="C173" s="13" t="str">
        <x:v>Q2</x:v>
      </x:c>
      <x:c r="D173" s="13" t="str">
        <x:v>Phần mềm bản quyền</x:v>
      </x:c>
      <x:c r="E173" s="13" t="str">
        <x:v>Adobe license</x:v>
      </x:c>
      <x:c r="F173" s="13" t="str">
        <x:v>VNPT Technology</x:v>
      </x:c>
      <x:c r="G173" s="13" t="str">
        <x:v>Thanh toán adobe license - Phần mềm bản quyền</x:v>
      </x:c>
      <x:c r="H173" s="16" t="n">
        <x:v>8000000</x:v>
      </x:c>
      <x:c r="I173" s="16" t="n">
        <x:f>H173*10%</x:f>
        <x:v>800000</x:v>
      </x:c>
      <x:c r="J173" s="16" t="n">
        <x:f>H173+I173</x:f>
        <x:v>8800000</x:v>
      </x:c>
      <x:c r="K173" s="13" t="str">
        <x:v>Đã thanh toán</x:v>
      </x:c>
      <x:c r="L173" s="13" t="str">
        <x:v>Cao</x:v>
      </x:c>
      <x:c r="M173" s="13" t="str">
        <x:v>IT-DT-2026-019</x:v>
      </x:c>
    </x:row>
    <x:row r="174">
      <x:c r="A174" s="13" t="str">
        <x:v>IT-PR-2026-173</x:v>
      </x:c>
      <x:c r="B174" s="24" t="n">
        <x:v>46152</x:v>
      </x:c>
      <x:c r="C174" s="13" t="str">
        <x:v>Q2</x:v>
      </x:c>
      <x:c r="D174" s="13" t="str">
        <x:v>Hỗ trợ người dùng</x:v>
      </x:c>
      <x:c r="E174" s="13" t="str">
        <x:v>Máy tính cho cán bộ</x:v>
      </x:c>
      <x:c r="F174" s="13" t="str">
        <x:v>CMC Telecom</x:v>
      </x:c>
      <x:c r="G174" s="13" t="str">
        <x:v>Thanh toán máy tính cho cán bộ - Hỗ trợ người dùng</x:v>
      </x:c>
      <x:c r="H174" s="16" t="n">
        <x:v>8000000</x:v>
      </x:c>
      <x:c r="I174" s="16" t="n">
        <x:f>H174*10%</x:f>
        <x:v>800000</x:v>
      </x:c>
      <x:c r="J174" s="16" t="n">
        <x:f>H174+I174</x:f>
        <x:v>8800000</x:v>
      </x:c>
      <x:c r="K174" s="13" t="str">
        <x:v>Chờ duyệt</x:v>
      </x:c>
      <x:c r="L174" s="13" t="str">
        <x:v>Cao</x:v>
      </x:c>
      <x:c r="M174" s="13" t="str">
        <x:v>IT-DT-2026-091</x:v>
      </x:c>
    </x:row>
    <x:row r="175">
      <x:c r="A175" s="13" t="str">
        <x:v>IT-PR-2026-174</x:v>
      </x:c>
      <x:c r="B175" s="24" t="n">
        <x:v>46178</x:v>
      </x:c>
      <x:c r="C175" s="13" t="str">
        <x:v>Q2</x:v>
      </x:c>
      <x:c r="D175" s="13" t="str">
        <x:v>Chuyển đổi số</x:v>
      </x:c>
      <x:c r="E175" s="13" t="str">
        <x:v>Phát triển chatbot nội bộ</x:v>
      </x:c>
      <x:c r="F175" s="13" t="str">
        <x:v>Cloud Ace</x:v>
      </x:c>
      <x:c r="G175" s="13" t="str">
        <x:v>Thanh toán phát triển chatbot nội bộ - Chuyển đổi số</x:v>
      </x:c>
      <x:c r="H175" s="16" t="n">
        <x:v>8000000</x:v>
      </x:c>
      <x:c r="I175" s="16" t="n">
        <x:f>H175*10%</x:f>
        <x:v>800000</x:v>
      </x:c>
      <x:c r="J175" s="16" t="n">
        <x:f>H175+I175</x:f>
        <x:v>8800000</x:v>
      </x:c>
      <x:c r="K175" s="13" t="str">
        <x:v>Chờ duyệt</x:v>
      </x:c>
      <x:c r="L175" s="13" t="str">
        <x:v>Cao</x:v>
      </x:c>
      <x:c r="M175" s="13" t="str">
        <x:v>IT-DT-2026-037</x:v>
      </x:c>
    </x:row>
    <x:row r="176">
      <x:c r="A176" s="13" t="str">
        <x:v>IT-PR-2026-175</x:v>
      </x:c>
      <x:c r="B176" s="24" t="n">
        <x:v>46225</x:v>
      </x:c>
      <x:c r="C176" s="13" t="str">
        <x:v>Q3</x:v>
      </x:c>
      <x:c r="D176" s="13" t="str">
        <x:v>LMS/SIS</x:v>
      </x:c>
      <x:c r="E176" s="13" t="str">
        <x:v>Bảo trì LMS</x:v>
      </x:c>
      <x:c r="F176" s="13" t="str">
        <x:v>Cisco Partner</x:v>
      </x:c>
      <x:c r="G176" s="13" t="str">
        <x:v>Thanh toán bảo trì lms - LMS/SIS</x:v>
      </x:c>
      <x:c r="H176" s="16" t="n">
        <x:v>150000000</x:v>
      </x:c>
      <x:c r="I176" s="16" t="n">
        <x:f>H176*10%</x:f>
        <x:v>15000000</x:v>
      </x:c>
      <x:c r="J176" s="16" t="n">
        <x:f>H176+I176</x:f>
        <x:v>165000000</x:v>
      </x:c>
      <x:c r="K176" s="13" t="str">
        <x:v>Đã thanh toán</x:v>
      </x:c>
      <x:c r="L176" s="13" t="str">
        <x:v>Cao</x:v>
      </x:c>
      <x:c r="M176" s="13" t="str">
        <x:v>IT-DT-2026-091</x:v>
      </x:c>
    </x:row>
    <x:row r="177">
      <x:c r="A177" s="13" t="str">
        <x:v>IT-PR-2026-176</x:v>
      </x:c>
      <x:c r="B177" s="24" t="n">
        <x:v>46254</x:v>
      </x:c>
      <x:c r="C177" s="13" t="str">
        <x:v>Q3</x:v>
      </x:c>
      <x:c r="D177" s="13" t="str">
        <x:v>Phòng máy tính</x:v>
      </x:c>
      <x:c r="E177" s="13" t="str">
        <x:v>Bảo trì phòng lab</x:v>
      </x:c>
      <x:c r="F177" s="13" t="str">
        <x:v>VNPT Technology</x:v>
      </x:c>
      <x:c r="G177" s="13" t="str">
        <x:v>Thanh toán bảo trì phòng lab - Phòng máy tính</x:v>
      </x:c>
      <x:c r="H177" s="16" t="n">
        <x:v>8000000</x:v>
      </x:c>
      <x:c r="I177" s="16" t="n">
        <x:f>H177*10%</x:f>
        <x:v>800000</x:v>
      </x:c>
      <x:c r="J177" s="16" t="n">
        <x:f>H177+I177</x:f>
        <x:v>8800000</x:v>
      </x:c>
      <x:c r="K177" s="13" t="str">
        <x:v>Đã duyệt</x:v>
      </x:c>
      <x:c r="L177" s="13" t="str">
        <x:v>Cao</x:v>
      </x:c>
      <x:c r="M177" s="13" t="str">
        <x:v>IT-DT-2026-021</x:v>
      </x:c>
    </x:row>
    <x:row r="178">
      <x:c r="A178" s="13" t="str">
        <x:v>IT-PR-2026-177</x:v>
      </x:c>
      <x:c r="B178" s="24" t="n">
        <x:v>46288</x:v>
      </x:c>
      <x:c r="C178" s="13" t="str">
        <x:v>Q3</x:v>
      </x:c>
      <x:c r="D178" s="13" t="str">
        <x:v>Hạ tầng mạng</x:v>
      </x:c>
      <x:c r="E178" s="13" t="str">
        <x:v>Bảo trì hệ thống mạng</x:v>
      </x:c>
      <x:c r="F178" s="13" t="str">
        <x:v>FPT IS</x:v>
      </x:c>
      <x:c r="G178" s="13" t="str">
        <x:v>Thanh toán bảo trì hệ thống mạng - Hạ tầng mạng</x:v>
      </x:c>
      <x:c r="H178" s="16" t="n">
        <x:v>150000000</x:v>
      </x:c>
      <x:c r="I178" s="16" t="n">
        <x:f>H178*10%</x:f>
        <x:v>15000000</x:v>
      </x:c>
      <x:c r="J178" s="16" t="n">
        <x:f>H178+I178</x:f>
        <x:v>165000000</x:v>
      </x:c>
      <x:c r="K178" s="13" t="str">
        <x:v>Đã thanh toán</x:v>
      </x:c>
      <x:c r="L178" s="13" t="str">
        <x:v>Trung bình</x:v>
      </x:c>
      <x:c r="M178" s="13" t="str">
        <x:v>IT-DT-2026-023</x:v>
      </x:c>
    </x:row>
    <x:row r="179">
      <x:c r="A179" s="13" t="str">
        <x:v>IT-PR-2026-178</x:v>
      </x:c>
      <x:c r="B179" s="24" t="n">
        <x:v>46300</x:v>
      </x:c>
      <x:c r="C179" s="13" t="str">
        <x:v>Q4</x:v>
      </x:c>
      <x:c r="D179" s="13" t="str">
        <x:v>Hệ thống máy chủ</x:v>
      </x:c>
      <x:c r="E179" s="13" t="str">
        <x:v>Backup server</x:v>
      </x:c>
      <x:c r="F179" s="13" t="str">
        <x:v>Microsoft Vietnam</x:v>
      </x:c>
      <x:c r="G179" s="13" t="str">
        <x:v>Thanh toán backup server - Hệ thống máy chủ</x:v>
      </x:c>
      <x:c r="H179" s="16" t="n">
        <x:v>50000000</x:v>
      </x:c>
      <x:c r="I179" s="16" t="n">
        <x:f>H179*10%</x:f>
        <x:v>5000000</x:v>
      </x:c>
      <x:c r="J179" s="16" t="n">
        <x:f>H179+I179</x:f>
        <x:v>55000000</x:v>
      </x:c>
      <x:c r="K179" s="13" t="str">
        <x:v>Chờ duyệt</x:v>
      </x:c>
      <x:c r="L179" s="13" t="str">
        <x:v>Cao</x:v>
      </x:c>
      <x:c r="M179" s="13" t="str">
        <x:v>IT-DT-2026-039</x:v>
      </x:c>
    </x:row>
    <x:row r="180">
      <x:c r="A180" s="13" t="str">
        <x:v>IT-PR-2026-179</x:v>
      </x:c>
      <x:c r="B180" s="24" t="n">
        <x:v>46344</x:v>
      </x:c>
      <x:c r="C180" s="13" t="str">
        <x:v>Q4</x:v>
      </x:c>
      <x:c r="D180" s="13" t="str">
        <x:v>Bảo mật thông tin</x:v>
      </x:c>
      <x:c r="E180" s="13" t="str">
        <x:v>Kiểm thử xâm nhập</x:v>
      </x:c>
      <x:c r="F180" s="13" t="str">
        <x:v>Cisco Partner</x:v>
      </x:c>
      <x:c r="G180" s="13" t="str">
        <x:v>Thanh toán kiểm thử xâm nhập - Bảo mật thông tin</x:v>
      </x:c>
      <x:c r="H180" s="16" t="n">
        <x:v>5000000</x:v>
      </x:c>
      <x:c r="I180" s="16" t="n">
        <x:f>H180*10%</x:f>
        <x:v>500000</x:v>
      </x:c>
      <x:c r="J180" s="16" t="n">
        <x:f>H180+I180</x:f>
        <x:v>5500000</x:v>
      </x:c>
      <x:c r="K180" s="13" t="str">
        <x:v>Đã thanh toán</x:v>
      </x:c>
      <x:c r="L180" s="13" t="str">
        <x:v>Trung bình</x:v>
      </x:c>
      <x:c r="M180" s="13" t="str">
        <x:v>IT-DT-2026-147</x:v>
      </x:c>
    </x:row>
    <x:row r="181">
      <x:c r="A181" s="13" t="str">
        <x:v>IT-PR-2026-180</x:v>
      </x:c>
      <x:c r="B181" s="24" t="n">
        <x:v>46376</x:v>
      </x:c>
      <x:c r="C181" s="13" t="str">
        <x:v>Q4</x:v>
      </x:c>
      <x:c r="D181" s="13" t="str">
        <x:v>Phần mềm bản quyền</x:v>
      </x:c>
      <x:c r="E181" s="13" t="str">
        <x:v>Adobe license</x:v>
      </x:c>
      <x:c r="F181" s="13" t="str">
        <x:v>Viettel Solutions</x:v>
      </x:c>
      <x:c r="G181" s="13" t="str">
        <x:v>Thanh toán adobe license - Phần mềm bản quyền</x:v>
      </x:c>
      <x:c r="H181" s="16" t="n">
        <x:v>8000000</x:v>
      </x:c>
      <x:c r="I181" s="16" t="n">
        <x:f>H181*10%</x:f>
        <x:v>800000</x:v>
      </x:c>
      <x:c r="J181" s="16" t="n">
        <x:f>H181+I181</x:f>
        <x:v>8800000</x:v>
      </x:c>
      <x:c r="K181" s="13" t="str">
        <x:v>Đã thanh toán</x:v>
      </x:c>
      <x:c r="L181" s="13" t="str">
        <x:v>Cao</x:v>
      </x:c>
      <x:c r="M181" s="13" t="str">
        <x:v>IT-DT-2026-009</x:v>
      </x:c>
    </x:row>
    <x:row r="182">
      <x:c r="A182" s="13" t="str">
        <x:v>IT-PR-2026-181</x:v>
      </x:c>
      <x:c r="B182" s="24" t="n">
        <x:v>46026</x:v>
      </x:c>
      <x:c r="C182" s="13" t="str">
        <x:v>Q1</x:v>
      </x:c>
      <x:c r="D182" s="13" t="str">
        <x:v>Hỗ trợ người dùng</x:v>
      </x:c>
      <x:c r="E182" s="13" t="str">
        <x:v>Máy tính cho cán bộ</x:v>
      </x:c>
      <x:c r="F182" s="13" t="str">
        <x:v>Microsoft Vietnam</x:v>
      </x:c>
      <x:c r="G182" s="13" t="str">
        <x:v>Thanh toán máy tính cho cán bộ - Hỗ trợ người dùng</x:v>
      </x:c>
      <x:c r="H182" s="16" t="n">
        <x:v>35000000</x:v>
      </x:c>
      <x:c r="I182" s="16" t="n">
        <x:f>H182*10%</x:f>
        <x:v>3500000</x:v>
      </x:c>
      <x:c r="J182" s="16" t="n">
        <x:f>H182+I182</x:f>
        <x:v>38500000</x:v>
      </x:c>
      <x:c r="K182" s="13" t="str">
        <x:v>Từ chối</x:v>
      </x:c>
      <x:c r="L182" s="13" t="str">
        <x:v>Cao</x:v>
      </x:c>
      <x:c r="M182" s="13" t="str">
        <x:v>IT-DT-2026-009</x:v>
      </x:c>
    </x:row>
    <x:row r="183">
      <x:c r="A183" s="13" t="str">
        <x:v>IT-PR-2026-182</x:v>
      </x:c>
      <x:c r="B183" s="24" t="n">
        <x:v>46058</x:v>
      </x:c>
      <x:c r="C183" s="13" t="str">
        <x:v>Q1</x:v>
      </x:c>
      <x:c r="D183" s="13" t="str">
        <x:v>Chuyển đổi số</x:v>
      </x:c>
      <x:c r="E183" s="13" t="str">
        <x:v>Tích hợp API</x:v>
      </x:c>
      <x:c r="F183" s="13" t="str">
        <x:v>Sao Bắc Đẩu</x:v>
      </x:c>
      <x:c r="G183" s="13" t="str">
        <x:v>Thanh toán tích hợp api - Chuyển đổi số</x:v>
      </x:c>
      <x:c r="H183" s="16" t="n">
        <x:v>150000000</x:v>
      </x:c>
      <x:c r="I183" s="16" t="n">
        <x:f>H183*10%</x:f>
        <x:v>15000000</x:v>
      </x:c>
      <x:c r="J183" s="16" t="n">
        <x:f>H183+I183</x:f>
        <x:v>165000000</x:v>
      </x:c>
      <x:c r="K183" s="13" t="str">
        <x:v>Đã thanh toán</x:v>
      </x:c>
      <x:c r="L183" s="13" t="str">
        <x:v>Trung bình</x:v>
      </x:c>
      <x:c r="M183" s="13" t="str">
        <x:v>IT-DT-2026-022</x:v>
      </x:c>
    </x:row>
    <x:row r="184">
      <x:c r="A184" s="13" t="str">
        <x:v>IT-PR-2026-183</x:v>
      </x:c>
      <x:c r="B184" s="24" t="n">
        <x:v>46082</x:v>
      </x:c>
      <x:c r="C184" s="13" t="str">
        <x:v>Q1</x:v>
      </x:c>
      <x:c r="D184" s="13" t="str">
        <x:v>LMS/SIS</x:v>
      </x:c>
      <x:c r="E184" s="13" t="str">
        <x:v>Tích hợp SSO</x:v>
      </x:c>
      <x:c r="F184" s="13" t="str">
        <x:v>CMC Telecom</x:v>
      </x:c>
      <x:c r="G184" s="13" t="str">
        <x:v>Thanh toán tích hợp sso - LMS/SIS</x:v>
      </x:c>
      <x:c r="H184" s="16" t="n">
        <x:v>20000000</x:v>
      </x:c>
      <x:c r="I184" s="16" t="n">
        <x:f>H184*10%</x:f>
        <x:v>2000000</x:v>
      </x:c>
      <x:c r="J184" s="16" t="n">
        <x:f>H184+I184</x:f>
        <x:v>22000000</x:v>
      </x:c>
      <x:c r="K184" s="13" t="str">
        <x:v>Từ chối</x:v>
      </x:c>
      <x:c r="L184" s="13" t="str">
        <x:v>Trung bình</x:v>
      </x:c>
      <x:c r="M184" s="13" t="str">
        <x:v>IT-DT-2026-105</x:v>
      </x:c>
    </x:row>
    <x:row r="185">
      <x:c r="A185" s="13" t="str">
        <x:v>IT-PR-2026-184</x:v>
      </x:c>
      <x:c r="B185" s="24" t="n">
        <x:v>46124</x:v>
      </x:c>
      <x:c r="C185" s="13" t="str">
        <x:v>Q2</x:v>
      </x:c>
      <x:c r="D185" s="13" t="str">
        <x:v>Phòng máy tính</x:v>
      </x:c>
      <x:c r="E185" s="13" t="str">
        <x:v>Thiết bị âm thanh</x:v>
      </x:c>
      <x:c r="F185" s="13" t="str">
        <x:v>VNPT Technology</x:v>
      </x:c>
      <x:c r="G185" s="13" t="str">
        <x:v>Thanh toán thiết bị âm thanh - Phòng máy tính</x:v>
      </x:c>
      <x:c r="H185" s="16" t="n">
        <x:v>50000000</x:v>
      </x:c>
      <x:c r="I185" s="16" t="n">
        <x:f>H185*10%</x:f>
        <x:v>5000000</x:v>
      </x:c>
      <x:c r="J185" s="16" t="n">
        <x:f>H185+I185</x:f>
        <x:v>55000000</x:v>
      </x:c>
      <x:c r="K185" s="13" t="str">
        <x:v>Đã duyệt</x:v>
      </x:c>
      <x:c r="L185" s="13" t="str">
        <x:v>Trung bình</x:v>
      </x:c>
      <x:c r="M185" s="13" t="str">
        <x:v>IT-DT-2026-062</x:v>
      </x:c>
    </x:row>
    <x:row r="186">
      <x:c r="A186" s="13" t="str">
        <x:v>IT-PR-2026-185</x:v>
      </x:c>
      <x:c r="B186" s="24" t="n">
        <x:v>46151</x:v>
      </x:c>
      <x:c r="C186" s="13" t="str">
        <x:v>Q2</x:v>
      </x:c>
      <x:c r="D186" s="13" t="str">
        <x:v>Hạ tầng mạng</x:v>
      </x:c>
      <x:c r="E186" s="13" t="str">
        <x:v>Nâng cấp switch core</x:v>
      </x:c>
      <x:c r="F186" s="13" t="str">
        <x:v>CMC Cyber Security</x:v>
      </x:c>
      <x:c r="G186" s="13" t="str">
        <x:v>Thanh toán nâng cấp switch core - Hạ tầng mạng</x:v>
      </x:c>
      <x:c r="H186" s="16" t="n">
        <x:v>50000000</x:v>
      </x:c>
      <x:c r="I186" s="16" t="n">
        <x:f>H186*10%</x:f>
        <x:v>5000000</x:v>
      </x:c>
      <x:c r="J186" s="16" t="n">
        <x:f>H186+I186</x:f>
        <x:v>55000000</x:v>
      </x:c>
      <x:c r="K186" s="13" t="str">
        <x:v>Đã duyệt</x:v>
      </x:c>
      <x:c r="L186" s="13" t="str">
        <x:v>Cao</x:v>
      </x:c>
      <x:c r="M186" s="13" t="str">
        <x:v>IT-DT-2026-091</x:v>
      </x:c>
    </x:row>
    <x:row r="187">
      <x:c r="A187" s="13" t="str">
        <x:v>IT-PR-2026-186</x:v>
      </x:c>
      <x:c r="B187" s="24" t="n">
        <x:v>46188</x:v>
      </x:c>
      <x:c r="C187" s="13" t="str">
        <x:v>Q2</x:v>
      </x:c>
      <x:c r="D187" s="13" t="str">
        <x:v>Hệ thống máy chủ</x:v>
      </x:c>
      <x:c r="E187" s="13" t="str">
        <x:v>Lưu trữ NAS/SAN</x:v>
      </x:c>
      <x:c r="F187" s="13" t="str">
        <x:v>Cisco Partner</x:v>
      </x:c>
      <x:c r="G187" s="13" t="str">
        <x:v>Thanh toán lưu trữ nas/san - Hệ thống máy chủ</x:v>
      </x:c>
      <x:c r="H187" s="16" t="n">
        <x:v>12000000</x:v>
      </x:c>
      <x:c r="I187" s="16" t="n">
        <x:f>H187*10%</x:f>
        <x:v>1200000</x:v>
      </x:c>
      <x:c r="J187" s="16" t="n">
        <x:f>H187+I187</x:f>
        <x:v>13200000</x:v>
      </x:c>
      <x:c r="K187" s="13" t="str">
        <x:v>Chờ duyệt</x:v>
      </x:c>
      <x:c r="L187" s="13" t="str">
        <x:v>Cao</x:v>
      </x:c>
      <x:c r="M187" s="13" t="str">
        <x:v>IT-DT-2026-116</x:v>
      </x:c>
    </x:row>
    <x:row r="188">
      <x:c r="A188" s="13" t="str">
        <x:v>IT-PR-2026-187</x:v>
      </x:c>
      <x:c r="B188" s="24" t="n">
        <x:v>46219</x:v>
      </x:c>
      <x:c r="C188" s="13" t="str">
        <x:v>Q3</x:v>
      </x:c>
      <x:c r="D188" s="13" t="str">
        <x:v>Bảo mật thông tin</x:v>
      </x:c>
      <x:c r="E188" s="13" t="str">
        <x:v>Kiểm thử xâm nhập</x:v>
      </x:c>
      <x:c r="F188" s="13" t="str">
        <x:v>Dell Technologies</x:v>
      </x:c>
      <x:c r="G188" s="13" t="str">
        <x:v>Thanh toán kiểm thử xâm nhập - Bảo mật thông tin</x:v>
      </x:c>
      <x:c r="H188" s="16" t="n">
        <x:v>12000000</x:v>
      </x:c>
      <x:c r="I188" s="16" t="n">
        <x:f>H188*10%</x:f>
        <x:v>1200000</x:v>
      </x:c>
      <x:c r="J188" s="16" t="n">
        <x:f>H188+I188</x:f>
        <x:v>13200000</x:v>
      </x:c>
      <x:c r="K188" s="13" t="str">
        <x:v>Đã duyệt</x:v>
      </x:c>
      <x:c r="L188" s="13" t="str">
        <x:v>Trung bình</x:v>
      </x:c>
      <x:c r="M188" s="13" t="str">
        <x:v>IT-DT-2026-067</x:v>
      </x:c>
    </x:row>
    <x:row r="189">
      <x:c r="A189" s="13" t="str">
        <x:v>IT-PR-2026-188</x:v>
      </x:c>
      <x:c r="B189" s="24" t="n">
        <x:v>46254</x:v>
      </x:c>
      <x:c r="C189" s="13" t="str">
        <x:v>Q3</x:v>
      </x:c>
      <x:c r="D189" s="13" t="str">
        <x:v>Phần mềm bản quyền</x:v>
      </x:c>
      <x:c r="E189" s="13" t="str">
        <x:v>Adobe license</x:v>
      </x:c>
      <x:c r="F189" s="13" t="str">
        <x:v>CMC Cyber Security</x:v>
      </x:c>
      <x:c r="G189" s="13" t="str">
        <x:v>Thanh toán adobe license - Phần mềm bản quyền</x:v>
      </x:c>
      <x:c r="H189" s="16" t="n">
        <x:v>5000000</x:v>
      </x:c>
      <x:c r="I189" s="16" t="n">
        <x:f>H189*10%</x:f>
        <x:v>500000</x:v>
      </x:c>
      <x:c r="J189" s="16" t="n">
        <x:f>H189+I189</x:f>
        <x:v>5500000</x:v>
      </x:c>
      <x:c r="K189" s="13" t="str">
        <x:v>Chờ duyệt</x:v>
      </x:c>
      <x:c r="L189" s="13" t="str">
        <x:v>Cao</x:v>
      </x:c>
      <x:c r="M189" s="13" t="str">
        <x:v>IT-DT-2026-078</x:v>
      </x:c>
    </x:row>
    <x:row r="190">
      <x:c r="A190" s="13" t="str">
        <x:v>IT-PR-2026-189</x:v>
      </x:c>
      <x:c r="B190" s="24" t="n">
        <x:v>46282</x:v>
      </x:c>
      <x:c r="C190" s="13" t="str">
        <x:v>Q3</x:v>
      </x:c>
      <x:c r="D190" s="13" t="str">
        <x:v>Hỗ trợ người dùng</x:v>
      </x:c>
      <x:c r="E190" s="13" t="str">
        <x:v>Helpdesk system</x:v>
      </x:c>
      <x:c r="F190" s="13" t="str">
        <x:v>Sao Bắc Đẩu</x:v>
      </x:c>
      <x:c r="G190" s="13" t="str">
        <x:v>Thanh toán helpdesk system - Hỗ trợ người dùng</x:v>
      </x:c>
      <x:c r="H190" s="16" t="n">
        <x:v>20000000</x:v>
      </x:c>
      <x:c r="I190" s="16" t="n">
        <x:f>H190*10%</x:f>
        <x:v>2000000</x:v>
      </x:c>
      <x:c r="J190" s="16" t="n">
        <x:f>H190+I190</x:f>
        <x:v>22000000</x:v>
      </x:c>
      <x:c r="K190" s="13" t="str">
        <x:v>Đã thanh toán</x:v>
      </x:c>
      <x:c r="L190" s="13" t="str">
        <x:v>Trung bình</x:v>
      </x:c>
      <x:c r="M190" s="13" t="str">
        <x:v>IT-DT-2026-139</x:v>
      </x:c>
    </x:row>
    <x:row r="191">
      <x:c r="A191" s="13" t="str">
        <x:v>IT-PR-2026-190</x:v>
      </x:c>
      <x:c r="B191" s="24" t="n">
        <x:v>46298</x:v>
      </x:c>
      <x:c r="C191" s="13" t="str">
        <x:v>Q4</x:v>
      </x:c>
      <x:c r="D191" s="13" t="str">
        <x:v>Chuyển đổi số</x:v>
      </x:c>
      <x:c r="E191" s="13" t="str">
        <x:v>Phát triển chatbot nội bộ</x:v>
      </x:c>
      <x:c r="F191" s="13" t="str">
        <x:v>Cloud Ace</x:v>
      </x:c>
      <x:c r="G191" s="13" t="str">
        <x:v>Thanh toán phát triển chatbot nội bộ - Chuyển đổi số</x:v>
      </x:c>
      <x:c r="H191" s="16" t="n">
        <x:v>150000000</x:v>
      </x:c>
      <x:c r="I191" s="16" t="n">
        <x:f>H191*10%</x:f>
        <x:v>15000000</x:v>
      </x:c>
      <x:c r="J191" s="16" t="n">
        <x:f>H191+I191</x:f>
        <x:v>165000000</x:v>
      </x:c>
      <x:c r="K191" s="13" t="str">
        <x:v>Đã duyệt</x:v>
      </x:c>
      <x:c r="L191" s="13" t="str">
        <x:v>Cao</x:v>
      </x:c>
      <x:c r="M191" s="13" t="str">
        <x:v>IT-DT-2026-107</x:v>
      </x:c>
    </x:row>
    <x:row r="192">
      <x:c r="A192" s="13" t="str">
        <x:v>IT-PR-2026-191</x:v>
      </x:c>
      <x:c r="B192" s="24" t="n">
        <x:v>46344</x:v>
      </x:c>
      <x:c r="C192" s="13" t="str">
        <x:v>Q4</x:v>
      </x:c>
      <x:c r="D192" s="13" t="str">
        <x:v>LMS/SIS</x:v>
      </x:c>
      <x:c r="E192" s="13" t="str">
        <x:v>Nâng cấp cổng sinh viên</x:v>
      </x:c>
      <x:c r="F192" s="13" t="str">
        <x:v>Dell Technologies</x:v>
      </x:c>
      <x:c r="G192" s="13" t="str">
        <x:v>Thanh toán nâng cấp cổng sinh viên - LMS/SIS</x:v>
      </x:c>
      <x:c r="H192" s="16" t="n">
        <x:v>50000000</x:v>
      </x:c>
      <x:c r="I192" s="16" t="n">
        <x:f>H192*10%</x:f>
        <x:v>5000000</x:v>
      </x:c>
      <x:c r="J192" s="16" t="n">
        <x:f>H192+I192</x:f>
        <x:v>55000000</x:v>
      </x:c>
      <x:c r="K192" s="13" t="str">
        <x:v>Chờ duyệt</x:v>
      </x:c>
      <x:c r="L192" s="13" t="str">
        <x:v>Cao</x:v>
      </x:c>
      <x:c r="M192" s="13" t="str">
        <x:v>IT-DT-2026-100</x:v>
      </x:c>
    </x:row>
    <x:row r="193">
      <x:c r="A193" s="13" t="str">
        <x:v>IT-PR-2026-192</x:v>
      </x:c>
      <x:c r="B193" s="24" t="n">
        <x:v>46361</x:v>
      </x:c>
      <x:c r="C193" s="13" t="str">
        <x:v>Q4</x:v>
      </x:c>
      <x:c r="D193" s="13" t="str">
        <x:v>Phòng máy tính</x:v>
      </x:c>
      <x:c r="E193" s="13" t="str">
        <x:v>Bảo trì phòng lab</x:v>
      </x:c>
      <x:c r="F193" s="13" t="str">
        <x:v>Cloud Ace</x:v>
      </x:c>
      <x:c r="G193" s="13" t="str">
        <x:v>Thanh toán bảo trì phòng lab - Phòng máy tính</x:v>
      </x:c>
      <x:c r="H193" s="16" t="n">
        <x:v>20000000</x:v>
      </x:c>
      <x:c r="I193" s="16" t="n">
        <x:f>H193*10%</x:f>
        <x:v>2000000</x:v>
      </x:c>
      <x:c r="J193" s="16" t="n">
        <x:f>H193+I193</x:f>
        <x:v>22000000</x:v>
      </x:c>
      <x:c r="K193" s="13" t="str">
        <x:v>Đã duyệt</x:v>
      </x:c>
      <x:c r="L193" s="13" t="str">
        <x:v>Trung bình</x:v>
      </x:c>
      <x:c r="M193" s="13" t="str">
        <x:v>IT-DT-2026-098</x:v>
      </x:c>
    </x:row>
    <x:row r="194">
      <x:c r="A194" s="13" t="str">
        <x:v>IT-PR-2026-193</x:v>
      </x:c>
      <x:c r="B194" s="24" t="n">
        <x:v>46032</x:v>
      </x:c>
      <x:c r="C194" s="13" t="str">
        <x:v>Q1</x:v>
      </x:c>
      <x:c r="D194" s="13" t="str">
        <x:v>Hạ tầng mạng</x:v>
      </x:c>
      <x:c r="E194" s="13" t="str">
        <x:v>Nâng cấp switch core</x:v>
      </x:c>
      <x:c r="F194" s="13" t="str">
        <x:v>Bkav Enterprise</x:v>
      </x:c>
      <x:c r="G194" s="13" t="str">
        <x:v>Thanh toán nâng cấp switch core - Hạ tầng mạng</x:v>
      </x:c>
      <x:c r="H194" s="16" t="n">
        <x:v>5000000</x:v>
      </x:c>
      <x:c r="I194" s="16" t="n">
        <x:f>H194*10%</x:f>
        <x:v>500000</x:v>
      </x:c>
      <x:c r="J194" s="16" t="n">
        <x:f>H194+I194</x:f>
        <x:v>5500000</x:v>
      </x:c>
      <x:c r="K194" s="13" t="str">
        <x:v>Chờ duyệt</x:v>
      </x:c>
      <x:c r="L194" s="13" t="str">
        <x:v>Cao</x:v>
      </x:c>
      <x:c r="M194" s="13" t="str">
        <x:v>IT-DT-2026-017</x:v>
      </x:c>
    </x:row>
    <x:row r="195">
      <x:c r="A195" s="13" t="str">
        <x:v>IT-PR-2026-194</x:v>
      </x:c>
      <x:c r="B195" s="24" t="n">
        <x:v>46067</x:v>
      </x:c>
      <x:c r="C195" s="13" t="str">
        <x:v>Q1</x:v>
      </x:c>
      <x:c r="D195" s="13" t="str">
        <x:v>Hệ thống máy chủ</x:v>
      </x:c>
      <x:c r="E195" s="13" t="str">
        <x:v>Lưu trữ NAS/SAN</x:v>
      </x:c>
      <x:c r="F195" s="13" t="str">
        <x:v>Viettel Solutions</x:v>
      </x:c>
      <x:c r="G195" s="13" t="str">
        <x:v>Thanh toán lưu trữ nas/san - Hệ thống máy chủ</x:v>
      </x:c>
      <x:c r="H195" s="16" t="n">
        <x:v>8000000</x:v>
      </x:c>
      <x:c r="I195" s="16" t="n">
        <x:f>H195*10%</x:f>
        <x:v>800000</x:v>
      </x:c>
      <x:c r="J195" s="16" t="n">
        <x:f>H195+I195</x:f>
        <x:v>8800000</x:v>
      </x:c>
      <x:c r="K195" s="13" t="str">
        <x:v>Chờ duyệt</x:v>
      </x:c>
      <x:c r="L195" s="13" t="str">
        <x:v>Trung bình</x:v>
      </x:c>
      <x:c r="M195" s="13" t="str">
        <x:v>IT-DT-2026-058</x:v>
      </x:c>
    </x:row>
    <x:row r="196">
      <x:c r="A196" s="13" t="str">
        <x:v>IT-PR-2026-195</x:v>
      </x:c>
      <x:c r="B196" s="24" t="n">
        <x:v>46092</x:v>
      </x:c>
      <x:c r="C196" s="13" t="str">
        <x:v>Q1</x:v>
      </x:c>
      <x:c r="D196" s="13" t="str">
        <x:v>Bảo mật thông tin</x:v>
      </x:c>
      <x:c r="E196" s="13" t="str">
        <x:v>Đào tạo an toàn thông tin</x:v>
      </x:c>
      <x:c r="F196" s="13" t="str">
        <x:v>Viettel Solutions</x:v>
      </x:c>
      <x:c r="G196" s="13" t="str">
        <x:v>Thanh toán đào tạo an toàn thông tin - Bảo mật thông tin</x:v>
      </x:c>
      <x:c r="H196" s="16" t="n">
        <x:v>12000000</x:v>
      </x:c>
      <x:c r="I196" s="16" t="n">
        <x:f>H196*10%</x:f>
        <x:v>1200000</x:v>
      </x:c>
      <x:c r="J196" s="16" t="n">
        <x:f>H196+I196</x:f>
        <x:v>13200000</x:v>
      </x:c>
      <x:c r="K196" s="13" t="str">
        <x:v>Chờ duyệt</x:v>
      </x:c>
      <x:c r="L196" s="13" t="str">
        <x:v>Trung bình</x:v>
      </x:c>
      <x:c r="M196" s="13" t="str">
        <x:v>IT-DT-2026-011</x:v>
      </x:c>
    </x:row>
    <x:row r="197">
      <x:c r="A197" s="13" t="str">
        <x:v>IT-PR-2026-196</x:v>
      </x:c>
      <x:c r="B197" s="24" t="n">
        <x:v>46119</x:v>
      </x:c>
      <x:c r="C197" s="13" t="str">
        <x:v>Q2</x:v>
      </x:c>
      <x:c r="D197" s="13" t="str">
        <x:v>Phần mềm bản quyền</x:v>
      </x:c>
      <x:c r="E197" s="13" t="str">
        <x:v>Zoom/Teams license</x:v>
      </x:c>
      <x:c r="F197" s="13" t="str">
        <x:v>Viettel Solutions</x:v>
      </x:c>
      <x:c r="G197" s="13" t="str">
        <x:v>Thanh toán zoom/teams license - Phần mềm bản quyền</x:v>
      </x:c>
      <x:c r="H197" s="16" t="n">
        <x:v>20000000</x:v>
      </x:c>
      <x:c r="I197" s="16" t="n">
        <x:f>H197*10%</x:f>
        <x:v>2000000</x:v>
      </x:c>
      <x:c r="J197" s="16" t="n">
        <x:f>H197+I197</x:f>
        <x:v>22000000</x:v>
      </x:c>
      <x:c r="K197" s="13" t="str">
        <x:v>Đã thanh toán</x:v>
      </x:c>
      <x:c r="L197" s="13" t="str">
        <x:v>Trung bình</x:v>
      </x:c>
      <x:c r="M197" s="13" t="str">
        <x:v>IT-DT-2026-117</x:v>
      </x:c>
    </x:row>
    <x:row r="198">
      <x:c r="A198" s="13" t="str">
        <x:v>IT-PR-2026-197</x:v>
      </x:c>
      <x:c r="B198" s="24" t="n">
        <x:v>46154</x:v>
      </x:c>
      <x:c r="C198" s="13" t="str">
        <x:v>Q2</x:v>
      </x:c>
      <x:c r="D198" s="13" t="str">
        <x:v>Hỗ trợ người dùng</x:v>
      </x:c>
      <x:c r="E198" s="13" t="str">
        <x:v>Helpdesk system</x:v>
      </x:c>
      <x:c r="F198" s="13" t="str">
        <x:v>Sao Bắc Đẩu</x:v>
      </x:c>
      <x:c r="G198" s="13" t="str">
        <x:v>Thanh toán helpdesk system - Hỗ trợ người dùng</x:v>
      </x:c>
      <x:c r="H198" s="16" t="n">
        <x:v>8000000</x:v>
      </x:c>
      <x:c r="I198" s="16" t="n">
        <x:f>H198*10%</x:f>
        <x:v>800000</x:v>
      </x:c>
      <x:c r="J198" s="16" t="n">
        <x:f>H198+I198</x:f>
        <x:v>8800000</x:v>
      </x:c>
      <x:c r="K198" s="13" t="str">
        <x:v>Đã thanh toán</x:v>
      </x:c>
      <x:c r="L198" s="13" t="str">
        <x:v>Cao</x:v>
      </x:c>
      <x:c r="M198" s="13" t="str">
        <x:v>IT-DT-2026-019</x:v>
      </x:c>
    </x:row>
    <x:row r="199">
      <x:c r="A199" s="13" t="str">
        <x:v>IT-PR-2026-198</x:v>
      </x:c>
      <x:c r="B199" s="24" t="n">
        <x:v>46179</x:v>
      </x:c>
      <x:c r="C199" s="13" t="str">
        <x:v>Q2</x:v>
      </x:c>
      <x:c r="D199" s="13" t="str">
        <x:v>Chuyển đổi số</x:v>
      </x:c>
      <x:c r="E199" s="13" t="str">
        <x:v>Dashboard quản trị</x:v>
      </x:c>
      <x:c r="F199" s="13" t="str">
        <x:v>Cloud Ace</x:v>
      </x:c>
      <x:c r="G199" s="13" t="str">
        <x:v>Thanh toán dashboard quản trị - Chuyển đổi số</x:v>
      </x:c>
      <x:c r="H199" s="16" t="n">
        <x:v>5000000</x:v>
      </x:c>
      <x:c r="I199" s="16" t="n">
        <x:f>H199*10%</x:f>
        <x:v>500000</x:v>
      </x:c>
      <x:c r="J199" s="16" t="n">
        <x:f>H199+I199</x:f>
        <x:v>5500000</x:v>
      </x:c>
      <x:c r="K199" s="13" t="str">
        <x:v>Chờ duyệt</x:v>
      </x:c>
      <x:c r="L199" s="13" t="str">
        <x:v>Cao</x:v>
      </x:c>
      <x:c r="M199" s="13" t="str">
        <x:v>IT-DT-2026-150</x:v>
      </x:c>
    </x:row>
    <x:row r="200">
      <x:c r="A200" s="13" t="str">
        <x:v>IT-PR-2026-199</x:v>
      </x:c>
      <x:c r="B200" s="24" t="n">
        <x:v>46207</x:v>
      </x:c>
      <x:c r="C200" s="13" t="str">
        <x:v>Q3</x:v>
      </x:c>
      <x:c r="D200" s="13" t="str">
        <x:v>LMS/SIS</x:v>
      </x:c>
      <x:c r="E200" s="13" t="str">
        <x:v>Tích hợp SSO</x:v>
      </x:c>
      <x:c r="F200" s="13" t="str">
        <x:v>MISA</x:v>
      </x:c>
      <x:c r="G200" s="13" t="str">
        <x:v>Thanh toán tích hợp sso - LMS/SIS</x:v>
      </x:c>
      <x:c r="H200" s="16" t="n">
        <x:v>150000000</x:v>
      </x:c>
      <x:c r="I200" s="16" t="n">
        <x:f>H200*10%</x:f>
        <x:v>15000000</x:v>
      </x:c>
      <x:c r="J200" s="16" t="n">
        <x:f>H200+I200</x:f>
        <x:v>165000000</x:v>
      </x:c>
      <x:c r="K200" s="13" t="str">
        <x:v>Đã thanh toán</x:v>
      </x:c>
      <x:c r="L200" s="13" t="str">
        <x:v>Trung bình</x:v>
      </x:c>
      <x:c r="M200" s="13" t="str">
        <x:v>IT-DT-2026-135</x:v>
      </x:c>
    </x:row>
    <x:row r="201">
      <x:c r="A201" s="13" t="str">
        <x:v>IT-PR-2026-200</x:v>
      </x:c>
      <x:c r="B201" s="24" t="n">
        <x:v>46243</x:v>
      </x:c>
      <x:c r="C201" s="13" t="str">
        <x:v>Q3</x:v>
      </x:c>
      <x:c r="D201" s="13" t="str">
        <x:v>Phòng máy tính</x:v>
      </x:c>
      <x:c r="E201" s="13" t="str">
        <x:v>Nâng cấp PC lab</x:v>
      </x:c>
      <x:c r="F201" s="13" t="str">
        <x:v>CMC Telecom</x:v>
      </x:c>
      <x:c r="G201" s="13" t="str">
        <x:v>Thanh toán nâng cấp pc lab - Phòng máy tính</x:v>
      </x:c>
      <x:c r="H201" s="16" t="n">
        <x:v>20000000</x:v>
      </x:c>
      <x:c r="I201" s="16" t="n">
        <x:f>H201*10%</x:f>
        <x:v>2000000</x:v>
      </x:c>
      <x:c r="J201" s="16" t="n">
        <x:f>H201+I201</x:f>
        <x:v>22000000</x:v>
      </x:c>
      <x:c r="K201" s="13" t="str">
        <x:v>Nháp</x:v>
      </x:c>
      <x:c r="L201" s="13" t="str">
        <x:v>Thấp</x:v>
      </x:c>
      <x:c r="M201" s="13" t="str">
        <x:v>IT-DT-2026-129</x:v>
      </x:c>
    </x:row>
    <x:row r="202">
      <x:c r="A202" s="13" t="str">
        <x:v>IT-PR-2026-201</x:v>
      </x:c>
      <x:c r="B202" s="24" t="n">
        <x:v>46271</x:v>
      </x:c>
      <x:c r="C202" s="13" t="str">
        <x:v>Q3</x:v>
      </x:c>
      <x:c r="D202" s="13" t="str">
        <x:v>Hạ tầng mạng</x:v>
      </x:c>
      <x:c r="E202" s="13" t="str">
        <x:v>Thiết bị firewall</x:v>
      </x:c>
      <x:c r="F202" s="13" t="str">
        <x:v>Dell Technologies</x:v>
      </x:c>
      <x:c r="G202" s="13" t="str">
        <x:v>Thanh toán thiết bị firewall - Hạ tầng mạng</x:v>
      </x:c>
      <x:c r="H202" s="16" t="n">
        <x:v>8000000</x:v>
      </x:c>
      <x:c r="I202" s="16" t="n">
        <x:f>H202*10%</x:f>
        <x:v>800000</x:v>
      </x:c>
      <x:c r="J202" s="16" t="n">
        <x:f>H202+I202</x:f>
        <x:v>8800000</x:v>
      </x:c>
      <x:c r="K202" s="13" t="str">
        <x:v>Đã duyệt</x:v>
      </x:c>
      <x:c r="L202" s="13" t="str">
        <x:v>Trung bình</x:v>
      </x:c>
      <x:c r="M202" s="13" t="str">
        <x:v>IT-DT-2026-118</x:v>
      </x:c>
    </x:row>
    <x:row r="203">
      <x:c r="A203" s="13" t="str">
        <x:v>IT-PR-2026-202</x:v>
      </x:c>
      <x:c r="B203" s="24" t="n">
        <x:v>46307</x:v>
      </x:c>
      <x:c r="C203" s="13" t="str">
        <x:v>Q4</x:v>
      </x:c>
      <x:c r="D203" s="13" t="str">
        <x:v>Hệ thống máy chủ</x:v>
      </x:c>
      <x:c r="E203" s="13" t="str">
        <x:v>Gia hạn bảo hành server</x:v>
      </x:c>
      <x:c r="F203" s="13" t="str">
        <x:v>Bkav Enterprise</x:v>
      </x:c>
      <x:c r="G203" s="13" t="str">
        <x:v>Thanh toán gia hạn bảo hành server - Hệ thống máy chủ</x:v>
      </x:c>
      <x:c r="H203" s="16" t="n">
        <x:v>5000000</x:v>
      </x:c>
      <x:c r="I203" s="16" t="n">
        <x:f>H203*10%</x:f>
        <x:v>500000</x:v>
      </x:c>
      <x:c r="J203" s="16" t="n">
        <x:f>H203+I203</x:f>
        <x:v>5500000</x:v>
      </x:c>
      <x:c r="K203" s="13" t="str">
        <x:v>Chờ duyệt</x:v>
      </x:c>
      <x:c r="L203" s="13" t="str">
        <x:v>Thấp</x:v>
      </x:c>
      <x:c r="M203" s="13" t="str">
        <x:v>IT-DT-2026-007</x:v>
      </x:c>
    </x:row>
    <x:row r="204">
      <x:c r="A204" s="13" t="str">
        <x:v>IT-PR-2026-203</x:v>
      </x:c>
      <x:c r="B204" s="24" t="n">
        <x:v>46341</x:v>
      </x:c>
      <x:c r="C204" s="13" t="str">
        <x:v>Q4</x:v>
      </x:c>
      <x:c r="D204" s="13" t="str">
        <x:v>Bảo mật thông tin</x:v>
      </x:c>
      <x:c r="E204" s="13" t="str">
        <x:v>Giám sát SOC</x:v>
      </x:c>
      <x:c r="F204" s="13" t="str">
        <x:v>MISA</x:v>
      </x:c>
      <x:c r="G204" s="13" t="str">
        <x:v>Thanh toán giám sát soc - Bảo mật thông tin</x:v>
      </x:c>
      <x:c r="H204" s="16" t="n">
        <x:v>5000000</x:v>
      </x:c>
      <x:c r="I204" s="16" t="n">
        <x:f>H204*10%</x:f>
        <x:v>500000</x:v>
      </x:c>
      <x:c r="J204" s="16" t="n">
        <x:f>H204+I204</x:f>
        <x:v>5500000</x:v>
      </x:c>
      <x:c r="K204" s="13" t="str">
        <x:v>Đã duyệt</x:v>
      </x:c>
      <x:c r="L204" s="13" t="str">
        <x:v>Cao</x:v>
      </x:c>
      <x:c r="M204" s="13" t="str">
        <x:v>IT-DT-2026-103</x:v>
      </x:c>
    </x:row>
    <x:row r="205">
      <x:c r="A205" s="13" t="str">
        <x:v>IT-PR-2026-204</x:v>
      </x:c>
      <x:c r="B205" s="24" t="n">
        <x:v>46380</x:v>
      </x:c>
      <x:c r="C205" s="13" t="str">
        <x:v>Q4</x:v>
      </x:c>
      <x:c r="D205" s="13" t="str">
        <x:v>Phần mềm bản quyền</x:v>
      </x:c>
      <x:c r="E205" s="13" t="str">
        <x:v>Zoom/Teams license</x:v>
      </x:c>
      <x:c r="F205" s="13" t="str">
        <x:v>FPT IS</x:v>
      </x:c>
      <x:c r="G205" s="13" t="str">
        <x:v>Thanh toán zoom/teams license - Phần mềm bản quyền</x:v>
      </x:c>
      <x:c r="H205" s="16" t="n">
        <x:v>5000000</x:v>
      </x:c>
      <x:c r="I205" s="16" t="n">
        <x:f>H205*10%</x:f>
        <x:v>500000</x:v>
      </x:c>
      <x:c r="J205" s="16" t="n">
        <x:f>H205+I205</x:f>
        <x:v>5500000</x:v>
      </x:c>
      <x:c r="K205" s="13" t="str">
        <x:v>Chờ duyệt</x:v>
      </x:c>
      <x:c r="L205" s="13" t="str">
        <x:v>Trung bình</x:v>
      </x:c>
      <x:c r="M205" s="13" t="str">
        <x:v>IT-DT-2026-128</x:v>
      </x:c>
    </x:row>
    <x:row r="206">
      <x:c r="A206" s="13" t="str">
        <x:v>IT-PR-2026-205</x:v>
      </x:c>
      <x:c r="B206" s="24" t="n">
        <x:v>46042</x:v>
      </x:c>
      <x:c r="C206" s="13" t="str">
        <x:v>Q1</x:v>
      </x:c>
      <x:c r="D206" s="13" t="str">
        <x:v>Hỗ trợ người dùng</x:v>
      </x:c>
      <x:c r="E206" s="13" t="str">
        <x:v>Máy tính cho cán bộ</x:v>
      </x:c>
      <x:c r="F206" s="13" t="str">
        <x:v>Bkav Enterprise</x:v>
      </x:c>
      <x:c r="G206" s="13" t="str">
        <x:v>Thanh toán máy tính cho cán bộ - Hỗ trợ người dùng</x:v>
      </x:c>
      <x:c r="H206" s="16" t="n">
        <x:v>5000000</x:v>
      </x:c>
      <x:c r="I206" s="16" t="n">
        <x:f>H206*10%</x:f>
        <x:v>500000</x:v>
      </x:c>
      <x:c r="J206" s="16" t="n">
        <x:f>H206+I206</x:f>
        <x:v>5500000</x:v>
      </x:c>
      <x:c r="K206" s="13" t="str">
        <x:v>Chờ duyệt</x:v>
      </x:c>
      <x:c r="L206" s="13" t="str">
        <x:v>Cao</x:v>
      </x:c>
      <x:c r="M206" s="13" t="str">
        <x:v>IT-DT-2026-078</x:v>
      </x:c>
    </x:row>
    <x:row r="207">
      <x:c r="A207" s="13" t="str">
        <x:v>IT-PR-2026-206</x:v>
      </x:c>
      <x:c r="B207" s="24" t="n">
        <x:v>46055</x:v>
      </x:c>
      <x:c r="C207" s="13" t="str">
        <x:v>Q1</x:v>
      </x:c>
      <x:c r="D207" s="13" t="str">
        <x:v>Chuyển đổi số</x:v>
      </x:c>
      <x:c r="E207" s="13" t="str">
        <x:v>Dashboard quản trị</x:v>
      </x:c>
      <x:c r="F207" s="13" t="str">
        <x:v>Microsoft Vietnam</x:v>
      </x:c>
      <x:c r="G207" s="13" t="str">
        <x:v>Thanh toán dashboard quản trị - Chuyển đổi số</x:v>
      </x:c>
      <x:c r="H207" s="16" t="n">
        <x:v>150000000</x:v>
      </x:c>
      <x:c r="I207" s="16" t="n">
        <x:f>H207*10%</x:f>
        <x:v>15000000</x:v>
      </x:c>
      <x:c r="J207" s="16" t="n">
        <x:f>H207+I207</x:f>
        <x:v>165000000</x:v>
      </x:c>
      <x:c r="K207" s="13" t="str">
        <x:v>Đã duyệt</x:v>
      </x:c>
      <x:c r="L207" s="13" t="str">
        <x:v>Cao</x:v>
      </x:c>
      <x:c r="M207" s="13" t="str">
        <x:v>IT-DT-2026-082</x:v>
      </x:c>
    </x:row>
    <x:row r="208">
      <x:c r="A208" s="13" t="str">
        <x:v>IT-PR-2026-207</x:v>
      </x:c>
      <x:c r="B208" s="24" t="n">
        <x:v>46087</x:v>
      </x:c>
      <x:c r="C208" s="13" t="str">
        <x:v>Q1</x:v>
      </x:c>
      <x:c r="D208" s="13" t="str">
        <x:v>LMS/SIS</x:v>
      </x:c>
      <x:c r="E208" s="13" t="str">
        <x:v>Tích hợp SSO</x:v>
      </x:c>
      <x:c r="F208" s="13" t="str">
        <x:v>Viettel Solutions</x:v>
      </x:c>
      <x:c r="G208" s="13" t="str">
        <x:v>Thanh toán tích hợp sso - LMS/SIS</x:v>
      </x:c>
      <x:c r="H208" s="16" t="n">
        <x:v>75000000</x:v>
      </x:c>
      <x:c r="I208" s="16" t="n">
        <x:f>H208*10%</x:f>
        <x:v>7500000</x:v>
      </x:c>
      <x:c r="J208" s="16" t="n">
        <x:f>H208+I208</x:f>
        <x:v>82500000</x:v>
      </x:c>
      <x:c r="K208" s="13" t="str">
        <x:v>Đã duyệt</x:v>
      </x:c>
      <x:c r="L208" s="13" t="str">
        <x:v>Trung bình</x:v>
      </x:c>
      <x:c r="M208" s="13" t="str">
        <x:v>IT-DT-2026-066</x:v>
      </x:c>
    </x:row>
    <x:row r="209">
      <x:c r="A209" s="13" t="str">
        <x:v>IT-PR-2026-208</x:v>
      </x:c>
      <x:c r="B209" s="24" t="n">
        <x:v>46123</x:v>
      </x:c>
      <x:c r="C209" s="13" t="str">
        <x:v>Q2</x:v>
      </x:c>
      <x:c r="D209" s="13" t="str">
        <x:v>Phòng máy tính</x:v>
      </x:c>
      <x:c r="E209" s="13" t="str">
        <x:v>Bảo trì phòng lab</x:v>
      </x:c>
      <x:c r="F209" s="13" t="str">
        <x:v>VNPT Technology</x:v>
      </x:c>
      <x:c r="G209" s="13" t="str">
        <x:v>Thanh toán bảo trì phòng lab - Phòng máy tính</x:v>
      </x:c>
      <x:c r="H209" s="16" t="n">
        <x:v>12000000</x:v>
      </x:c>
      <x:c r="I209" s="16" t="n">
        <x:f>H209*10%</x:f>
        <x:v>1200000</x:v>
      </x:c>
      <x:c r="J209" s="16" t="n">
        <x:f>H209+I209</x:f>
        <x:v>13200000</x:v>
      </x:c>
      <x:c r="K209" s="13" t="str">
        <x:v>Đã duyệt</x:v>
      </x:c>
      <x:c r="L209" s="13" t="str">
        <x:v>Trung bình</x:v>
      </x:c>
      <x:c r="M209" s="13" t="str">
        <x:v>IT-DT-2026-074</x:v>
      </x:c>
    </x:row>
    <x:row r="210">
      <x:c r="A210" s="13" t="str">
        <x:v>IT-PR-2026-209</x:v>
      </x:c>
      <x:c r="B210" s="24" t="n">
        <x:v>46167</x:v>
      </x:c>
      <x:c r="C210" s="13" t="str">
        <x:v>Q2</x:v>
      </x:c>
      <x:c r="D210" s="13" t="str">
        <x:v>Hạ tầng mạng</x:v>
      </x:c>
      <x:c r="E210" s="13" t="str">
        <x:v>Thiết bị firewall</x:v>
      </x:c>
      <x:c r="F210" s="13" t="str">
        <x:v>Sao Bắc Đẩu</x:v>
      </x:c>
      <x:c r="G210" s="13" t="str">
        <x:v>Thanh toán thiết bị firewall - Hạ tầng mạng</x:v>
      </x:c>
      <x:c r="H210" s="16" t="n">
        <x:v>50000000</x:v>
      </x:c>
      <x:c r="I210" s="16" t="n">
        <x:f>H210*10%</x:f>
        <x:v>5000000</x:v>
      </x:c>
      <x:c r="J210" s="16" t="n">
        <x:f>H210+I210</x:f>
        <x:v>55000000</x:v>
      </x:c>
      <x:c r="K210" s="13" t="str">
        <x:v>Đã duyệt</x:v>
      </x:c>
      <x:c r="L210" s="13" t="str">
        <x:v>Trung bình</x:v>
      </x:c>
      <x:c r="M210" s="13" t="str">
        <x:v>IT-DT-2026-041</x:v>
      </x:c>
    </x:row>
    <x:row r="211">
      <x:c r="A211" s="13" t="str">
        <x:v>IT-PR-2026-210</x:v>
      </x:c>
      <x:c r="B211" s="24" t="n">
        <x:v>46196</x:v>
      </x:c>
      <x:c r="C211" s="13" t="str">
        <x:v>Q2</x:v>
      </x:c>
      <x:c r="D211" s="13" t="str">
        <x:v>Hệ thống máy chủ</x:v>
      </x:c>
      <x:c r="E211" s="13" t="str">
        <x:v>Backup server</x:v>
      </x:c>
      <x:c r="F211" s="13" t="str">
        <x:v>Microsoft Vietnam</x:v>
      </x:c>
      <x:c r="G211" s="13" t="str">
        <x:v>Thanh toán backup server - Hệ thống máy chủ</x:v>
      </x:c>
      <x:c r="H211" s="16" t="n">
        <x:v>8000000</x:v>
      </x:c>
      <x:c r="I211" s="16" t="n">
        <x:f>H211*10%</x:f>
        <x:v>800000</x:v>
      </x:c>
      <x:c r="J211" s="16" t="n">
        <x:f>H211+I211</x:f>
        <x:v>8800000</x:v>
      </x:c>
      <x:c r="K211" s="13" t="str">
        <x:v>Đã thanh toán</x:v>
      </x:c>
      <x:c r="L211" s="13" t="str">
        <x:v>Cao</x:v>
      </x:c>
      <x:c r="M211" s="13" t="str">
        <x:v>IT-DT-2026-123</x:v>
      </x:c>
    </x:row>
    <x:row r="212">
      <x:c r="A212" s="13" t="str">
        <x:v>IT-PR-2026-211</x:v>
      </x:c>
      <x:c r="B212" s="24" t="n">
        <x:v>46221</x:v>
      </x:c>
      <x:c r="C212" s="13" t="str">
        <x:v>Q3</x:v>
      </x:c>
      <x:c r="D212" s="13" t="str">
        <x:v>Bảo mật thông tin</x:v>
      </x:c>
      <x:c r="E212" s="13" t="str">
        <x:v>Phần mềm antivirus/EDR</x:v>
      </x:c>
      <x:c r="F212" s="13" t="str">
        <x:v>Bkav Enterprise</x:v>
      </x:c>
      <x:c r="G212" s="13" t="str">
        <x:v>Thanh toán phần mềm antivirus/edr - Bảo mật thông tin</x:v>
      </x:c>
      <x:c r="H212" s="16" t="n">
        <x:v>150000000</x:v>
      </x:c>
      <x:c r="I212" s="16" t="n">
        <x:f>H212*10%</x:f>
        <x:v>15000000</x:v>
      </x:c>
      <x:c r="J212" s="16" t="n">
        <x:f>H212+I212</x:f>
        <x:v>165000000</x:v>
      </x:c>
      <x:c r="K212" s="13" t="str">
        <x:v>Đã thanh toán</x:v>
      </x:c>
      <x:c r="L212" s="13" t="str">
        <x:v>Trung bình</x:v>
      </x:c>
      <x:c r="M212" s="13" t="str">
        <x:v>IT-DT-2026-128</x:v>
      </x:c>
    </x:row>
    <x:row r="213">
      <x:c r="A213" s="13" t="str">
        <x:v>IT-PR-2026-212</x:v>
      </x:c>
      <x:c r="B213" s="24" t="n">
        <x:v>46247</x:v>
      </x:c>
      <x:c r="C213" s="13" t="str">
        <x:v>Q3</x:v>
      </x:c>
      <x:c r="D213" s="13" t="str">
        <x:v>Phần mềm bản quyền</x:v>
      </x:c>
      <x:c r="E213" s="13" t="str">
        <x:v>Adobe license</x:v>
      </x:c>
      <x:c r="F213" s="13" t="str">
        <x:v>Bkav Enterprise</x:v>
      </x:c>
      <x:c r="G213" s="13" t="str">
        <x:v>Thanh toán adobe license - Phần mềm bản quyền</x:v>
      </x:c>
      <x:c r="H213" s="16" t="n">
        <x:v>100000000</x:v>
      </x:c>
      <x:c r="I213" s="16" t="n">
        <x:f>H213*10%</x:f>
        <x:v>10000000</x:v>
      </x:c>
      <x:c r="J213" s="16" t="n">
        <x:f>H213+I213</x:f>
        <x:v>110000000</x:v>
      </x:c>
      <x:c r="K213" s="13" t="str">
        <x:v>Chờ duyệt</x:v>
      </x:c>
      <x:c r="L213" s="13" t="str">
        <x:v>Cao</x:v>
      </x:c>
      <x:c r="M213" s="13" t="str">
        <x:v>IT-DT-2026-124</x:v>
      </x:c>
    </x:row>
    <x:row r="214">
      <x:c r="A214" s="13" t="str">
        <x:v>IT-PR-2026-213</x:v>
      </x:c>
      <x:c r="B214" s="24" t="n">
        <x:v>46267</x:v>
      </x:c>
      <x:c r="C214" s="13" t="str">
        <x:v>Q3</x:v>
      </x:c>
      <x:c r="D214" s="13" t="str">
        <x:v>Hỗ trợ người dùng</x:v>
      </x:c>
      <x:c r="E214" s="13" t="str">
        <x:v>Thiết bị ngoại vi</x:v>
      </x:c>
      <x:c r="F214" s="13" t="str">
        <x:v>FPT IS</x:v>
      </x:c>
      <x:c r="G214" s="13" t="str">
        <x:v>Thanh toán thiết bị ngoại vi - Hỗ trợ người dùng</x:v>
      </x:c>
      <x:c r="H214" s="16" t="n">
        <x:v>35000000</x:v>
      </x:c>
      <x:c r="I214" s="16" t="n">
        <x:f>H214*10%</x:f>
        <x:v>3500000</x:v>
      </x:c>
      <x:c r="J214" s="16" t="n">
        <x:f>H214+I214</x:f>
        <x:v>38500000</x:v>
      </x:c>
      <x:c r="K214" s="13" t="str">
        <x:v>Đã thanh toán</x:v>
      </x:c>
      <x:c r="L214" s="13" t="str">
        <x:v>Cao</x:v>
      </x:c>
      <x:c r="M214" s="13" t="str">
        <x:v>IT-DT-2026-072</x:v>
      </x:c>
    </x:row>
    <x:row r="215">
      <x:c r="A215" s="13" t="str">
        <x:v>IT-PR-2026-214</x:v>
      </x:c>
      <x:c r="B215" s="24" t="n">
        <x:v>46297</x:v>
      </x:c>
      <x:c r="C215" s="13" t="str">
        <x:v>Q4</x:v>
      </x:c>
      <x:c r="D215" s="13" t="str">
        <x:v>Chuyển đổi số</x:v>
      </x:c>
      <x:c r="E215" s="13" t="str">
        <x:v>Tích hợp API</x:v>
      </x:c>
      <x:c r="F215" s="13" t="str">
        <x:v>CMC Cyber Security</x:v>
      </x:c>
      <x:c r="G215" s="13" t="str">
        <x:v>Thanh toán tích hợp api - Chuyển đổi số</x:v>
      </x:c>
      <x:c r="H215" s="16" t="n">
        <x:v>75000000</x:v>
      </x:c>
      <x:c r="I215" s="16" t="n">
        <x:f>H215*10%</x:f>
        <x:v>7500000</x:v>
      </x:c>
      <x:c r="J215" s="16" t="n">
        <x:f>H215+I215</x:f>
        <x:v>82500000</x:v>
      </x:c>
      <x:c r="K215" s="13" t="str">
        <x:v>Đã thanh toán</x:v>
      </x:c>
      <x:c r="L215" s="13" t="str">
        <x:v>Cao</x:v>
      </x:c>
      <x:c r="M215" s="13" t="str">
        <x:v>IT-DT-2026-130</x:v>
      </x:c>
    </x:row>
    <x:row r="216">
      <x:c r="A216" s="13" t="str">
        <x:v>IT-PR-2026-215</x:v>
      </x:c>
      <x:c r="B216" s="24" t="n">
        <x:v>46330</x:v>
      </x:c>
      <x:c r="C216" s="13" t="str">
        <x:v>Q4</x:v>
      </x:c>
      <x:c r="D216" s="13" t="str">
        <x:v>LMS/SIS</x:v>
      </x:c>
      <x:c r="E216" s="13" t="str">
        <x:v>Tối ưu cơ sở dữ liệu</x:v>
      </x:c>
      <x:c r="F216" s="13" t="str">
        <x:v>Dell Technologies</x:v>
      </x:c>
      <x:c r="G216" s="13" t="str">
        <x:v>Thanh toán tối ưu cơ sở dữ liệu - LMS/SIS</x:v>
      </x:c>
      <x:c r="H216" s="16" t="n">
        <x:v>150000000</x:v>
      </x:c>
      <x:c r="I216" s="16" t="n">
        <x:f>H216*10%</x:f>
        <x:v>15000000</x:v>
      </x:c>
      <x:c r="J216" s="16" t="n">
        <x:f>H216+I216</x:f>
        <x:v>165000000</x:v>
      </x:c>
      <x:c r="K216" s="13" t="str">
        <x:v>Chờ duyệt</x:v>
      </x:c>
      <x:c r="L216" s="13" t="str">
        <x:v>Cao</x:v>
      </x:c>
      <x:c r="M216" s="13" t="str">
        <x:v>IT-DT-2026-124</x:v>
      </x:c>
    </x:row>
    <x:row r="217">
      <x:c r="A217" s="13" t="str">
        <x:v>IT-PR-2026-216</x:v>
      </x:c>
      <x:c r="B217" s="24" t="n">
        <x:v>46361</x:v>
      </x:c>
      <x:c r="C217" s="13" t="str">
        <x:v>Q4</x:v>
      </x:c>
      <x:c r="D217" s="13" t="str">
        <x:v>Phòng máy tính</x:v>
      </x:c>
      <x:c r="E217" s="13" t="str">
        <x:v>Thiết bị âm thanh</x:v>
      </x:c>
      <x:c r="F217" s="13" t="str">
        <x:v>Dell Technologies</x:v>
      </x:c>
      <x:c r="G217" s="13" t="str">
        <x:v>Thanh toán thiết bị âm thanh - Phòng máy tính</x:v>
      </x:c>
      <x:c r="H217" s="16" t="n">
        <x:v>150000000</x:v>
      </x:c>
      <x:c r="I217" s="16" t="n">
        <x:f>H217*10%</x:f>
        <x:v>15000000</x:v>
      </x:c>
      <x:c r="J217" s="16" t="n">
        <x:f>H217+I217</x:f>
        <x:v>165000000</x:v>
      </x:c>
      <x:c r="K217" s="13" t="str">
        <x:v>Đã duyệt</x:v>
      </x:c>
      <x:c r="L217" s="13" t="str">
        <x:v>Thấp</x:v>
      </x:c>
      <x:c r="M217" s="13" t="str">
        <x:v>IT-DT-2026-056</x:v>
      </x:c>
    </x:row>
    <x:row r="218">
      <x:c r="A218" s="13" t="str">
        <x:v>IT-PR-2026-217</x:v>
      </x:c>
      <x:c r="B218" s="24" t="n">
        <x:v>46045</x:v>
      </x:c>
      <x:c r="C218" s="13" t="str">
        <x:v>Q1</x:v>
      </x:c>
      <x:c r="D218" s="13" t="str">
        <x:v>Hạ tầng mạng</x:v>
      </x:c>
      <x:c r="E218" s="13" t="str">
        <x:v>Bảo trì hệ thống mạng</x:v>
      </x:c>
      <x:c r="F218" s="13" t="str">
        <x:v>Microsoft Vietnam</x:v>
      </x:c>
      <x:c r="G218" s="13" t="str">
        <x:v>Thanh toán bảo trì hệ thống mạng - Hạ tầng mạng</x:v>
      </x:c>
      <x:c r="H218" s="16" t="n">
        <x:v>12000000</x:v>
      </x:c>
      <x:c r="I218" s="16" t="n">
        <x:f>H218*10%</x:f>
        <x:v>1200000</x:v>
      </x:c>
      <x:c r="J218" s="16" t="n">
        <x:f>H218+I218</x:f>
        <x:v>13200000</x:v>
      </x:c>
      <x:c r="K218" s="13" t="str">
        <x:v>Đã thanh toán</x:v>
      </x:c>
      <x:c r="L218" s="13" t="str">
        <x:v>Trung bình</x:v>
      </x:c>
      <x:c r="M218" s="13" t="str">
        <x:v>IT-DT-2026-071</x:v>
      </x:c>
    </x:row>
    <x:row r="219">
      <x:c r="A219" s="13" t="str">
        <x:v>IT-PR-2026-218</x:v>
      </x:c>
      <x:c r="B219" s="24" t="n">
        <x:v>46063</x:v>
      </x:c>
      <x:c r="C219" s="13" t="str">
        <x:v>Q1</x:v>
      </x:c>
      <x:c r="D219" s="13" t="str">
        <x:v>Hệ thống máy chủ</x:v>
      </x:c>
      <x:c r="E219" s="13" t="str">
        <x:v>Lưu trữ NAS/SAN</x:v>
      </x:c>
      <x:c r="F219" s="13" t="str">
        <x:v>CMC Telecom</x:v>
      </x:c>
      <x:c r="G219" s="13" t="str">
        <x:v>Thanh toán lưu trữ nas/san - Hệ thống máy chủ</x:v>
      </x:c>
      <x:c r="H219" s="16" t="n">
        <x:v>100000000</x:v>
      </x:c>
      <x:c r="I219" s="16" t="n">
        <x:f>H219*10%</x:f>
        <x:v>10000000</x:v>
      </x:c>
      <x:c r="J219" s="16" t="n">
        <x:f>H219+I219</x:f>
        <x:v>110000000</x:v>
      </x:c>
      <x:c r="K219" s="13" t="str">
        <x:v>Đã duyệt</x:v>
      </x:c>
      <x:c r="L219" s="13" t="str">
        <x:v>Cao</x:v>
      </x:c>
      <x:c r="M219" s="13" t="str">
        <x:v>IT-DT-2026-006</x:v>
      </x:c>
    </x:row>
    <x:row r="220">
      <x:c r="A220" s="13" t="str">
        <x:v>IT-PR-2026-219</x:v>
      </x:c>
      <x:c r="B220" s="24" t="n">
        <x:v>46098</x:v>
      </x:c>
      <x:c r="C220" s="13" t="str">
        <x:v>Q1</x:v>
      </x:c>
      <x:c r="D220" s="13" t="str">
        <x:v>Bảo mật thông tin</x:v>
      </x:c>
      <x:c r="E220" s="13" t="str">
        <x:v>Đào tạo an toàn thông tin</x:v>
      </x:c>
      <x:c r="F220" s="13" t="str">
        <x:v>Bkav Enterprise</x:v>
      </x:c>
      <x:c r="G220" s="13" t="str">
        <x:v>Thanh toán đào tạo an toàn thông tin - Bảo mật thông tin</x:v>
      </x:c>
      <x:c r="H220" s="16" t="n">
        <x:v>75000000</x:v>
      </x:c>
      <x:c r="I220" s="16" t="n">
        <x:f>H220*10%</x:f>
        <x:v>7500000</x:v>
      </x:c>
      <x:c r="J220" s="16" t="n">
        <x:f>H220+I220</x:f>
        <x:v>82500000</x:v>
      </x:c>
      <x:c r="K220" s="13" t="str">
        <x:v>Đã thanh toán</x:v>
      </x:c>
      <x:c r="L220" s="13" t="str">
        <x:v>Trung bình</x:v>
      </x:c>
      <x:c r="M220" s="13" t="str">
        <x:v>IT-DT-2026-017</x:v>
      </x:c>
    </x:row>
    <x:row r="221">
      <x:c r="A221" s="13" t="str">
        <x:v>IT-PR-2026-220</x:v>
      </x:c>
      <x:c r="B221" s="24" t="n">
        <x:v>46134</x:v>
      </x:c>
      <x:c r="C221" s="13" t="str">
        <x:v>Q2</x:v>
      </x:c>
      <x:c r="D221" s="13" t="str">
        <x:v>Phần mềm bản quyền</x:v>
      </x:c>
      <x:c r="E221" s="13" t="str">
        <x:v>Zoom/Teams license</x:v>
      </x:c>
      <x:c r="F221" s="13" t="str">
        <x:v>CMC Telecom</x:v>
      </x:c>
      <x:c r="G221" s="13" t="str">
        <x:v>Thanh toán zoom/teams license - Phần mềm bản quyền</x:v>
      </x:c>
      <x:c r="H221" s="16" t="n">
        <x:v>35000000</x:v>
      </x:c>
      <x:c r="I221" s="16" t="n">
        <x:f>H221*10%</x:f>
        <x:v>3500000</x:v>
      </x:c>
      <x:c r="J221" s="16" t="n">
        <x:f>H221+I221</x:f>
        <x:v>38500000</x:v>
      </x:c>
      <x:c r="K221" s="13" t="str">
        <x:v>Từ chối</x:v>
      </x:c>
      <x:c r="L221" s="13" t="str">
        <x:v>Trung bình</x:v>
      </x:c>
      <x:c r="M221" s="13" t="str">
        <x:v>IT-DT-2026-080</x:v>
      </x:c>
    </x:row>
    <x:row r="222">
      <x:c r="A222" s="13" t="str">
        <x:v>IT-PR-2026-221</x:v>
      </x:c>
      <x:c r="B222" s="24" t="n">
        <x:v>46151</x:v>
      </x:c>
      <x:c r="C222" s="13" t="str">
        <x:v>Q2</x:v>
      </x:c>
      <x:c r="D222" s="13" t="str">
        <x:v>Hỗ trợ người dùng</x:v>
      </x:c>
      <x:c r="E222" s="13" t="str">
        <x:v>Thiết bị ngoại vi</x:v>
      </x:c>
      <x:c r="F222" s="13" t="str">
        <x:v>CMC Cyber Security</x:v>
      </x:c>
      <x:c r="G222" s="13" t="str">
        <x:v>Thanh toán thiết bị ngoại vi - Hỗ trợ người dùng</x:v>
      </x:c>
      <x:c r="H222" s="16" t="n">
        <x:v>35000000</x:v>
      </x:c>
      <x:c r="I222" s="16" t="n">
        <x:f>H222*10%</x:f>
        <x:v>3500000</x:v>
      </x:c>
      <x:c r="J222" s="16" t="n">
        <x:f>H222+I222</x:f>
        <x:v>38500000</x:v>
      </x:c>
      <x:c r="K222" s="13" t="str">
        <x:v>Từ chối</x:v>
      </x:c>
      <x:c r="L222" s="13" t="str">
        <x:v>Trung bình</x:v>
      </x:c>
      <x:c r="M222" s="13" t="str">
        <x:v>IT-DT-2026-033</x:v>
      </x:c>
    </x:row>
    <x:row r="223">
      <x:c r="A223" s="13" t="str">
        <x:v>IT-PR-2026-222</x:v>
      </x:c>
      <x:c r="B223" s="24" t="n">
        <x:v>46197</x:v>
      </x:c>
      <x:c r="C223" s="13" t="str">
        <x:v>Q2</x:v>
      </x:c>
      <x:c r="D223" s="13" t="str">
        <x:v>Chuyển đổi số</x:v>
      </x:c>
      <x:c r="E223" s="13" t="str">
        <x:v>Phát triển chatbot nội bộ</x:v>
      </x:c>
      <x:c r="F223" s="13" t="str">
        <x:v>Cisco Partner</x:v>
      </x:c>
      <x:c r="G223" s="13" t="str">
        <x:v>Thanh toán phát triển chatbot nội bộ - Chuyển đổi số</x:v>
      </x:c>
      <x:c r="H223" s="16" t="n">
        <x:v>75000000</x:v>
      </x:c>
      <x:c r="I223" s="16" t="n">
        <x:f>H223*10%</x:f>
        <x:v>7500000</x:v>
      </x:c>
      <x:c r="J223" s="16" t="n">
        <x:f>H223+I223</x:f>
        <x:v>82500000</x:v>
      </x:c>
      <x:c r="K223" s="13" t="str">
        <x:v>Đã thanh toán</x:v>
      </x:c>
      <x:c r="L223" s="13" t="str">
        <x:v>Trung bình</x:v>
      </x:c>
      <x:c r="M223" s="13" t="str">
        <x:v>IT-DT-2026-001</x:v>
      </x:c>
    </x:row>
    <x:row r="224">
      <x:c r="A224" s="13" t="str">
        <x:v>IT-PR-2026-223</x:v>
      </x:c>
      <x:c r="B224" s="24" t="n">
        <x:v>46222</x:v>
      </x:c>
      <x:c r="C224" s="13" t="str">
        <x:v>Q3</x:v>
      </x:c>
      <x:c r="D224" s="13" t="str">
        <x:v>LMS/SIS</x:v>
      </x:c>
      <x:c r="E224" s="13" t="str">
        <x:v>Tích hợp SSO</x:v>
      </x:c>
      <x:c r="F224" s="13" t="str">
        <x:v>Bkav Enterprise</x:v>
      </x:c>
      <x:c r="G224" s="13" t="str">
        <x:v>Thanh toán tích hợp sso - LMS/SIS</x:v>
      </x:c>
      <x:c r="H224" s="16" t="n">
        <x:v>100000000</x:v>
      </x:c>
      <x:c r="I224" s="16" t="n">
        <x:f>H224*10%</x:f>
        <x:v>10000000</x:v>
      </x:c>
      <x:c r="J224" s="16" t="n">
        <x:f>H224+I224</x:f>
        <x:v>110000000</x:v>
      </x:c>
      <x:c r="K224" s="13" t="str">
        <x:v>Chờ duyệt</x:v>
      </x:c>
      <x:c r="L224" s="13" t="str">
        <x:v>Trung bình</x:v>
      </x:c>
      <x:c r="M224" s="13" t="str">
        <x:v>IT-DT-2026-011</x:v>
      </x:c>
    </x:row>
    <x:row r="225">
      <x:c r="A225" s="13" t="str">
        <x:v>IT-PR-2026-224</x:v>
      </x:c>
      <x:c r="B225" s="24" t="n">
        <x:v>46235</x:v>
      </x:c>
      <x:c r="C225" s="13" t="str">
        <x:v>Q3</x:v>
      </x:c>
      <x:c r="D225" s="13" t="str">
        <x:v>Phòng máy tính</x:v>
      </x:c>
      <x:c r="E225" s="13" t="str">
        <x:v>Máy chiếu/màn hình</x:v>
      </x:c>
      <x:c r="F225" s="13" t="str">
        <x:v>Bkav Enterprise</x:v>
      </x:c>
      <x:c r="G225" s="13" t="str">
        <x:v>Thanh toán máy chiếu/màn hình - Phòng máy tính</x:v>
      </x:c>
      <x:c r="H225" s="16" t="n">
        <x:v>20000000</x:v>
      </x:c>
      <x:c r="I225" s="16" t="n">
        <x:f>H225*10%</x:f>
        <x:v>2000000</x:v>
      </x:c>
      <x:c r="J225" s="16" t="n">
        <x:f>H225+I225</x:f>
        <x:v>22000000</x:v>
      </x:c>
      <x:c r="K225" s="13" t="str">
        <x:v>Đã duyệt</x:v>
      </x:c>
      <x:c r="L225" s="13" t="str">
        <x:v>Trung bình</x:v>
      </x:c>
      <x:c r="M225" s="13" t="str">
        <x:v>IT-DT-2026-031</x:v>
      </x:c>
    </x:row>
    <x:row r="226">
      <x:c r="A226" s="13" t="str">
        <x:v>IT-PR-2026-225</x:v>
      </x:c>
      <x:c r="B226" s="24" t="n">
        <x:v>46288</x:v>
      </x:c>
      <x:c r="C226" s="13" t="str">
        <x:v>Q3</x:v>
      </x:c>
      <x:c r="D226" s="13" t="str">
        <x:v>Hạ tầng mạng</x:v>
      </x:c>
      <x:c r="E226" s="13" t="str">
        <x:v>Thiết bị firewall</x:v>
      </x:c>
      <x:c r="F226" s="13" t="str">
        <x:v>MISA</x:v>
      </x:c>
      <x:c r="G226" s="13" t="str">
        <x:v>Thanh toán thiết bị firewall - Hạ tầng mạng</x:v>
      </x:c>
      <x:c r="H226" s="16" t="n">
        <x:v>75000000</x:v>
      </x:c>
      <x:c r="I226" s="16" t="n">
        <x:f>H226*10%</x:f>
        <x:v>7500000</x:v>
      </x:c>
      <x:c r="J226" s="16" t="n">
        <x:f>H226+I226</x:f>
        <x:v>82500000</x:v>
      </x:c>
      <x:c r="K226" s="13" t="str">
        <x:v>Đã duyệt</x:v>
      </x:c>
      <x:c r="L226" s="13" t="str">
        <x:v>Cao</x:v>
      </x:c>
      <x:c r="M226" s="13" t="str">
        <x:v>IT-DT-2026-048</x:v>
      </x:c>
    </x:row>
    <x:row r="227">
      <x:c r="A227" s="13" t="str">
        <x:v>IT-PR-2026-226</x:v>
      </x:c>
      <x:c r="B227" s="24" t="n">
        <x:v>46296</x:v>
      </x:c>
      <x:c r="C227" s="13" t="str">
        <x:v>Q4</x:v>
      </x:c>
      <x:c r="D227" s="13" t="str">
        <x:v>Hệ thống máy chủ</x:v>
      </x:c>
      <x:c r="E227" s="13" t="str">
        <x:v>Backup server</x:v>
      </x:c>
      <x:c r="F227" s="13" t="str">
        <x:v>Cloud Ace</x:v>
      </x:c>
      <x:c r="G227" s="13" t="str">
        <x:v>Thanh toán backup server - Hệ thống máy chủ</x:v>
      </x:c>
      <x:c r="H227" s="16" t="n">
        <x:v>8000000</x:v>
      </x:c>
      <x:c r="I227" s="16" t="n">
        <x:f>H227*10%</x:f>
        <x:v>800000</x:v>
      </x:c>
      <x:c r="J227" s="16" t="n">
        <x:f>H227+I227</x:f>
        <x:v>8800000</x:v>
      </x:c>
      <x:c r="K227" s="13" t="str">
        <x:v>Đã duyệt</x:v>
      </x:c>
      <x:c r="L227" s="13" t="str">
        <x:v>Thấp</x:v>
      </x:c>
      <x:c r="M227" s="13" t="str">
        <x:v>IT-DT-2026-007</x:v>
      </x:c>
    </x:row>
    <x:row r="228">
      <x:c r="A228" s="13" t="str">
        <x:v>IT-PR-2026-227</x:v>
      </x:c>
      <x:c r="B228" s="24" t="n">
        <x:v>46336</x:v>
      </x:c>
      <x:c r="C228" s="13" t="str">
        <x:v>Q4</x:v>
      </x:c>
      <x:c r="D228" s="13" t="str">
        <x:v>Bảo mật thông tin</x:v>
      </x:c>
      <x:c r="E228" s="13" t="str">
        <x:v>Đào tạo an toàn thông tin</x:v>
      </x:c>
      <x:c r="F228" s="13" t="str">
        <x:v>Bkav Enterprise</x:v>
      </x:c>
      <x:c r="G228" s="13" t="str">
        <x:v>Thanh toán đào tạo an toàn thông tin - Bảo mật thông tin</x:v>
      </x:c>
      <x:c r="H228" s="16" t="n">
        <x:v>5000000</x:v>
      </x:c>
      <x:c r="I228" s="16" t="n">
        <x:f>H228*10%</x:f>
        <x:v>500000</x:v>
      </x:c>
      <x:c r="J228" s="16" t="n">
        <x:f>H228+I228</x:f>
        <x:v>5500000</x:v>
      </x:c>
      <x:c r="K228" s="13" t="str">
        <x:v>Đã duyệt</x:v>
      </x:c>
      <x:c r="L228" s="13" t="str">
        <x:v>Cao</x:v>
      </x:c>
      <x:c r="M228" s="13" t="str">
        <x:v>IT-DT-2026-134</x:v>
      </x:c>
    </x:row>
    <x:row r="229">
      <x:c r="A229" s="13" t="str">
        <x:v>IT-PR-2026-228</x:v>
      </x:c>
      <x:c r="B229" s="24" t="n">
        <x:v>46372</x:v>
      </x:c>
      <x:c r="C229" s="13" t="str">
        <x:v>Q4</x:v>
      </x:c>
      <x:c r="D229" s="13" t="str">
        <x:v>Phần mềm bản quyền</x:v>
      </x:c>
      <x:c r="E229" s="13" t="str">
        <x:v>Microsoft 365</x:v>
      </x:c>
      <x:c r="F229" s="13" t="str">
        <x:v>FPT IS</x:v>
      </x:c>
      <x:c r="G229" s="13" t="str">
        <x:v>Thanh toán microsoft 365 - Phần mềm bản quyền</x:v>
      </x:c>
      <x:c r="H229" s="16" t="n">
        <x:v>8000000</x:v>
      </x:c>
      <x:c r="I229" s="16" t="n">
        <x:f>H229*10%</x:f>
        <x:v>800000</x:v>
      </x:c>
      <x:c r="J229" s="16" t="n">
        <x:f>H229+I229</x:f>
        <x:v>8800000</x:v>
      </x:c>
      <x:c r="K229" s="13" t="str">
        <x:v>Đã thanh toán</x:v>
      </x:c>
      <x:c r="L229" s="13" t="str">
        <x:v>Trung bình</x:v>
      </x:c>
      <x:c r="M229" s="13" t="str">
        <x:v>IT-DT-2026-122</x:v>
      </x:c>
    </x:row>
    <x:row r="230">
      <x:c r="A230" s="13" t="str">
        <x:v>IT-PR-2026-229</x:v>
      </x:c>
      <x:c r="B230" s="24" t="n">
        <x:v>46047</x:v>
      </x:c>
      <x:c r="C230" s="13" t="str">
        <x:v>Q1</x:v>
      </x:c>
      <x:c r="D230" s="13" t="str">
        <x:v>Hỗ trợ người dùng</x:v>
      </x:c>
      <x:c r="E230" s="13" t="str">
        <x:v>Thiết bị ngoại vi</x:v>
      </x:c>
      <x:c r="F230" s="13" t="str">
        <x:v>Microsoft Vietnam</x:v>
      </x:c>
      <x:c r="G230" s="13" t="str">
        <x:v>Thanh toán thiết bị ngoại vi - Hỗ trợ người dùng</x:v>
      </x:c>
      <x:c r="H230" s="16" t="n">
        <x:v>20000000</x:v>
      </x:c>
      <x:c r="I230" s="16" t="n">
        <x:f>H230*10%</x:f>
        <x:v>2000000</x:v>
      </x:c>
      <x:c r="J230" s="16" t="n">
        <x:f>H230+I230</x:f>
        <x:v>22000000</x:v>
      </x:c>
      <x:c r="K230" s="13" t="str">
        <x:v>Đã thanh toán</x:v>
      </x:c>
      <x:c r="L230" s="13" t="str">
        <x:v>Cao</x:v>
      </x:c>
      <x:c r="M230" s="13" t="str">
        <x:v>IT-DT-2026-112</x:v>
      </x:c>
    </x:row>
    <x:row r="231">
      <x:c r="A231" s="13" t="str">
        <x:v>IT-PR-2026-230</x:v>
      </x:c>
      <x:c r="B231" s="24" t="n">
        <x:v>46064</x:v>
      </x:c>
      <x:c r="C231" s="13" t="str">
        <x:v>Q1</x:v>
      </x:c>
      <x:c r="D231" s="13" t="str">
        <x:v>Chuyển đổi số</x:v>
      </x:c>
      <x:c r="E231" s="13" t="str">
        <x:v>Tự động hóa quy trình</x:v>
      </x:c>
      <x:c r="F231" s="13" t="str">
        <x:v>CMC Telecom</x:v>
      </x:c>
      <x:c r="G231" s="13" t="str">
        <x:v>Thanh toán tự động hóa quy trình - Chuyển đổi số</x:v>
      </x:c>
      <x:c r="H231" s="16" t="n">
        <x:v>50000000</x:v>
      </x:c>
      <x:c r="I231" s="16" t="n">
        <x:f>H231*10%</x:f>
        <x:v>5000000</x:v>
      </x:c>
      <x:c r="J231" s="16" t="n">
        <x:f>H231+I231</x:f>
        <x:v>55000000</x:v>
      </x:c>
      <x:c r="K231" s="13" t="str">
        <x:v>Chờ duyệt</x:v>
      </x:c>
      <x:c r="L231" s="13" t="str">
        <x:v>Cao</x:v>
      </x:c>
      <x:c r="M231" s="13" t="str">
        <x:v>IT-DT-2026-135</x:v>
      </x:c>
    </x:row>
    <x:row r="232">
      <x:c r="A232" s="13" t="str">
        <x:v>IT-PR-2026-231</x:v>
      </x:c>
      <x:c r="B232" s="24" t="n">
        <x:v>46102</x:v>
      </x:c>
      <x:c r="C232" s="13" t="str">
        <x:v>Q1</x:v>
      </x:c>
      <x:c r="D232" s="13" t="str">
        <x:v>LMS/SIS</x:v>
      </x:c>
      <x:c r="E232" s="13" t="str">
        <x:v>Tối ưu cơ sở dữ liệu</x:v>
      </x:c>
      <x:c r="F232" s="13" t="str">
        <x:v>VNPT Technology</x:v>
      </x:c>
      <x:c r="G232" s="13" t="str">
        <x:v>Thanh toán tối ưu cơ sở dữ liệu - LMS/SIS</x:v>
      </x:c>
      <x:c r="H232" s="16" t="n">
        <x:v>75000000</x:v>
      </x:c>
      <x:c r="I232" s="16" t="n">
        <x:f>H232*10%</x:f>
        <x:v>7500000</x:v>
      </x:c>
      <x:c r="J232" s="16" t="n">
        <x:f>H232+I232</x:f>
        <x:v>82500000</x:v>
      </x:c>
      <x:c r="K232" s="13" t="str">
        <x:v>Đã thanh toán</x:v>
      </x:c>
      <x:c r="L232" s="13" t="str">
        <x:v>Trung bình</x:v>
      </x:c>
      <x:c r="M232" s="13" t="str">
        <x:v>IT-DT-2026-021</x:v>
      </x:c>
    </x:row>
    <x:row r="233">
      <x:c r="A233" s="13" t="str">
        <x:v>IT-PR-2026-232</x:v>
      </x:c>
      <x:c r="B233" s="24" t="n">
        <x:v>46116</x:v>
      </x:c>
      <x:c r="C233" s="13" t="str">
        <x:v>Q2</x:v>
      </x:c>
      <x:c r="D233" s="13" t="str">
        <x:v>Phòng máy tính</x:v>
      </x:c>
      <x:c r="E233" s="13" t="str">
        <x:v>Bảo trì phòng lab</x:v>
      </x:c>
      <x:c r="F233" s="13" t="str">
        <x:v>Cisco Partner</x:v>
      </x:c>
      <x:c r="G233" s="13" t="str">
        <x:v>Thanh toán bảo trì phòng lab - Phòng máy tính</x:v>
      </x:c>
      <x:c r="H233" s="16" t="n">
        <x:v>100000000</x:v>
      </x:c>
      <x:c r="I233" s="16" t="n">
        <x:f>H233*10%</x:f>
        <x:v>10000000</x:v>
      </x:c>
      <x:c r="J233" s="16" t="n">
        <x:f>H233+I233</x:f>
        <x:v>110000000</x:v>
      </x:c>
      <x:c r="K233" s="13" t="str">
        <x:v>Đã thanh toán</x:v>
      </x:c>
      <x:c r="L233" s="13" t="str">
        <x:v>Trung bình</x:v>
      </x:c>
      <x:c r="M233" s="13" t="str">
        <x:v>IT-DT-2026-143</x:v>
      </x:c>
    </x:row>
    <x:row r="234">
      <x:c r="A234" s="13" t="str">
        <x:v>IT-PR-2026-233</x:v>
      </x:c>
      <x:c r="B234" s="24" t="n">
        <x:v>46163</x:v>
      </x:c>
      <x:c r="C234" s="13" t="str">
        <x:v>Q2</x:v>
      </x:c>
      <x:c r="D234" s="13" t="str">
        <x:v>Hạ tầng mạng</x:v>
      </x:c>
      <x:c r="E234" s="13" t="str">
        <x:v>Wi-Fi access point</x:v>
      </x:c>
      <x:c r="F234" s="13" t="str">
        <x:v>CMC Cyber Security</x:v>
      </x:c>
      <x:c r="G234" s="13" t="str">
        <x:v>Thanh toán wi-fi access point - Hạ tầng mạng</x:v>
      </x:c>
      <x:c r="H234" s="16" t="n">
        <x:v>150000000</x:v>
      </x:c>
      <x:c r="I234" s="16" t="n">
        <x:f>H234*10%</x:f>
        <x:v>15000000</x:v>
      </x:c>
      <x:c r="J234" s="16" t="n">
        <x:f>H234+I234</x:f>
        <x:v>165000000</x:v>
      </x:c>
      <x:c r="K234" s="13" t="str">
        <x:v>Đã duyệt</x:v>
      </x:c>
      <x:c r="L234" s="13" t="str">
        <x:v>Cao</x:v>
      </x:c>
      <x:c r="M234" s="13" t="str">
        <x:v>IT-DT-2026-023</x:v>
      </x:c>
    </x:row>
    <x:row r="235">
      <x:c r="A235" s="13" t="str">
        <x:v>IT-PR-2026-234</x:v>
      </x:c>
      <x:c r="B235" s="24" t="n">
        <x:v>46180</x:v>
      </x:c>
      <x:c r="C235" s="13" t="str">
        <x:v>Q2</x:v>
      </x:c>
      <x:c r="D235" s="13" t="str">
        <x:v>Hệ thống máy chủ</x:v>
      </x:c>
      <x:c r="E235" s="13" t="str">
        <x:v>Lưu trữ NAS/SAN</x:v>
      </x:c>
      <x:c r="F235" s="13" t="str">
        <x:v>FPT IS</x:v>
      </x:c>
      <x:c r="G235" s="13" t="str">
        <x:v>Thanh toán lưu trữ nas/san - Hệ thống máy chủ</x:v>
      </x:c>
      <x:c r="H235" s="16" t="n">
        <x:v>12000000</x:v>
      </x:c>
      <x:c r="I235" s="16" t="n">
        <x:f>H235*10%</x:f>
        <x:v>1200000</x:v>
      </x:c>
      <x:c r="J235" s="16" t="n">
        <x:f>H235+I235</x:f>
        <x:v>13200000</x:v>
      </x:c>
      <x:c r="K235" s="13" t="str">
        <x:v>Chờ duyệt</x:v>
      </x:c>
      <x:c r="L235" s="13" t="str">
        <x:v>Thấp</x:v>
      </x:c>
      <x:c r="M235" s="13" t="str">
        <x:v>IT-DT-2026-150</x:v>
      </x:c>
    </x:row>
    <x:row r="236">
      <x:c r="A236" s="13" t="str">
        <x:v>IT-PR-2026-235</x:v>
      </x:c>
      <x:c r="B236" s="24" t="n">
        <x:v>46227</x:v>
      </x:c>
      <x:c r="C236" s="13" t="str">
        <x:v>Q3</x:v>
      </x:c>
      <x:c r="D236" s="13" t="str">
        <x:v>Bảo mật thông tin</x:v>
      </x:c>
      <x:c r="E236" s="13" t="str">
        <x:v>Đào tạo an toàn thông tin</x:v>
      </x:c>
      <x:c r="F236" s="13" t="str">
        <x:v>Microsoft Vietnam</x:v>
      </x:c>
      <x:c r="G236" s="13" t="str">
        <x:v>Thanh toán đào tạo an toàn thông tin - Bảo mật thông tin</x:v>
      </x:c>
      <x:c r="H236" s="16" t="n">
        <x:v>5000000</x:v>
      </x:c>
      <x:c r="I236" s="16" t="n">
        <x:f>H236*10%</x:f>
        <x:v>500000</x:v>
      </x:c>
      <x:c r="J236" s="16" t="n">
        <x:f>H236+I236</x:f>
        <x:v>5500000</x:v>
      </x:c>
      <x:c r="K236" s="13" t="str">
        <x:v>Đã thanh toán</x:v>
      </x:c>
      <x:c r="L236" s="13" t="str">
        <x:v>Cao</x:v>
      </x:c>
      <x:c r="M236" s="13" t="str">
        <x:v>IT-DT-2026-111</x:v>
      </x:c>
    </x:row>
    <x:row r="237">
      <x:c r="A237" s="13" t="str">
        <x:v>IT-PR-2026-236</x:v>
      </x:c>
      <x:c r="B237" s="24" t="n">
        <x:v>46238</x:v>
      </x:c>
      <x:c r="C237" s="13" t="str">
        <x:v>Q3</x:v>
      </x:c>
      <x:c r="D237" s="13" t="str">
        <x:v>Phần mềm bản quyền</x:v>
      </x:c>
      <x:c r="E237" s="13" t="str">
        <x:v>Phần mềm thống kê/dữ liệu</x:v>
      </x:c>
      <x:c r="F237" s="13" t="str">
        <x:v>VNPT Technology</x:v>
      </x:c>
      <x:c r="G237" s="13" t="str">
        <x:v>Thanh toán phần mềm thống kê/dữ liệu - Phần mềm bản quyền</x:v>
      </x:c>
      <x:c r="H237" s="16" t="n">
        <x:v>35000000</x:v>
      </x:c>
      <x:c r="I237" s="16" t="n">
        <x:f>H237*10%</x:f>
        <x:v>3500000</x:v>
      </x:c>
      <x:c r="J237" s="16" t="n">
        <x:f>H237+I237</x:f>
        <x:v>38500000</x:v>
      </x:c>
      <x:c r="K237" s="13" t="str">
        <x:v>Đã thanh toán</x:v>
      </x:c>
      <x:c r="L237" s="13" t="str">
        <x:v>Cao</x:v>
      </x:c>
      <x:c r="M237" s="13" t="str">
        <x:v>IT-DT-2026-019</x:v>
      </x:c>
    </x:row>
    <x:row r="238">
      <x:c r="A238" s="13" t="str">
        <x:v>IT-PR-2026-237</x:v>
      </x:c>
      <x:c r="B238" s="24" t="n">
        <x:v>46266</x:v>
      </x:c>
      <x:c r="C238" s="13" t="str">
        <x:v>Q3</x:v>
      </x:c>
      <x:c r="D238" s="13" t="str">
        <x:v>Hỗ trợ người dùng</x:v>
      </x:c>
      <x:c r="E238" s="13" t="str">
        <x:v>Helpdesk system</x:v>
      </x:c>
      <x:c r="F238" s="13" t="str">
        <x:v>Bkav Enterprise</x:v>
      </x:c>
      <x:c r="G238" s="13" t="str">
        <x:v>Thanh toán helpdesk system - Hỗ trợ người dùng</x:v>
      </x:c>
      <x:c r="H238" s="16" t="n">
        <x:v>100000000</x:v>
      </x:c>
      <x:c r="I238" s="16" t="n">
        <x:f>H238*10%</x:f>
        <x:v>10000000</x:v>
      </x:c>
      <x:c r="J238" s="16" t="n">
        <x:f>H238+I238</x:f>
        <x:v>110000000</x:v>
      </x:c>
      <x:c r="K238" s="13" t="str">
        <x:v>Đã thanh toán</x:v>
      </x:c>
      <x:c r="L238" s="13" t="str">
        <x:v>Thấp</x:v>
      </x:c>
      <x:c r="M238" s="13" t="str">
        <x:v>IT-DT-2026-128</x:v>
      </x:c>
    </x:row>
    <x:row r="239">
      <x:c r="A239" s="13" t="str">
        <x:v>IT-PR-2026-238</x:v>
      </x:c>
      <x:c r="B239" s="24" t="n">
        <x:v>46314</x:v>
      </x:c>
      <x:c r="C239" s="13" t="str">
        <x:v>Q4</x:v>
      </x:c>
      <x:c r="D239" s="13" t="str">
        <x:v>Chuyển đổi số</x:v>
      </x:c>
      <x:c r="E239" s="13" t="str">
        <x:v>Tích hợp API</x:v>
      </x:c>
      <x:c r="F239" s="13" t="str">
        <x:v>Cisco Partner</x:v>
      </x:c>
      <x:c r="G239" s="13" t="str">
        <x:v>Thanh toán tích hợp api - Chuyển đổi số</x:v>
      </x:c>
      <x:c r="H239" s="16" t="n">
        <x:v>20000000</x:v>
      </x:c>
      <x:c r="I239" s="16" t="n">
        <x:f>H239*10%</x:f>
        <x:v>2000000</x:v>
      </x:c>
      <x:c r="J239" s="16" t="n">
        <x:f>H239+I239</x:f>
        <x:v>22000000</x:v>
      </x:c>
      <x:c r="K239" s="13" t="str">
        <x:v>Đã thanh toán</x:v>
      </x:c>
      <x:c r="L239" s="13" t="str">
        <x:v>Trung bình</x:v>
      </x:c>
      <x:c r="M239" s="13" t="str">
        <x:v>IT-DT-2026-012</x:v>
      </x:c>
    </x:row>
    <x:row r="240">
      <x:c r="A240" s="13" t="str">
        <x:v>IT-PR-2026-239</x:v>
      </x:c>
      <x:c r="B240" s="24" t="n">
        <x:v>46329</x:v>
      </x:c>
      <x:c r="C240" s="13" t="str">
        <x:v>Q4</x:v>
      </x:c>
      <x:c r="D240" s="13" t="str">
        <x:v>LMS/SIS</x:v>
      </x:c>
      <x:c r="E240" s="13" t="str">
        <x:v>Nâng cấp cổng sinh viên</x:v>
      </x:c>
      <x:c r="F240" s="13" t="str">
        <x:v>VNPT Technology</x:v>
      </x:c>
      <x:c r="G240" s="13" t="str">
        <x:v>Thanh toán nâng cấp cổng sinh viên - LMS/SIS</x:v>
      </x:c>
      <x:c r="H240" s="16" t="n">
        <x:v>5000000</x:v>
      </x:c>
      <x:c r="I240" s="16" t="n">
        <x:f>H240*10%</x:f>
        <x:v>500000</x:v>
      </x:c>
      <x:c r="J240" s="16" t="n">
        <x:f>H240+I240</x:f>
        <x:v>5500000</x:v>
      </x:c>
      <x:c r="K240" s="13" t="str">
        <x:v>Đã thanh toán</x:v>
      </x:c>
      <x:c r="L240" s="13" t="str">
        <x:v>Cao</x:v>
      </x:c>
      <x:c r="M240" s="13" t="str">
        <x:v>IT-DT-2026-099</x:v>
      </x:c>
    </x:row>
    <x:row r="241">
      <x:c r="A241" s="13" t="str">
        <x:v>IT-PR-2026-240</x:v>
      </x:c>
      <x:c r="B241" s="24" t="n">
        <x:v>46359</x:v>
      </x:c>
      <x:c r="C241" s="13" t="str">
        <x:v>Q4</x:v>
      </x:c>
      <x:c r="D241" s="13" t="str">
        <x:v>Phòng máy tính</x:v>
      </x:c>
      <x:c r="E241" s="13" t="str">
        <x:v>Bảo trì phòng lab</x:v>
      </x:c>
      <x:c r="F241" s="13" t="str">
        <x:v>Sao Bắc Đẩu</x:v>
      </x:c>
      <x:c r="G241" s="13" t="str">
        <x:v>Thanh toán bảo trì phòng lab - Phòng máy tính</x:v>
      </x:c>
      <x:c r="H241" s="16" t="n">
        <x:v>100000000</x:v>
      </x:c>
      <x:c r="I241" s="16" t="n">
        <x:f>H241*10%</x:f>
        <x:v>10000000</x:v>
      </x:c>
      <x:c r="J241" s="16" t="n">
        <x:f>H241+I241</x:f>
        <x:v>110000000</x:v>
      </x:c>
      <x:c r="K241" s="13" t="str">
        <x:v>Đã thanh toán</x:v>
      </x:c>
      <x:c r="L241" s="13" t="str">
        <x:v>Cao</x:v>
      </x:c>
      <x:c r="M241" s="13" t="str">
        <x:v>IT-DT-2026-063</x:v>
      </x:c>
    </x:row>
    <x:row r="242">
      <x:c r="A242" s="13" t="str">
        <x:v>IT-PR-2026-241</x:v>
      </x:c>
      <x:c r="B242" s="24" t="n">
        <x:v>46046</x:v>
      </x:c>
      <x:c r="C242" s="13" t="str">
        <x:v>Q1</x:v>
      </x:c>
      <x:c r="D242" s="13" t="str">
        <x:v>Hạ tầng mạng</x:v>
      </x:c>
      <x:c r="E242" s="13" t="str">
        <x:v>Bảo trì hệ thống mạng</x:v>
      </x:c>
      <x:c r="F242" s="13" t="str">
        <x:v>CMC Cyber Security</x:v>
      </x:c>
      <x:c r="G242" s="13" t="str">
        <x:v>Thanh toán bảo trì hệ thống mạng - Hạ tầng mạng</x:v>
      </x:c>
      <x:c r="H242" s="16" t="n">
        <x:v>50000000</x:v>
      </x:c>
      <x:c r="I242" s="16" t="n">
        <x:f>H242*10%</x:f>
        <x:v>5000000</x:v>
      </x:c>
      <x:c r="J242" s="16" t="n">
        <x:f>H242+I242</x:f>
        <x:v>55000000</x:v>
      </x:c>
      <x:c r="K242" s="13" t="str">
        <x:v>Đã thanh toán</x:v>
      </x:c>
      <x:c r="L242" s="13" t="str">
        <x:v>Trung bình</x:v>
      </x:c>
      <x:c r="M242" s="13" t="str">
        <x:v>IT-DT-2026-086</x:v>
      </x:c>
    </x:row>
    <x:row r="243">
      <x:c r="A243" s="13" t="str">
        <x:v>IT-PR-2026-242</x:v>
      </x:c>
      <x:c r="B243" s="24" t="n">
        <x:v>46063</x:v>
      </x:c>
      <x:c r="C243" s="13" t="str">
        <x:v>Q1</x:v>
      </x:c>
      <x:c r="D243" s="13" t="str">
        <x:v>Hệ thống máy chủ</x:v>
      </x:c>
      <x:c r="E243" s="13" t="str">
        <x:v>Máy chủ ứng dụng</x:v>
      </x:c>
      <x:c r="F243" s="13" t="str">
        <x:v>VNPT Technology</x:v>
      </x:c>
      <x:c r="G243" s="13" t="str">
        <x:v>Thanh toán máy chủ ứng dụng - Hệ thống máy chủ</x:v>
      </x:c>
      <x:c r="H243" s="16" t="n">
        <x:v>150000000</x:v>
      </x:c>
      <x:c r="I243" s="16" t="n">
        <x:f>H243*10%</x:f>
        <x:v>15000000</x:v>
      </x:c>
      <x:c r="J243" s="16" t="n">
        <x:f>H243+I243</x:f>
        <x:v>165000000</x:v>
      </x:c>
      <x:c r="K243" s="13" t="str">
        <x:v>Đã thanh toán</x:v>
      </x:c>
      <x:c r="L243" s="13" t="str">
        <x:v>Trung bình</x:v>
      </x:c>
      <x:c r="M243" s="13" t="str">
        <x:v>IT-DT-2026-050</x:v>
      </x:c>
    </x:row>
    <x:row r="244">
      <x:c r="A244" s="13" t="str">
        <x:v>IT-PR-2026-243</x:v>
      </x:c>
      <x:c r="B244" s="24" t="n">
        <x:v>46090</x:v>
      </x:c>
      <x:c r="C244" s="13" t="str">
        <x:v>Q1</x:v>
      </x:c>
      <x:c r="D244" s="13" t="str">
        <x:v>Bảo mật thông tin</x:v>
      </x:c>
      <x:c r="E244" s="13" t="str">
        <x:v>Phần mềm antivirus/EDR</x:v>
      </x:c>
      <x:c r="F244" s="13" t="str">
        <x:v>CMC Telecom</x:v>
      </x:c>
      <x:c r="G244" s="13" t="str">
        <x:v>Thanh toán phần mềm antivirus/edr - Bảo mật thông tin</x:v>
      </x:c>
      <x:c r="H244" s="16" t="n">
        <x:v>35000000</x:v>
      </x:c>
      <x:c r="I244" s="16" t="n">
        <x:f>H244*10%</x:f>
        <x:v>3500000</x:v>
      </x:c>
      <x:c r="J244" s="16" t="n">
        <x:f>H244+I244</x:f>
        <x:v>38500000</x:v>
      </x:c>
      <x:c r="K244" s="13" t="str">
        <x:v>Đã duyệt</x:v>
      </x:c>
      <x:c r="L244" s="13" t="str">
        <x:v>Cao</x:v>
      </x:c>
      <x:c r="M244" s="13" t="str">
        <x:v>IT-DT-2026-112</x:v>
      </x:c>
    </x:row>
    <x:row r="245">
      <x:c r="A245" s="13" t="str">
        <x:v>IT-PR-2026-244</x:v>
      </x:c>
      <x:c r="B245" s="24" t="n">
        <x:v>46119</x:v>
      </x:c>
      <x:c r="C245" s="13" t="str">
        <x:v>Q2</x:v>
      </x:c>
      <x:c r="D245" s="13" t="str">
        <x:v>Phần mềm bản quyền</x:v>
      </x:c>
      <x:c r="E245" s="13" t="str">
        <x:v>Phần mềm thống kê/dữ liệu</x:v>
      </x:c>
      <x:c r="F245" s="13" t="str">
        <x:v>Cisco Partner</x:v>
      </x:c>
      <x:c r="G245" s="13" t="str">
        <x:v>Thanh toán phần mềm thống kê/dữ liệu - Phần mềm bản quyền</x:v>
      </x:c>
      <x:c r="H245" s="16" t="n">
        <x:v>50000000</x:v>
      </x:c>
      <x:c r="I245" s="16" t="n">
        <x:f>H245*10%</x:f>
        <x:v>5000000</x:v>
      </x:c>
      <x:c r="J245" s="16" t="n">
        <x:f>H245+I245</x:f>
        <x:v>55000000</x:v>
      </x:c>
      <x:c r="K245" s="13" t="str">
        <x:v>Chờ duyệt</x:v>
      </x:c>
      <x:c r="L245" s="13" t="str">
        <x:v>Cao</x:v>
      </x:c>
      <x:c r="M245" s="13" t="str">
        <x:v>IT-DT-2026-078</x:v>
      </x:c>
    </x:row>
    <x:row r="246">
      <x:c r="A246" s="13" t="str">
        <x:v>IT-PR-2026-245</x:v>
      </x:c>
      <x:c r="B246" s="24" t="n">
        <x:v>46162</x:v>
      </x:c>
      <x:c r="C246" s="13" t="str">
        <x:v>Q2</x:v>
      </x:c>
      <x:c r="D246" s="13" t="str">
        <x:v>Hỗ trợ người dùng</x:v>
      </x:c>
      <x:c r="E246" s="13" t="str">
        <x:v>Máy tính cho cán bộ</x:v>
      </x:c>
      <x:c r="F246" s="13" t="str">
        <x:v>Bkav Enterprise</x:v>
      </x:c>
      <x:c r="G246" s="13" t="str">
        <x:v>Thanh toán máy tính cho cán bộ - Hỗ trợ người dùng</x:v>
      </x:c>
      <x:c r="H246" s="16" t="n">
        <x:v>100000000</x:v>
      </x:c>
      <x:c r="I246" s="16" t="n">
        <x:f>H246*10%</x:f>
        <x:v>10000000</x:v>
      </x:c>
      <x:c r="J246" s="16" t="n">
        <x:f>H246+I246</x:f>
        <x:v>110000000</x:v>
      </x:c>
      <x:c r="K246" s="13" t="str">
        <x:v>Đã thanh toán</x:v>
      </x:c>
      <x:c r="L246" s="13" t="str">
        <x:v>Trung bình</x:v>
      </x:c>
      <x:c r="M246" s="13" t="str">
        <x:v>IT-DT-2026-097</x:v>
      </x:c>
    </x:row>
    <x:row r="247">
      <x:c r="A247" s="13" t="str">
        <x:v>IT-PR-2026-246</x:v>
      </x:c>
      <x:c r="B247" s="24" t="n">
        <x:v>46195</x:v>
      </x:c>
      <x:c r="C247" s="13" t="str">
        <x:v>Q2</x:v>
      </x:c>
      <x:c r="D247" s="13" t="str">
        <x:v>Chuyển đổi số</x:v>
      </x:c>
      <x:c r="E247" s="13" t="str">
        <x:v>Tự động hóa quy trình</x:v>
      </x:c>
      <x:c r="F247" s="13" t="str">
        <x:v>Cloud Ace</x:v>
      </x:c>
      <x:c r="G247" s="13" t="str">
        <x:v>Thanh toán tự động hóa quy trình - Chuyển đổi số</x:v>
      </x:c>
      <x:c r="H247" s="16" t="n">
        <x:v>8000000</x:v>
      </x:c>
      <x:c r="I247" s="16" t="n">
        <x:f>H247*10%</x:f>
        <x:v>800000</x:v>
      </x:c>
      <x:c r="J247" s="16" t="n">
        <x:f>H247+I247</x:f>
        <x:v>8800000</x:v>
      </x:c>
      <x:c r="K247" s="13" t="str">
        <x:v>Đã thanh toán</x:v>
      </x:c>
      <x:c r="L247" s="13" t="str">
        <x:v>Cao</x:v>
      </x:c>
      <x:c r="M247" s="13" t="str">
        <x:v>IT-DT-2026-117</x:v>
      </x:c>
    </x:row>
    <x:row r="248">
      <x:c r="A248" s="13" t="str">
        <x:v>IT-PR-2026-247</x:v>
      </x:c>
      <x:c r="B248" s="24" t="n">
        <x:v>46217</x:v>
      </x:c>
      <x:c r="C248" s="13" t="str">
        <x:v>Q3</x:v>
      </x:c>
      <x:c r="D248" s="13" t="str">
        <x:v>LMS/SIS</x:v>
      </x:c>
      <x:c r="E248" s="13" t="str">
        <x:v>Nâng cấp cổng sinh viên</x:v>
      </x:c>
      <x:c r="F248" s="13" t="str">
        <x:v>Cloud Ace</x:v>
      </x:c>
      <x:c r="G248" s="13" t="str">
        <x:v>Thanh toán nâng cấp cổng sinh viên - LMS/SIS</x:v>
      </x:c>
      <x:c r="H248" s="16" t="n">
        <x:v>35000000</x:v>
      </x:c>
      <x:c r="I248" s="16" t="n">
        <x:f>H248*10%</x:f>
        <x:v>3500000</x:v>
      </x:c>
      <x:c r="J248" s="16" t="n">
        <x:f>H248+I248</x:f>
        <x:v>38500000</x:v>
      </x:c>
      <x:c r="K248" s="13" t="str">
        <x:v>Chờ duyệt</x:v>
      </x:c>
      <x:c r="L248" s="13" t="str">
        <x:v>Trung bình</x:v>
      </x:c>
      <x:c r="M248" s="13" t="str">
        <x:v>IT-DT-2026-139</x:v>
      </x:c>
    </x:row>
    <x:row r="249">
      <x:c r="A249" s="13" t="str">
        <x:v>IT-PR-2026-248</x:v>
      </x:c>
      <x:c r="B249" s="24" t="n">
        <x:v>46253</x:v>
      </x:c>
      <x:c r="C249" s="13" t="str">
        <x:v>Q3</x:v>
      </x:c>
      <x:c r="D249" s="13" t="str">
        <x:v>Phòng máy tính</x:v>
      </x:c>
      <x:c r="E249" s="13" t="str">
        <x:v>Thiết bị âm thanh</x:v>
      </x:c>
      <x:c r="F249" s="13" t="str">
        <x:v>CMC Cyber Security</x:v>
      </x:c>
      <x:c r="G249" s="13" t="str">
        <x:v>Thanh toán thiết bị âm thanh - Phòng máy tính</x:v>
      </x:c>
      <x:c r="H249" s="16" t="n">
        <x:v>75000000</x:v>
      </x:c>
      <x:c r="I249" s="16" t="n">
        <x:f>H249*10%</x:f>
        <x:v>7500000</x:v>
      </x:c>
      <x:c r="J249" s="16" t="n">
        <x:f>H249+I249</x:f>
        <x:v>82500000</x:v>
      </x:c>
      <x:c r="K249" s="13" t="str">
        <x:v>Nháp</x:v>
      </x:c>
      <x:c r="L249" s="13" t="str">
        <x:v>Cao</x:v>
      </x:c>
      <x:c r="M249" s="13" t="str">
        <x:v>IT-DT-2026-110</x:v>
      </x:c>
    </x:row>
    <x:row r="250">
      <x:c r="A250" s="13" t="str">
        <x:v>IT-PR-2026-249</x:v>
      </x:c>
      <x:c r="B250" s="24" t="n">
        <x:v>46274</x:v>
      </x:c>
      <x:c r="C250" s="13" t="str">
        <x:v>Q3</x:v>
      </x:c>
      <x:c r="D250" s="13" t="str">
        <x:v>Hạ tầng mạng</x:v>
      </x:c>
      <x:c r="E250" s="13" t="str">
        <x:v>Nâng cấp switch core</x:v>
      </x:c>
      <x:c r="F250" s="13" t="str">
        <x:v>CMC Cyber Security</x:v>
      </x:c>
      <x:c r="G250" s="13" t="str">
        <x:v>Thanh toán nâng cấp switch core - Hạ tầng mạng</x:v>
      </x:c>
      <x:c r="H250" s="16" t="n">
        <x:v>75000000</x:v>
      </x:c>
      <x:c r="I250" s="16" t="n">
        <x:f>H250*10%</x:f>
        <x:v>7500000</x:v>
      </x:c>
      <x:c r="J250" s="16" t="n">
        <x:f>H250+I250</x:f>
        <x:v>82500000</x:v>
      </x:c>
      <x:c r="K250" s="13" t="str">
        <x:v>Chờ duyệt</x:v>
      </x:c>
      <x:c r="L250" s="13" t="str">
        <x:v>Cao</x:v>
      </x:c>
      <x:c r="M250" s="13" t="str">
        <x:v>IT-DT-2026-051</x:v>
      </x:c>
    </x:row>
    <x:row r="251">
      <x:c r="A251" s="13" t="str">
        <x:v>IT-PR-2026-250</x:v>
      </x:c>
      <x:c r="B251" s="24" t="n">
        <x:v>46319</x:v>
      </x:c>
      <x:c r="C251" s="13" t="str">
        <x:v>Q4</x:v>
      </x:c>
      <x:c r="D251" s="13" t="str">
        <x:v>Hệ thống máy chủ</x:v>
      </x:c>
      <x:c r="E251" s="13" t="str">
        <x:v>Gia hạn bảo hành server</x:v>
      </x:c>
      <x:c r="F251" s="13" t="str">
        <x:v>FPT IS</x:v>
      </x:c>
      <x:c r="G251" s="13" t="str">
        <x:v>Thanh toán gia hạn bảo hành server - Hệ thống máy chủ</x:v>
      </x:c>
      <x:c r="H251" s="16" t="n">
        <x:v>100000000</x:v>
      </x:c>
      <x:c r="I251" s="16" t="n">
        <x:f>H251*10%</x:f>
        <x:v>10000000</x:v>
      </x:c>
      <x:c r="J251" s="16" t="n">
        <x:f>H251+I251</x:f>
        <x:v>110000000</x:v>
      </x:c>
      <x:c r="K251" s="13" t="str">
        <x:v>Đã thanh toán</x:v>
      </x:c>
      <x:c r="L251" s="13" t="str">
        <x:v>Trung bình</x:v>
      </x:c>
      <x:c r="M251" s="13" t="str">
        <x:v>IT-DT-2026-101</x:v>
      </x:c>
    </x:row>
  </x:sheetData>
  <x:conditionalFormatting sqref="J2:J251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{230B482A-EE53-877B-5B8E-3F83E5431E3F}</x14:id>
        </x:ext>
      </x:extLst>
    </x:cfRule>
  </x:conditionalFormatting>
  <x:dataValidations count="2">
    <x:dataValidation type="list" sqref="K2:K251">
      <x:formula1>"Nháp,Chờ duyệt,Đã duyệt,Đã thanh toán,Từ chối"</x:formula1>
    </x:dataValidation>
    <x:dataValidation type="list" sqref="L2:L251">
      <x:formula1>Danh_muc!$C$2:$C$4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8d563e30434be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0B482A-EE53-877B-5B8E-3F83E5431E3F}">
            <x14:dataBar gradient="1">
              <x14:cfvo type="min"/>
              <x14:cfvo type="max"/>
              <x14:fillColor rgb="5B9BD5"/>
            </x14:dataBar>
          </x14:cfRule>
          <xm:sqref>J2:J251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47" t="str">
        <x:v>DASHBOARD QUẢN TRỊ NGÂN SÁCH - PHÒNG CNTT 2026</x:v>
      </x:c>
      <x:c r="B1" s="13"/>
      <x:c r="C1" s="13"/>
      <x:c r="D1" s="13"/>
      <x:c r="E1" s="13"/>
      <x:c r="F1" s="13"/>
      <x:c r="G1" s="13"/>
      <x:c r="H1" s="13"/>
      <x:c r="I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</x:row>
    <x:row r="3">
      <x:c r="A3" s="12" t="str">
        <x:v>Chỉ số</x:v>
      </x:c>
      <x:c r="B3" s="12" t="str">
        <x:v>Giá trị</x:v>
      </x:c>
      <x:c r="C3" s="12" t="str"/>
      <x:c r="D3" s="12" t="str">
        <x:v>Chỉ số</x:v>
      </x:c>
      <x:c r="E3" s="12" t="str">
        <x:v>Giá trị</x:v>
      </x:c>
      <x:c r="F3" s="13"/>
      <x:c r="G3" s="12" t="str">
        <x:v>Tháng</x:v>
      </x:c>
      <x:c r="H3" s="12" t="str">
        <x:v>Ngân sách kế hoạch</x:v>
      </x:c>
      <x:c r="I3" s="12" t="str">
        <x:v>Thực chi</x:v>
      </x:c>
    </x:row>
    <x:row r="4">
      <x:c r="A4" s="48" t="str">
        <x:v>Tổng dự toán</x:v>
      </x:c>
      <x:c r="B4" s="49" t="n">
        <x:f>SUM(Du_toan_ngan_sach!J2:J151)</x:f>
        <x:v>423446000000</x:v>
      </x:c>
      <x:c r="C4" s="48" t="str"/>
      <x:c r="D4" s="48" t="str">
        <x:v>Tổng thực chi kế hoạch</x:v>
      </x:c>
      <x:c r="E4" s="49" t="n">
        <x:f>SUM(Ke_hoach_chi_tieu!F2:F121)</x:f>
        <x:v>15427000000</x:v>
      </x:c>
      <x:c r="F4" s="13"/>
      <x:c r="G4" s="50" t="n">
        <x:v>46023</x:v>
      </x:c>
      <x:c r="H4" s="16" t="n">
        <x:f>SUMIFS(Ke_hoach_chi_tieu!$E:$E,Ke_hoach_chi_tieu!$A:$A,G4)</x:f>
        <x:v>1605000000</x:v>
      </x:c>
      <x:c r="I4" s="16" t="n">
        <x:f>SUMIFS(Ke_hoach_chi_tieu!$F:$F,Ke_hoach_chi_tieu!$A:$A,G4)</x:f>
        <x:v>1685000000</x:v>
      </x:c>
    </x:row>
    <x:row r="5">
      <x:c r="A5" s="48" t="str">
        <x:v>Tổng đề nghị thanh toán</x:v>
      </x:c>
      <x:c r="B5" s="49" t="n">
        <x:f>SUM(De_nghi_thanh_toan!J2:J251)</x:f>
        <x:v>14373700000</x:v>
      </x:c>
      <x:c r="C5" s="48" t="str"/>
      <x:c r="D5" s="48" t="str">
        <x:v>Số đề nghị thanh toán</x:v>
      </x:c>
      <x:c r="E5" s="49" t="n">
        <x:f>COUNTA(De_nghi_thanh_toan!A2:A251)</x:f>
        <x:v>250</x:v>
      </x:c>
      <x:c r="F5" s="13"/>
      <x:c r="G5" s="50" t="n">
        <x:v>46054</x:v>
      </x:c>
      <x:c r="H5" s="16" t="n">
        <x:f>SUMIFS(Ke_hoach_chi_tieu!$E:$E,Ke_hoach_chi_tieu!$A:$A,G5)</x:f>
        <x:v>1310000000</x:v>
      </x:c>
      <x:c r="I5" s="16" t="n">
        <x:f>SUMIFS(Ke_hoach_chi_tieu!$F:$F,Ke_hoach_chi_tieu!$A:$A,G5)</x:f>
        <x:v>1173000000</x:v>
      </x:c>
    </x:row>
    <x:row r="6">
      <x:c r="A6" s="48" t="str">
        <x:v>Tỷ lệ sử dụng TB</x:v>
      </x:c>
      <x:c r="B6" s="51" t="n">
        <x:f>AVERAGE(Ke_hoach_chi_tieu!H2:H121)</x:f>
        <x:v>0.9844027777777775</x:v>
      </x:c>
      <x:c r="C6" s="48" t="str"/>
      <x:c r="D6" s="48" t="str">
        <x:v>Số dòng vượt kế hoạch</x:v>
      </x:c>
      <x:c r="E6" s="49" t="n">
        <x:f>COUNTIF(Ke_hoach_chi_tieu!I2:I121,"Vượt kế hoạch")</x:f>
        <x:v>43</x:v>
      </x:c>
      <x:c r="F6" s="13"/>
      <x:c r="G6" s="50" t="n">
        <x:v>46082</x:v>
      </x:c>
      <x:c r="H6" s="16" t="n">
        <x:f>SUMIFS(Ke_hoach_chi_tieu!$E:$E,Ke_hoach_chi_tieu!$A:$A,G6)</x:f>
        <x:v>1300000000</x:v>
      </x:c>
      <x:c r="I6" s="16" t="n">
        <x:f>SUMIFS(Ke_hoach_chi_tieu!$F:$F,Ke_hoach_chi_tieu!$A:$A,G6)</x:f>
        <x:v>1260000000</x:v>
      </x:c>
    </x:row>
    <x:row r="7">
      <x:c r="A7" s="13"/>
      <x:c r="B7" s="13"/>
      <x:c r="C7" s="13"/>
      <x:c r="D7" s="13"/>
      <x:c r="E7" s="13"/>
      <x:c r="F7" s="13"/>
      <x:c r="G7" s="50" t="n">
        <x:v>46113</x:v>
      </x:c>
      <x:c r="H7" s="16" t="n">
        <x:f>SUMIFS(Ke_hoach_chi_tieu!$E:$E,Ke_hoach_chi_tieu!$A:$A,G7)</x:f>
        <x:v>1280000000</x:v>
      </x:c>
      <x:c r="I7" s="16" t="n">
        <x:f>SUMIFS(Ke_hoach_chi_tieu!$F:$F,Ke_hoach_chi_tieu!$A:$A,G7)</x:f>
        <x:v>1236000000</x:v>
      </x:c>
    </x:row>
    <x:row r="8">
      <x:c r="A8" s="13"/>
      <x:c r="B8" s="13"/>
      <x:c r="C8" s="13"/>
      <x:c r="D8" s="13"/>
      <x:c r="E8" s="13"/>
      <x:c r="F8" s="13"/>
      <x:c r="G8" s="50" t="n">
        <x:v>46143</x:v>
      </x:c>
      <x:c r="H8" s="16" t="n">
        <x:f>SUMIFS(Ke_hoach_chi_tieu!$E:$E,Ke_hoach_chi_tieu!$A:$A,G8)</x:f>
        <x:v>1265000000</x:v>
      </x:c>
      <x:c r="I8" s="16" t="n">
        <x:f>SUMIFS(Ke_hoach_chi_tieu!$F:$F,Ke_hoach_chi_tieu!$A:$A,G8)</x:f>
        <x:v>1084000000</x:v>
      </x:c>
    </x:row>
    <x:row r="9">
      <x:c r="A9" s="12" t="str">
        <x:v>Chương trình</x:v>
      </x:c>
      <x:c r="B9" s="12" t="str">
        <x:v>Dự toán</x:v>
      </x:c>
      <x:c r="C9" s="12" t="str">
        <x:v>Thực chi kế hoạch</x:v>
      </x:c>
      <x:c r="D9" s="12" t="str">
        <x:v>Tổng thanh toán</x:v>
      </x:c>
      <x:c r="E9" s="12" t="str">
        <x:v>Tỷ lệ thanh toán/Dự toán</x:v>
      </x:c>
      <x:c r="F9" s="13"/>
      <x:c r="G9" s="50" t="n">
        <x:v>46174</x:v>
      </x:c>
      <x:c r="H9" s="16" t="n">
        <x:f>SUMIFS(Ke_hoach_chi_tieu!$E:$E,Ke_hoach_chi_tieu!$A:$A,G9)</x:f>
        <x:v>1800000000</x:v>
      </x:c>
      <x:c r="I9" s="16" t="n">
        <x:f>SUMIFS(Ke_hoach_chi_tieu!$F:$F,Ke_hoach_chi_tieu!$A:$A,G9)</x:f>
        <x:v>1820000000</x:v>
      </x:c>
    </x:row>
    <x:row r="10">
      <x:c r="A10" s="13" t="str">
        <x:v>Hạ tầng mạng</x:v>
      </x:c>
      <x:c r="B10" s="16" t="n">
        <x:f>SUMIF(Du_toan_ngan_sach!$D:$D,A10,Du_toan_ngan_sach!$J:$J)</x:f>
        <x:v>41461000000</x:v>
      </x:c>
      <x:c r="C10" s="16" t="n">
        <x:f>SUMIF(Ke_hoach_chi_tieu!$C:$C,A10,Ke_hoach_chi_tieu!$F:$F)</x:f>
        <x:v>2097000000</x:v>
      </x:c>
      <x:c r="D10" s="16" t="n">
        <x:f>SUMIF(De_nghi_thanh_toan!$D:$D,A10,De_nghi_thanh_toan!$J:$J)</x:f>
        <x:v>1865600000</x:v>
      </x:c>
      <x:c r="E10" s="22" t="n">
        <x:f>IF(B10=0,0,D10/B10)</x:f>
        <x:v>0.044996502737512364</x:v>
      </x:c>
      <x:c r="F10" s="13"/>
      <x:c r="G10" s="50" t="n">
        <x:v>46204</x:v>
      </x:c>
      <x:c r="H10" s="16" t="n">
        <x:f>SUMIFS(Ke_hoach_chi_tieu!$E:$E,Ke_hoach_chi_tieu!$A:$A,G10)</x:f>
        <x:v>1360000000</x:v>
      </x:c>
      <x:c r="I10" s="16" t="n">
        <x:f>SUMIFS(Ke_hoach_chi_tieu!$F:$F,Ke_hoach_chi_tieu!$A:$A,G10)</x:f>
        <x:v>1525000000</x:v>
      </x:c>
    </x:row>
    <x:row r="11">
      <x:c r="A11" s="13" t="str">
        <x:v>Hệ thống máy chủ</x:v>
      </x:c>
      <x:c r="B11" s="16" t="n">
        <x:f>SUMIF(Du_toan_ngan_sach!$D:$D,A11,Du_toan_ngan_sach!$J:$J)</x:f>
        <x:v>97160000000</x:v>
      </x:c>
      <x:c r="C11" s="16" t="n">
        <x:f>SUMIF(Ke_hoach_chi_tieu!$C:$C,A11,Ke_hoach_chi_tieu!$F:$F)</x:f>
        <x:v>1702000000</x:v>
      </x:c>
      <x:c r="D11" s="16" t="n">
        <x:f>SUMIF(De_nghi_thanh_toan!$D:$D,A11,De_nghi_thanh_toan!$J:$J)</x:f>
        <x:v>1773200000</x:v>
      </x:c>
      <x:c r="E11" s="22" t="n">
        <x:f>IF(B11=0,0,D11/B11)</x:f>
        <x:v>0.018250308769040758</x:v>
      </x:c>
      <x:c r="F11" s="13"/>
      <x:c r="G11" s="50" t="n">
        <x:v>46235</x:v>
      </x:c>
      <x:c r="H11" s="16" t="n">
        <x:f>SUMIFS(Ke_hoach_chi_tieu!$E:$E,Ke_hoach_chi_tieu!$A:$A,G11)</x:f>
        <x:v>1430000000</x:v>
      </x:c>
      <x:c r="I11" s="16" t="n">
        <x:f>SUMIFS(Ke_hoach_chi_tieu!$F:$F,Ke_hoach_chi_tieu!$A:$A,G11)</x:f>
        <x:v>1381000000</x:v>
      </x:c>
    </x:row>
    <x:row r="12">
      <x:c r="A12" s="13" t="str">
        <x:v>Bảo mật thông tin</x:v>
      </x:c>
      <x:c r="B12" s="16" t="n">
        <x:f>SUMIF(Du_toan_ngan_sach!$D:$D,A12,Du_toan_ngan_sach!$J:$J)</x:f>
        <x:v>33070000000</x:v>
      </x:c>
      <x:c r="C12" s="16" t="n">
        <x:f>SUMIF(Ke_hoach_chi_tieu!$C:$C,A12,Ke_hoach_chi_tieu!$F:$F)</x:f>
        <x:v>1746000000</x:v>
      </x:c>
      <x:c r="D12" s="16" t="n">
        <x:f>SUMIF(De_nghi_thanh_toan!$D:$D,A12,De_nghi_thanh_toan!$J:$J)</x:f>
        <x:v>1540000000</x:v>
      </x:c>
      <x:c r="E12" s="22" t="n">
        <x:f>IF(B12=0,0,D12/B12)</x:f>
        <x:v>0.046567886301784094</x:v>
      </x:c>
      <x:c r="F12" s="13"/>
      <x:c r="G12" s="50" t="n">
        <x:v>46266</x:v>
      </x:c>
      <x:c r="H12" s="16" t="n">
        <x:f>SUMIFS(Ke_hoach_chi_tieu!$E:$E,Ke_hoach_chi_tieu!$A:$A,G12)</x:f>
        <x:v>855000000</x:v>
      </x:c>
      <x:c r="I12" s="16" t="n">
        <x:f>SUMIFS(Ke_hoach_chi_tieu!$F:$F,Ke_hoach_chi_tieu!$A:$A,G12)</x:f>
        <x:v>860000000</x:v>
      </x:c>
    </x:row>
    <x:row r="13">
      <x:c r="A13" s="13" t="str">
        <x:v>Phần mềm bản quyền</x:v>
      </x:c>
      <x:c r="B13" s="16" t="n">
        <x:f>SUMIF(Du_toan_ngan_sach!$D:$D,A13,Du_toan_ngan_sach!$J:$J)</x:f>
        <x:v>21673000000</x:v>
      </x:c>
      <x:c r="C13" s="16" t="n">
        <x:f>SUMIF(Ke_hoach_chi_tieu!$C:$C,A13,Ke_hoach_chi_tieu!$F:$F)</x:f>
        <x:v>1808000000</x:v>
      </x:c>
      <x:c r="D13" s="16" t="n">
        <x:f>SUMIF(De_nghi_thanh_toan!$D:$D,A13,De_nghi_thanh_toan!$J:$J)</x:f>
        <x:v>1529000000</x:v>
      </x:c>
      <x:c r="E13" s="22" t="n">
        <x:f>IF(B13=0,0,D13/B13)</x:f>
        <x:v>0.070548608868177</x:v>
      </x:c>
      <x:c r="F13" s="13"/>
      <x:c r="G13" s="50" t="n">
        <x:v>46296</x:v>
      </x:c>
      <x:c r="H13" s="16" t="n">
        <x:f>SUMIFS(Ke_hoach_chi_tieu!$E:$E,Ke_hoach_chi_tieu!$A:$A,G13)</x:f>
        <x:v>1155000000</x:v>
      </x:c>
      <x:c r="I13" s="16" t="n">
        <x:f>SUMIFS(Ke_hoach_chi_tieu!$F:$F,Ke_hoach_chi_tieu!$A:$A,G13)</x:f>
        <x:v>1113000000</x:v>
      </x:c>
    </x:row>
    <x:row r="14">
      <x:c r="A14" s="13" t="str">
        <x:v>Hỗ trợ người dùng</x:v>
      </x:c>
      <x:c r="B14" s="16" t="n">
        <x:f>SUMIF(Du_toan_ngan_sach!$D:$D,A14,Du_toan_ngan_sach!$J:$J)</x:f>
        <x:v>32678000000</x:v>
      </x:c>
      <x:c r="C14" s="16" t="n">
        <x:f>SUMIF(Ke_hoach_chi_tieu!$C:$C,A14,Ke_hoach_chi_tieu!$F:$F)</x:f>
        <x:v>1532000000</x:v>
      </x:c>
      <x:c r="D14" s="16" t="n">
        <x:f>SUMIF(De_nghi_thanh_toan!$D:$D,A14,De_nghi_thanh_toan!$J:$J)</x:f>
        <x:v>1430000000</x:v>
      </x:c>
      <x:c r="E14" s="22" t="n">
        <x:f>IF(B14=0,0,D14/B14)</x:f>
        <x:v>0.04376032804945223</x:v>
      </x:c>
      <x:c r="F14" s="13"/>
      <x:c r="G14" s="50" t="n">
        <x:v>46327</x:v>
      </x:c>
      <x:c r="H14" s="16" t="n">
        <x:f>SUMIFS(Ke_hoach_chi_tieu!$E:$E,Ke_hoach_chi_tieu!$A:$A,G14)</x:f>
        <x:v>1370000000</x:v>
      </x:c>
      <x:c r="I14" s="16" t="n">
        <x:f>SUMIFS(Ke_hoach_chi_tieu!$F:$F,Ke_hoach_chi_tieu!$A:$A,G14)</x:f>
        <x:v>1310000000</x:v>
      </x:c>
    </x:row>
    <x:row r="15">
      <x:c r="A15" s="13" t="str">
        <x:v>Chuyển đổi số</x:v>
      </x:c>
      <x:c r="B15" s="16" t="n">
        <x:f>SUMIF(Du_toan_ngan_sach!$D:$D,A15,Du_toan_ngan_sach!$J:$J)</x:f>
        <x:v>61295000000</x:v>
      </x:c>
      <x:c r="C15" s="16" t="n">
        <x:f>SUMIF(Ke_hoach_chi_tieu!$C:$C,A15,Ke_hoach_chi_tieu!$F:$F)</x:f>
        <x:v>2404000000</x:v>
      </x:c>
      <x:c r="D15" s="16" t="n">
        <x:f>SUMIF(De_nghi_thanh_toan!$D:$D,A15,De_nghi_thanh_toan!$J:$J)</x:f>
        <x:v>2171400000</x:v>
      </x:c>
      <x:c r="E15" s="22" t="n">
        <x:f>IF(B15=0,0,D15/B15)</x:f>
        <x:v>0.035425401745656254</x:v>
      </x:c>
      <x:c r="F15" s="13"/>
      <x:c r="G15" s="50" t="n">
        <x:v>46357</x:v>
      </x:c>
      <x:c r="H15" s="16" t="n">
        <x:f>SUMIFS(Ke_hoach_chi_tieu!$E:$E,Ke_hoach_chi_tieu!$A:$A,G15)</x:f>
        <x:v>970000000</x:v>
      </x:c>
      <x:c r="I15" s="16" t="n">
        <x:f>SUMIFS(Ke_hoach_chi_tieu!$F:$F,Ke_hoach_chi_tieu!$A:$A,G15)</x:f>
        <x:v>980000000</x:v>
      </x:c>
    </x:row>
    <x:row r="16">
      <x:c r="A16" s="13" t="str">
        <x:v>LMS/SIS</x:v>
      </x:c>
      <x:c r="B16" s="16" t="n">
        <x:f>SUMIF(Du_toan_ngan_sach!$D:$D,A16,Du_toan_ngan_sach!$J:$J)</x:f>
        <x:v>55341000000</x:v>
      </x:c>
      <x:c r="C16" s="16" t="n">
        <x:f>SUMIF(Ke_hoach_chi_tieu!$C:$C,A16,Ke_hoach_chi_tieu!$F:$F)</x:f>
        <x:v>2349000000</x:v>
      </x:c>
      <x:c r="D16" s="16" t="n">
        <x:f>SUMIF(De_nghi_thanh_toan!$D:$D,A16,De_nghi_thanh_toan!$J:$J)</x:f>
        <x:v>2171400000</x:v>
      </x:c>
      <x:c r="E16" s="22" t="n">
        <x:f>IF(B16=0,0,D16/B16)</x:f>
        <x:v>0.039236732259988076</x:v>
      </x:c>
      <x:c r="F16" s="13"/>
      <x:c r="G16" s="13"/>
      <x:c r="H16" s="13"/>
      <x:c r="I16" s="13"/>
    </x:row>
    <x:row r="17">
      <x:c r="A17" s="13" t="str">
        <x:v>Phòng máy tính</x:v>
      </x:c>
      <x:c r="B17" s="16" t="n">
        <x:f>SUMIF(Du_toan_ngan_sach!$D:$D,A17,Du_toan_ngan_sach!$J:$J)</x:f>
        <x:v>80768000000</x:v>
      </x:c>
      <x:c r="C17" s="16" t="n">
        <x:f>SUMIF(Ke_hoach_chi_tieu!$C:$C,A17,Ke_hoach_chi_tieu!$F:$F)</x:f>
        <x:v>1789000000</x:v>
      </x:c>
      <x:c r="D17" s="16" t="n">
        <x:f>SUMIF(De_nghi_thanh_toan!$D:$D,A17,De_nghi_thanh_toan!$J:$J)</x:f>
        <x:v>1893100000</x:v>
      </x:c>
      <x:c r="E17" s="22" t="n">
        <x:f>IF(B17=0,0,D17/B17)</x:f>
        <x:v>0.023438738114104594</x:v>
      </x:c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10301b890b84c6b"/>
</x:worksheet>
</file>

<file path=xl/worksheets/sheet5.xml><?xml version="1.0" encoding="utf-8"?>
<x:worksheet xmlns:x="http://schemas.openxmlformats.org/spreadsheetml/2006/main">
  <x:sheetFormatPr defaultRowHeight="15"/>
  <x:cols>
    <x:col min="1" max="1" width="20.459999084472656" hidden="0" customWidth="1"/>
    <x:col min="2" max="2" width="11.039999961853027" hidden="0" customWidth="1"/>
    <x:col min="3" max="3" width="8.210000038146973" hidden="0" customWidth="1"/>
    <x:col min="4" max="4" width="14.270000457763672" hidden="0" customWidth="1"/>
  </x:cols>
  <x:sheetData>
    <x:row r="1">
      <x:c r="A1" s="12" t="str">
        <x:v>Danh mục chương trình</x:v>
      </x:c>
      <x:c r="B1" s="12" t="str">
        <x:v>Trạng thái</x:v>
      </x:c>
      <x:c r="C1" s="12" t="str">
        <x:v>Ưu tiên</x:v>
      </x:c>
      <x:c r="D1" s="12" t="str">
        <x:v>Nhà cung cấp</x:v>
      </x:c>
      <x:c r="E1" s="13"/>
      <x:c r="F1" s="13"/>
      <x:c r="G1" s="13"/>
      <x:c r="H1" s="13"/>
      <x:c r="I1" s="13"/>
    </x:row>
    <x:row r="2">
      <x:c r="A2" s="13" t="str">
        <x:v>Hạ tầng mạng</x:v>
      </x:c>
      <x:c r="B2" s="13" t="str">
        <x:v>Lập kế hoạch</x:v>
      </x:c>
      <x:c r="C2" s="13" t="str">
        <x:v>Cao</x:v>
      </x:c>
      <x:c r="D2" s="13" t="str">
        <x:v>FPT IS</x:v>
      </x:c>
      <x:c r="E2" s="13"/>
      <x:c r="F2" s="13"/>
      <x:c r="G2" s="13"/>
      <x:c r="H2" s="13"/>
      <x:c r="I2" s="13"/>
    </x:row>
    <x:row r="3">
      <x:c r="A3" s="13" t="str">
        <x:v>Hệ thống máy chủ</x:v>
      </x:c>
      <x:c r="B3" s="13" t="str">
        <x:v>Đã duyệt</x:v>
      </x:c>
      <x:c r="C3" s="13" t="str">
        <x:v>Trung bình</x:v>
      </x:c>
      <x:c r="D3" s="13" t="str">
        <x:v>CMC Telecom</x:v>
      </x:c>
      <x:c r="E3" s="13"/>
      <x:c r="F3" s="13"/>
      <x:c r="G3" s="13"/>
      <x:c r="H3" s="13"/>
      <x:c r="I3" s="13"/>
    </x:row>
    <x:row r="4">
      <x:c r="A4" s="13" t="str">
        <x:v>Bảo mật thông tin</x:v>
      </x:c>
      <x:c r="B4" s="13" t="str">
        <x:v>Đang thực hiện</x:v>
      </x:c>
      <x:c r="C4" s="13" t="str">
        <x:v>Thấp</x:v>
      </x:c>
      <x:c r="D4" s="13" t="str">
        <x:v>Viettel Solutions</x:v>
      </x:c>
      <x:c r="E4" s="13"/>
      <x:c r="F4" s="13"/>
      <x:c r="G4" s="13"/>
      <x:c r="H4" s="13"/>
      <x:c r="I4" s="13"/>
    </x:row>
    <x:row r="5">
      <x:c r="A5" s="13" t="str">
        <x:v>Phần mềm bản quyền</x:v>
      </x:c>
      <x:c r="B5" s="13" t="str">
        <x:v>Hoàn thành</x:v>
      </x:c>
      <x:c r="C5" s="13"/>
      <x:c r="D5" s="13" t="str">
        <x:v>VNPT Technology</x:v>
      </x:c>
      <x:c r="E5" s="13"/>
      <x:c r="F5" s="13"/>
      <x:c r="G5" s="13"/>
      <x:c r="H5" s="13"/>
      <x:c r="I5" s="13"/>
    </x:row>
    <x:row r="6">
      <x:c r="A6" s="13" t="str">
        <x:v>Hỗ trợ người dùng</x:v>
      </x:c>
      <x:c r="B6" s="13" t="str">
        <x:v>Tạm hoãn</x:v>
      </x:c>
      <x:c r="C6" s="13"/>
      <x:c r="D6" s="13" t="str">
        <x:v>Microsoft Vietnam</x:v>
      </x:c>
      <x:c r="E6" s="13"/>
      <x:c r="F6" s="13"/>
      <x:c r="G6" s="13"/>
      <x:c r="H6" s="13"/>
      <x:c r="I6" s="13"/>
    </x:row>
    <x:row r="7">
      <x:c r="A7" s="13" t="str">
        <x:v>Chuyển đổi số</x:v>
      </x:c>
      <x:c r="B7" s="13"/>
      <x:c r="C7" s="13"/>
      <x:c r="D7" s="13" t="str">
        <x:v>Dell Technologies</x:v>
      </x:c>
      <x:c r="E7" s="13"/>
      <x:c r="F7" s="13"/>
      <x:c r="G7" s="13"/>
      <x:c r="H7" s="13"/>
      <x:c r="I7" s="13"/>
    </x:row>
    <x:row r="8">
      <x:c r="A8" s="13" t="str">
        <x:v>LMS/SIS</x:v>
      </x:c>
      <x:c r="B8" s="13"/>
      <x:c r="C8" s="13"/>
      <x:c r="D8" s="13" t="str">
        <x:v>Cisco Partner</x:v>
      </x:c>
      <x:c r="E8" s="13"/>
      <x:c r="F8" s="13"/>
      <x:c r="G8" s="13"/>
      <x:c r="H8" s="13"/>
      <x:c r="I8" s="13"/>
    </x:row>
    <x:row r="9">
      <x:c r="A9" s="13" t="str">
        <x:v>Phòng máy tính</x:v>
      </x:c>
      <x:c r="B9" s="13"/>
      <x:c r="C9" s="13"/>
      <x:c r="D9" s="13" t="str">
        <x:v>Bkav Enterprise</x:v>
      </x:c>
      <x:c r="E9" s="13"/>
      <x:c r="F9" s="13"/>
      <x:c r="G9" s="13"/>
      <x:c r="H9" s="13"/>
      <x:c r="I9" s="13"/>
    </x:row>
    <x:row r="10">
      <x:c r="A10" s="13"/>
      <x:c r="B10" s="13"/>
      <x:c r="C10" s="13"/>
      <x:c r="D10" s="13" t="str">
        <x:v>MISA</x:v>
      </x:c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 t="str">
        <x:v>CMC Cyber Security</x:v>
      </x:c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 t="str">
        <x:v>Cloud Ace</x:v>
      </x:c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 t="str">
        <x:v>Sao Bắc Đẩu</x:v>
      </x:c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</x:row>
  </x:sheetData>
  <x:pageMargins left="0.7" right="0.7" top="0.75" bottom="0.75" header="0.3" footer="0.3"/>
  <x:tableParts count="1">
    <x:tablePart xmlns:r="http://schemas.openxmlformats.org/officeDocument/2006/relationships" r:id="R260528e90de04090"/>
  </x:tableParts>
</x:worksheet>
</file>