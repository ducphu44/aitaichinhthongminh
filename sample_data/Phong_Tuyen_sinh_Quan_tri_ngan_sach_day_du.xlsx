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16756816b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_toan_ngan_sach" sheetId="1" r:id="R29742c995a5e474a"/>
    <x:sheet xmlns:r="http://schemas.openxmlformats.org/officeDocument/2006/relationships" name="Ke_hoach_chi_tieu" sheetId="2" r:id="Ra545517cb2224409"/>
    <x:sheet xmlns:r="http://schemas.openxmlformats.org/officeDocument/2006/relationships" name="De_nghi_thanh_toan" sheetId="3" r:id="R23e2d12f0ef549c5"/>
    <x:sheet xmlns:r="http://schemas.openxmlformats.org/officeDocument/2006/relationships" name="Dashboard" sheetId="4" r:id="R05847493afac4a3f"/>
    <x:sheet xmlns:r="http://schemas.openxmlformats.org/officeDocument/2006/relationships" name="Danh_muc" sheetId="5" r:id="R5e3756ea8ee94b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f2e32ddecf4f55" /><Relationship Type="http://schemas.openxmlformats.org/officeDocument/2006/relationships/theme" Target="/xl/theme/theme1.xml" Id="R4535406cd82a4dc5" /><Relationship Type="http://schemas.openxmlformats.org/officeDocument/2006/relationships/sharedStrings" Target="/xl/sharedStrings.xml" Id="Rda492e20a9b840f9" /><Relationship Type="http://schemas.openxmlformats.org/officeDocument/2006/relationships/worksheet" Target="/xl/worksheets/sheet1.xml" Id="R29742c995a5e474a" /><Relationship Type="http://schemas.openxmlformats.org/officeDocument/2006/relationships/worksheet" Target="/xl/worksheets/sheet2.xml" Id="Ra545517cb2224409" /><Relationship Type="http://schemas.openxmlformats.org/officeDocument/2006/relationships/worksheet" Target="/xl/worksheets/sheet3.xml" Id="R23e2d12f0ef549c5" /><Relationship Type="http://schemas.openxmlformats.org/officeDocument/2006/relationships/worksheet" Target="/xl/worksheets/sheet4.xml" Id="R05847493afac4a3f" /><Relationship Type="http://schemas.openxmlformats.org/officeDocument/2006/relationships/worksheet" Target="/xl/worksheets/sheet5.xml" Id="R5e3756ea8ee94b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a875e2f8d334a6a" /><Relationship Type="http://schemas.openxmlformats.org/officeDocument/2006/relationships/chart" Target="/xl/drawings/charts/chart2.xml" Id="Rf90ffeb62e6b4cc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Kế hoạch</c:v>
          </c:tx>
          <c:cat>
            <c:strRef>
              <c:f>'Dashboard'!$A$14:$A$25</c:f>
              <c:strCache>
                <c:ptCount val="0"/>
              </c:strCache>
            </c:strRef>
          </c:cat>
          <c:val>
            <c:numRef>
              <c:f>'Dashboard'!$B$14:$B$25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Thực chi</c:v>
          </c:tx>
          <c:cat>
            <c:strRef>
              <c:f>'Dashboard'!$A$14:$A$25</c:f>
              <c:strCache>
                <c:ptCount val="0"/>
              </c:strCache>
            </c:strRef>
          </c:cat>
          <c:val>
            <c:numRef>
              <c:f>'Dashboard'!$C$14:$C$25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Tổng thanh toán</c:v>
          </c:tx>
          <c:cat>
            <c:strRef>
              <c:f>'Dashboard'!$A$29:$A$38</c:f>
              <c:strCache>
                <c:ptCount val="0"/>
              </c:strCache>
            </c:strRef>
          </c:cat>
          <c:val>
            <c:numRef>
              <c:f>'Dashboard'!$B$29:$B$38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875e2f8d334a6a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0ffeb62e6b4cc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dgetTable" displayName="BudgetTable" ref="A1:O151" headerRowCount="1">
  <x:tableColumns count="15">
    <x:tableColumn id="1" name="Mã dự toán"/>
    <x:tableColumn id="2" name="Năm"/>
    <x:tableColumn id="3" name="Quý"/>
    <x:tableColumn id="4" name="Tháng"/>
    <x:tableColumn id="5" name="Chương trình"/>
    <x:tableColumn id="6" name="Kênh"/>
    <x:tableColumn id="7" name="Hạng mục"/>
    <x:tableColumn id="8" name="Mô tả"/>
    <x:tableColumn id="9" name="Đơn vị phụ trách"/>
    <x:tableColumn id="10" name="Số lượng"/>
    <x:tableColumn id="11" name="Đơn giá"/>
    <x:tableColumn id="12" name="Thành tiền"/>
    <x:tableColumn id="13" name="Ưu tiên"/>
    <x:tableColumn id="14" name="Trạng thái"/>
    <x:tableColumn id="15" name="Ghi chú"/>
  </x:tableColumns>
  <x:tableStyleInfo name="TableStyleMedium2" showRowStripes="1"/>
</x:table>
</file>

<file path=xl/tables/table2.xml><?xml version="1.0" encoding="utf-8"?>
<x:table xmlns:x="http://schemas.openxmlformats.org/spreadsheetml/2006/main" id="2" name="MonthlyPlanTable" displayName="MonthlyPlanTable" ref="A1:K121" headerRowCount="1">
  <x:tableColumns count="11">
    <x:tableColumn id="1" name="Mã kế hoạch"/>
    <x:tableColumn id="2" name="Tháng"/>
    <x:tableColumn id="3" name="Quý"/>
    <x:tableColumn id="4" name="Chương trình"/>
    <x:tableColumn id="5" name="Ngân sách kế hoạch"/>
    <x:tableColumn id="6" name="Thực chi"/>
    <x:tableColumn id="7" name="Chênh lệch"/>
    <x:tableColumn id="8" name="Tỷ lệ sử dụng"/>
    <x:tableColumn id="9" name="Cảnh báo"/>
    <x:tableColumn id="10" name="Người phụ trách"/>
    <x:tableColumn id="11" name="Ghi chú"/>
  </x:tableColumns>
  <x:tableStyleInfo name="TableStyleMedium2" showRowStripes="1"/>
</x:table>
</file>

<file path=xl/tables/table3.xml><?xml version="1.0" encoding="utf-8"?>
<x:table xmlns:x="http://schemas.openxmlformats.org/spreadsheetml/2006/main" id="3" name="PaymentRequestTable" displayName="PaymentRequestTable" ref="A1:P251" headerRowCount="1">
  <x:tableColumns count="16">
    <x:tableColumn id="1" name="Mã đề nghị"/>
    <x:tableColumn id="2" name="Ngày đề nghị"/>
    <x:tableColumn id="3" name="Quý"/>
    <x:tableColumn id="4" name="Tháng"/>
    <x:tableColumn id="5" name="Nhà cung cấp"/>
    <x:tableColumn id="6" name="Chương trình"/>
    <x:tableColumn id="7" name="Hạng mục"/>
    <x:tableColumn id="8" name="Nội dung thanh toán"/>
    <x:tableColumn id="9" name="Giá trị trước VAT"/>
    <x:tableColumn id="10" name="VAT 10%"/>
    <x:tableColumn id="11" name="Tổng thanh toán"/>
    <x:tableColumn id="12" name="Nguồn ngân sách"/>
    <x:tableColumn id="13" name="Trạng thái"/>
    <x:tableColumn id="14" name="Người đề nghị"/>
    <x:tableColumn id="15" name="Mã hợp đồng/PO"/>
    <x:tableColumn id="16" name="Ghi 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3e1dd7499e44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565d973dc846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14486d0eaf041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c086c3adc3948eb" /></Relationships>
</file>

<file path=xl/worksheets/sheet1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.9000000953674316" hidden="0" customWidth="1"/>
    <x:col min="3" max="3" width="3.2300000190734863" hidden="0" customWidth="1"/>
    <x:col min="4" max="4" width="6.590000152587891" hidden="0" customWidth="1"/>
    <x:col min="5" max="5" width="25.979999542236328" hidden="0" customWidth="1"/>
    <x:col min="6" max="6" width="12.920000076293945" hidden="0" customWidth="1"/>
    <x:col min="7" max="7" width="25.299999237060547" hidden="0" customWidth="1"/>
    <x:col min="8" max="8" width="38" hidden="0" customWidth="1"/>
    <x:col min="9" max="9" width="16.690000534057617" hidden="0" customWidth="1"/>
    <x:col min="10" max="10" width="7.400000095367432" hidden="0" customWidth="1"/>
    <x:col min="11" max="11" width="8.880000114440918" hidden="0" customWidth="1"/>
    <x:col min="12" max="12" width="12.380000114440918" hidden="0" customWidth="1"/>
    <x:col min="13" max="13" width="8.479999542236328" hidden="0" customWidth="1"/>
    <x:col min="14" max="14" width="8.210000038146973" hidden="0" customWidth="1"/>
    <x:col min="15" max="15" width="28" hidden="0" customWidth="1"/>
  </x:cols>
  <x:sheetData>
    <x:row r="1">
      <x:c r="A1" s="6" t="str">
        <x:v>Mã dự toán</x:v>
      </x:c>
      <x:c r="B1" s="6" t="str">
        <x:v>Năm</x:v>
      </x:c>
      <x:c r="C1" s="6" t="str">
        <x:v>Quý</x:v>
      </x:c>
      <x:c r="D1" s="6" t="str">
        <x:v>Tháng</x:v>
      </x:c>
      <x:c r="E1" s="6" t="str">
        <x:v>Chương trình</x:v>
      </x:c>
      <x:c r="F1" s="6" t="str">
        <x:v>Kênh</x:v>
      </x:c>
      <x:c r="G1" s="6" t="str">
        <x:v>Hạng mục</x:v>
      </x:c>
      <x:c r="H1" s="6" t="str">
        <x:v>Mô tả</x:v>
      </x:c>
      <x:c r="I1" s="6" t="str">
        <x:v>Đơn vị phụ trách</x:v>
      </x:c>
      <x:c r="J1" s="6" t="str">
        <x:v>Số lượng</x:v>
      </x:c>
      <x:c r="K1" s="6" t="str">
        <x:v>Đơn giá</x:v>
      </x:c>
      <x:c r="L1" s="6" t="str">
        <x:v>Thành tiền</x:v>
      </x:c>
      <x:c r="M1" s="6" t="str">
        <x:v>Ưu tiên</x:v>
      </x:c>
      <x:c r="N1" s="6" t="str">
        <x:v>Trạng thái</x:v>
      </x:c>
      <x:c r="O1" s="6" t="str">
        <x:v>Ghi chú</x:v>
      </x:c>
    </x:row>
    <x:row r="2">
      <x:c r="A2" t="str">
        <x:v>DT-TS-2026-001</x:v>
      </x:c>
      <x:c r="B2" t="n">
        <x:v>2026</x:v>
      </x:c>
      <x:c r="C2" t="str">
        <x:v>Q1</x:v>
      </x:c>
      <x:c r="D2" t="str">
        <x:v>2026-01</x:v>
      </x:c>
      <x:c r="E2" t="str">
        <x:v>Ngày hội tuyển sinh</x:v>
      </x:c>
      <x:c r="F2" t="str">
        <x:v>Offline</x:v>
      </x:c>
      <x:c r="G2" t="str">
        <x:v>Quảng cáo Google Search</x:v>
      </x:c>
      <x:c r="H2" t="str">
        <x:v>Kinh phí cho quảng cáo google search thuộc chương trình ngày hội tuyển sinh</x:v>
      </x:c>
      <x:c r="I2" t="str">
        <x:v>Admissions Manager</x:v>
      </x:c>
      <x:c r="J2" t="n">
        <x:v>1</x:v>
      </x:c>
      <x:c r="K2" s="12" t="n">
        <x:v>5000000</x:v>
      </x:c>
      <x:c r="L2" s="12" t="n">
        <x:f>J2*K2</x:f>
        <x:v>5000000</x:v>
      </x:c>
      <x:c r="M2" t="str">
        <x:v>Cao</x:v>
      </x:c>
      <x:c r="N2" t="str">
        <x:v>Chờ duyệt</x:v>
      </x:c>
      <x:c r="O2" t="str"/>
    </x:row>
    <x:row r="3">
      <x:c r="A3" t="str">
        <x:v>DT-TS-2026-002</x:v>
      </x:c>
      <x:c r="B3" t="n">
        <x:v>2026</x:v>
      </x:c>
      <x:c r="C3" t="str">
        <x:v>Q1</x:v>
      </x:c>
      <x:c r="D3" t="str">
        <x:v>2026-02</x:v>
      </x:c>
      <x:c r="E3" t="str">
        <x:v>Sản xuất học liệu truyền thông</x:v>
      </x:c>
      <x:c r="F3" t="str">
        <x:v>Partner Channel</x:v>
      </x:c>
      <x:c r="G3" t="str">
        <x:v>Livestream tư vấn</x:v>
      </x:c>
      <x:c r="H3" t="str">
        <x:v>Kinh phí cho livestream tư vấn thuộc chương trình sản xuất học liệu truyền thông</x:v>
      </x:c>
      <x:c r="I3" t="str">
        <x:v>Event Coordinator</x:v>
      </x:c>
      <x:c r="J3" t="n">
        <x:v>100</x:v>
      </x:c>
      <x:c r="K3" s="12" t="n">
        <x:v>1000000</x:v>
      </x:c>
      <x:c r="L3" s="12" t="n">
        <x:f>J3*K3</x:f>
        <x:v>100000000</x:v>
      </x:c>
      <x:c r="M3" t="str">
        <x:v>Cao</x:v>
      </x:c>
      <x:c r="N3" t="str">
        <x:v>Chờ duyệt</x:v>
      </x:c>
      <x:c r="O3" t="str"/>
    </x:row>
    <x:row r="4">
      <x:c r="A4" t="str">
        <x:v>DT-TS-2026-003</x:v>
      </x:c>
      <x:c r="B4" t="n">
        <x:v>2026</x:v>
      </x:c>
      <x:c r="C4" t="str">
        <x:v>Q1</x:v>
      </x:c>
      <x:c r="D4" t="str">
        <x:v>2026-03</x:v>
      </x:c>
      <x:c r="E4" t="str">
        <x:v>Digital Admission Campaign</x:v>
      </x:c>
      <x:c r="F4" t="str">
        <x:v>Partner Channel</x:v>
      </x:c>
      <x:c r="G4" t="str">
        <x:v>Quà tặng thí sinh</x:v>
      </x:c>
      <x:c r="H4" t="str">
        <x:v>Kinh phí cho quà tặng thí sinh thuộc chương trình digital admission campaign</x:v>
      </x:c>
      <x:c r="I4" t="str">
        <x:v>Admissions Manager</x:v>
      </x:c>
      <x:c r="J4" t="n">
        <x:v>200</x:v>
      </x:c>
      <x:c r="K4" s="12" t="n">
        <x:v>500000</x:v>
      </x:c>
      <x:c r="L4" s="12" t="n">
        <x:f>J4*K4</x:f>
        <x:v>100000000</x:v>
      </x:c>
      <x:c r="M4" t="str">
        <x:v>Trung bình</x:v>
      </x:c>
      <x:c r="N4" t="str">
        <x:v>Đã duyệt</x:v>
      </x:c>
      <x:c r="O4" t="str"/>
    </x:row>
    <x:row r="5">
      <x:c r="A5" t="str">
        <x:v>DT-TS-2026-004</x:v>
      </x:c>
      <x:c r="B5" t="n">
        <x:v>2026</x:v>
      </x:c>
      <x:c r="C5" t="str">
        <x:v>Q2</x:v>
      </x:c>
      <x:c r="D5" t="str">
        <x:v>2026-04</x:v>
      </x:c>
      <x:c r="E5" t="str">
        <x:v>Tuyển sinh sau đại học</x:v>
      </x:c>
      <x:c r="F5" t="str">
        <x:v>Hybrid</x:v>
      </x:c>
      <x:c r="G5" t="str">
        <x:v>Thiết kế landing page</x:v>
      </x:c>
      <x:c r="H5" t="str">
        <x:v>Kinh phí cho thiết kế landing page thuộc chương trình tuyển sinh sau đại học</x:v>
      </x:c>
      <x:c r="I5" t="str">
        <x:v>Admissions Officer</x:v>
      </x:c>
      <x:c r="J5" t="n">
        <x:v>50</x:v>
      </x:c>
      <x:c r="K5" s="12" t="n">
        <x:v>30000000</x:v>
      </x:c>
      <x:c r="L5" s="12" t="n">
        <x:f>J5*K5</x:f>
        <x:v>1500000000</x:v>
      </x:c>
      <x:c r="M5" t="str">
        <x:v>Trung bình</x:v>
      </x:c>
      <x:c r="N5" t="str">
        <x:v>Chờ duyệt</x:v>
      </x:c>
      <x:c r="O5" t="str"/>
    </x:row>
    <x:row r="6">
      <x:c r="A6" t="str">
        <x:v>DT-TS-2026-005</x:v>
      </x:c>
      <x:c r="B6" t="n">
        <x:v>2026</x:v>
      </x:c>
      <x:c r="C6" t="str">
        <x:v>Q2</x:v>
      </x:c>
      <x:c r="D6" t="str">
        <x:v>2026-05</x:v>
      </x:c>
      <x:c r="E6" t="str">
        <x:v>Tuyển sinh sau đại học</x:v>
      </x:c>
      <x:c r="F6" t="str">
        <x:v>Offline</x:v>
      </x:c>
      <x:c r="G6" t="str">
        <x:v>Tổ chức booth tư vấn</x:v>
      </x:c>
      <x:c r="H6" t="str">
        <x:v>Kinh phí cho tổ chức booth tư vấn thuộc chương trình tuyển sinh sau đại học</x:v>
      </x:c>
      <x:c r="I6" t="str">
        <x:v>Digital Lead</x:v>
      </x:c>
      <x:c r="J6" t="n">
        <x:v>5</x:v>
      </x:c>
      <x:c r="K6" s="12" t="n">
        <x:v>1500000</x:v>
      </x:c>
      <x:c r="L6" s="12" t="n">
        <x:f>J6*K6</x:f>
        <x:v>7500000</x:v>
      </x:c>
      <x:c r="M6" t="str">
        <x:v>Cao</x:v>
      </x:c>
      <x:c r="N6" t="str">
        <x:v>Đã duyệt</x:v>
      </x:c>
      <x:c r="O6" t="str"/>
    </x:row>
    <x:row r="7">
      <x:c r="A7" t="str">
        <x:v>DT-TS-2026-006</x:v>
      </x:c>
      <x:c r="B7" t="n">
        <x:v>2026</x:v>
      </x:c>
      <x:c r="C7" t="str">
        <x:v>Q2</x:v>
      </x:c>
      <x:c r="D7" t="str">
        <x:v>2026-06</x:v>
      </x:c>
      <x:c r="E7" t="str">
        <x:v>Sự kiện phụ huynh</x:v>
      </x:c>
      <x:c r="F7" t="str">
        <x:v>Hybrid</x:v>
      </x:c>
      <x:c r="G7" t="str">
        <x:v>Đào tạo nhân sự</x:v>
      </x:c>
      <x:c r="H7" t="str">
        <x:v>Kinh phí cho đào tạo nhân sự thuộc chương trình sự kiện phụ huynh</x:v>
      </x:c>
      <x:c r="I7" t="str">
        <x:v>Admissions Officer</x:v>
      </x:c>
      <x:c r="J7" t="n">
        <x:v>10</x:v>
      </x:c>
      <x:c r="K7" s="12" t="n">
        <x:v>30000000</x:v>
      </x:c>
      <x:c r="L7" s="12" t="n">
        <x:f>J7*K7</x:f>
        <x:v>300000000</x:v>
      </x:c>
      <x:c r="M7" t="str">
        <x:v>Trung bình</x:v>
      </x:c>
      <x:c r="N7" t="str">
        <x:v>Đã duyệt</x:v>
      </x:c>
      <x:c r="O7" t="str"/>
    </x:row>
    <x:row r="8">
      <x:c r="A8" t="str">
        <x:v>DT-TS-2026-007</x:v>
      </x:c>
      <x:c r="B8" t="n">
        <x:v>2026</x:v>
      </x:c>
      <x:c r="C8" t="str">
        <x:v>Q3</x:v>
      </x:c>
      <x:c r="D8" t="str">
        <x:v>2026-07</x:v>
      </x:c>
      <x:c r="E8" t="str">
        <x:v>Tuyển sinh sau đại học</x:v>
      </x:c>
      <x:c r="F8" t="str">
        <x:v>Partner Channel</x:v>
      </x:c>
      <x:c r="G8" t="str">
        <x:v>Quảng cáo Google Search</x:v>
      </x:c>
      <x:c r="H8" t="str">
        <x:v>Kinh phí cho quảng cáo google search thuộc chương trình tuyển sinh sau đại học</x:v>
      </x:c>
      <x:c r="I8" t="str">
        <x:v>Digital Lead</x:v>
      </x:c>
      <x:c r="J8" t="n">
        <x:v>100</x:v>
      </x:c>
      <x:c r="K8" s="12" t="n">
        <x:v>5000000</x:v>
      </x:c>
      <x:c r="L8" s="12" t="n">
        <x:f>J8*K8</x:f>
        <x:v>500000000</x:v>
      </x:c>
      <x:c r="M8" t="str">
        <x:v>Trung bình</x:v>
      </x:c>
      <x:c r="N8" t="str">
        <x:v>Đã duyệt</x:v>
      </x:c>
      <x:c r="O8" t="str"/>
    </x:row>
    <x:row r="9">
      <x:c r="A9" t="str">
        <x:v>DT-TS-2026-008</x:v>
      </x:c>
      <x:c r="B9" t="n">
        <x:v>2026</x:v>
      </x:c>
      <x:c r="C9" t="str">
        <x:v>Q3</x:v>
      </x:c>
      <x:c r="D9" t="str">
        <x:v>2026-08</x:v>
      </x:c>
      <x:c r="E9" t="str">
        <x:v>Tuyển sinh đại học chính quy</x:v>
      </x:c>
      <x:c r="F9" t="str">
        <x:v>Online</x:v>
      </x:c>
      <x:c r="G9" t="str">
        <x:v>Phần mềm CRM</x:v>
      </x:c>
      <x:c r="H9" t="str">
        <x:v>Kinh phí cho phần mềm crm thuộc chương trình tuyển sinh đại học chính quy</x:v>
      </x:c>
      <x:c r="I9" t="str">
        <x:v>Admissions Manager</x:v>
      </x:c>
      <x:c r="J9" t="n">
        <x:v>4</x:v>
      </x:c>
      <x:c r="K9" s="12" t="n">
        <x:v>5000000</x:v>
      </x:c>
      <x:c r="L9" s="12" t="n">
        <x:f>J9*K9</x:f>
        <x:v>20000000</x:v>
      </x:c>
      <x:c r="M9" t="str">
        <x:v>Trung bình</x:v>
      </x:c>
      <x:c r="N9" t="str">
        <x:v>Đã duyệt</x:v>
      </x:c>
      <x:c r="O9" t="str"/>
    </x:row>
    <x:row r="10">
      <x:c r="A10" t="str">
        <x:v>DT-TS-2026-009</x:v>
      </x:c>
      <x:c r="B10" t="n">
        <x:v>2026</x:v>
      </x:c>
      <x:c r="C10" t="str">
        <x:v>Q3</x:v>
      </x:c>
      <x:c r="D10" t="str">
        <x:v>2026-09</x:v>
      </x:c>
      <x:c r="E10" t="str">
        <x:v>International Recruitment</x:v>
      </x:c>
      <x:c r="F10" t="str">
        <x:v>Hybrid</x:v>
      </x:c>
      <x:c r="G10" t="str">
        <x:v>Phần mềm CRM</x:v>
      </x:c>
      <x:c r="H10" t="str">
        <x:v>Kinh phí cho phần mềm crm thuộc chương trình international recruitment</x:v>
      </x:c>
      <x:c r="I10" t="str">
        <x:v>Digital Lead</x:v>
      </x:c>
      <x:c r="J10" t="n">
        <x:v>10</x:v>
      </x:c>
      <x:c r="K10" s="12" t="n">
        <x:v>1500000</x:v>
      </x:c>
      <x:c r="L10" s="12" t="n">
        <x:f>J10*K10</x:f>
        <x:v>15000000</x:v>
      </x:c>
      <x:c r="M10" t="str">
        <x:v>Cao</x:v>
      </x:c>
      <x:c r="N10" t="str">
        <x:v>Đã duyệt</x:v>
      </x:c>
      <x:c r="O10" t="str"/>
    </x:row>
    <x:row r="11">
      <x:c r="A11" t="str">
        <x:v>DT-TS-2026-010</x:v>
      </x:c>
      <x:c r="B11" t="n">
        <x:v>2026</x:v>
      </x:c>
      <x:c r="C11" t="str">
        <x:v>Q4</x:v>
      </x:c>
      <x:c r="D11" t="str">
        <x:v>2026-10</x:v>
      </x:c>
      <x:c r="E11" t="str">
        <x:v>Ngày hội tuyển sinh</x:v>
      </x:c>
      <x:c r="F11" t="str">
        <x:v>Offline</x:v>
      </x:c>
      <x:c r="G11" t="str">
        <x:v>Phần mềm CRM</x:v>
      </x:c>
      <x:c r="H11" t="str">
        <x:v>Kinh phí cho phần mềm crm thuộc chương trình ngày hội tuyển sinh</x:v>
      </x:c>
      <x:c r="I11" t="str">
        <x:v>Scholarship Officer</x:v>
      </x:c>
      <x:c r="J11" t="n">
        <x:v>2</x:v>
      </x:c>
      <x:c r="K11" s="12" t="n">
        <x:v>30000000</x:v>
      </x:c>
      <x:c r="L11" s="12" t="n">
        <x:f>J11*K11</x:f>
        <x:v>60000000</x:v>
      </x:c>
      <x:c r="M11" t="str">
        <x:v>Trung bình</x:v>
      </x:c>
      <x:c r="N11" t="str">
        <x:v>Chờ duyệt</x:v>
      </x:c>
      <x:c r="O11" t="str"/>
    </x:row>
    <x:row r="12">
      <x:c r="A12" t="str">
        <x:v>DT-TS-2026-011</x:v>
      </x:c>
      <x:c r="B12" t="n">
        <x:v>2026</x:v>
      </x:c>
      <x:c r="C12" t="str">
        <x:v>Q4</x:v>
      </x:c>
      <x:c r="D12" t="str">
        <x:v>2026-11</x:v>
      </x:c>
      <x:c r="E12" t="str">
        <x:v>Tuyển sinh sau đại học</x:v>
      </x:c>
      <x:c r="F12" t="str">
        <x:v>Offline</x:v>
      </x:c>
      <x:c r="G12" t="str">
        <x:v>In ấn brochure</x:v>
      </x:c>
      <x:c r="H12" t="str">
        <x:v>Kinh phí cho in ấn brochure thuộc chương trình tuyển sinh sau đại học</x:v>
      </x:c>
      <x:c r="I12" t="str">
        <x:v>Digital Lead</x:v>
      </x:c>
      <x:c r="J12" t="n">
        <x:v>500</x:v>
      </x:c>
      <x:c r="K12" s="12" t="n">
        <x:v>20000000</x:v>
      </x:c>
      <x:c r="L12" s="12" t="n">
        <x:f>J12*K12</x:f>
        <x:v>10000000000</x:v>
      </x:c>
      <x:c r="M12" t="str">
        <x:v>Trung bình</x:v>
      </x:c>
      <x:c r="N12" t="str">
        <x:v>Đã duyệt</x:v>
      </x:c>
      <x:c r="O12" t="str"/>
    </x:row>
    <x:row r="13">
      <x:c r="A13" t="str">
        <x:v>DT-TS-2026-012</x:v>
      </x:c>
      <x:c r="B13" t="n">
        <x:v>2026</x:v>
      </x:c>
      <x:c r="C13" t="str">
        <x:v>Q4</x:v>
      </x:c>
      <x:c r="D13" t="str">
        <x:v>2026-12</x:v>
      </x:c>
      <x:c r="E13" t="str">
        <x:v>Digital Admission Campaign</x:v>
      </x:c>
      <x:c r="F13" t="str">
        <x:v>School Visit</x:v>
      </x:c>
      <x:c r="G13" t="str">
        <x:v>Đào tạo nhân sự</x:v>
      </x:c>
      <x:c r="H13" t="str">
        <x:v>Kinh phí cho đào tạo nhân sự thuộc chương trình digital admission campaign</x:v>
      </x:c>
      <x:c r="I13" t="str">
        <x:v>Digital Lead</x:v>
      </x:c>
      <x:c r="J13" t="n">
        <x:v>1</x:v>
      </x:c>
      <x:c r="K13" s="12" t="n">
        <x:v>8000000</x:v>
      </x:c>
      <x:c r="L13" s="12" t="n">
        <x:f>J13*K13</x:f>
        <x:v>8000000</x:v>
      </x:c>
      <x:c r="M13" t="str">
        <x:v>Cao</x:v>
      </x:c>
      <x:c r="N13" t="str">
        <x:v>Tạm dừng</x:v>
      </x:c>
      <x:c r="O13" t="str"/>
    </x:row>
    <x:row r="14">
      <x:c r="A14" t="str">
        <x:v>DT-TS-2026-013</x:v>
      </x:c>
      <x:c r="B14" t="n">
        <x:v>2026</x:v>
      </x:c>
      <x:c r="C14" t="str">
        <x:v>Q1</x:v>
      </x:c>
      <x:c r="D14" t="str">
        <x:v>2026-01</x:v>
      </x:c>
      <x:c r="E14" t="str">
        <x:v>Đào tạo cộng tác viên tuyển sinh</x:v>
      </x:c>
      <x:c r="F14" t="str">
        <x:v>Offline</x:v>
      </x:c>
      <x:c r="G14" t="str">
        <x:v>Livestream tư vấn</x:v>
      </x:c>
      <x:c r="H14" t="str">
        <x:v>Kinh phí cho livestream tư vấn thuộc chương trình đào tạo cộng tác viên tuyển sinh</x:v>
      </x:c>
      <x:c r="I14" t="str">
        <x:v>Event Coordinator</x:v>
      </x:c>
      <x:c r="J14" t="n">
        <x:v>1000</x:v>
      </x:c>
      <x:c r="K14" s="12" t="n">
        <x:v>8000000</x:v>
      </x:c>
      <x:c r="L14" s="12" t="n">
        <x:f>J14*K14</x:f>
        <x:v>8000000000</x:v>
      </x:c>
      <x:c r="M14" t="str">
        <x:v>Cao</x:v>
      </x:c>
      <x:c r="N14" t="str">
        <x:v>Tạm dừng</x:v>
      </x:c>
      <x:c r="O14" t="str"/>
    </x:row>
    <x:row r="15">
      <x:c r="A15" t="str">
        <x:v>DT-TS-2026-014</x:v>
      </x:c>
      <x:c r="B15" t="n">
        <x:v>2026</x:v>
      </x:c>
      <x:c r="C15" t="str">
        <x:v>Q1</x:v>
      </x:c>
      <x:c r="D15" t="str">
        <x:v>2026-02</x:v>
      </x:c>
      <x:c r="E15" t="str">
        <x:v>International Recruitment</x:v>
      </x:c>
      <x:c r="F15" t="str">
        <x:v>Offline</x:v>
      </x:c>
      <x:c r="G15" t="str">
        <x:v>Sản xuất video tuyển sinh</x:v>
      </x:c>
      <x:c r="H15" t="str">
        <x:v>Kinh phí cho sản xuất video tuyển sinh thuộc chương trình international recruitment</x:v>
      </x:c>
      <x:c r="I15" t="str">
        <x:v>Scholarship Officer</x:v>
      </x:c>
      <x:c r="J15" t="n">
        <x:v>5</x:v>
      </x:c>
      <x:c r="K15" s="12" t="n">
        <x:v>1500000</x:v>
      </x:c>
      <x:c r="L15" s="12" t="n">
        <x:f>J15*K15</x:f>
        <x:v>7500000</x:v>
      </x:c>
      <x:c r="M15" t="str">
        <x:v>Cao</x:v>
      </x:c>
      <x:c r="N15" t="str">
        <x:v>Đã duyệt</x:v>
      </x:c>
      <x:c r="O15" t="str"/>
    </x:row>
    <x:row r="16">
      <x:c r="A16" t="str">
        <x:v>DT-TS-2026-015</x:v>
      </x:c>
      <x:c r="B16" t="n">
        <x:v>2026</x:v>
      </x:c>
      <x:c r="C16" t="str">
        <x:v>Q1</x:v>
      </x:c>
      <x:c r="D16" t="str">
        <x:v>2026-03</x:v>
      </x:c>
      <x:c r="E16" t="str">
        <x:v>Tuyển sinh sau đại học</x:v>
      </x:c>
      <x:c r="F16" t="str">
        <x:v>Hybrid</x:v>
      </x:c>
      <x:c r="G16" t="str">
        <x:v>Livestream tư vấn</x:v>
      </x:c>
      <x:c r="H16" t="str">
        <x:v>Kinh phí cho livestream tư vấn thuộc chương trình tuyển sinh sau đại học</x:v>
      </x:c>
      <x:c r="I16" t="str">
        <x:v>Admissions Manager</x:v>
      </x:c>
      <x:c r="J16" t="n">
        <x:v>200</x:v>
      </x:c>
      <x:c r="K16" s="12" t="n">
        <x:v>10000000</x:v>
      </x:c>
      <x:c r="L16" s="12" t="n">
        <x:f>J16*K16</x:f>
        <x:v>2000000000</x:v>
      </x:c>
      <x:c r="M16" t="str">
        <x:v>Thấp</x:v>
      </x:c>
      <x:c r="N16" t="str">
        <x:v>Chờ duyệt</x:v>
      </x:c>
      <x:c r="O16" t="str"/>
    </x:row>
    <x:row r="17">
      <x:c r="A17" t="str">
        <x:v>DT-TS-2026-016</x:v>
      </x:c>
      <x:c r="B17" t="n">
        <x:v>2026</x:v>
      </x:c>
      <x:c r="C17" t="str">
        <x:v>Q2</x:v>
      </x:c>
      <x:c r="D17" t="str">
        <x:v>2026-04</x:v>
      </x:c>
      <x:c r="E17" t="str">
        <x:v>International Recruitment</x:v>
      </x:c>
      <x:c r="F17" t="str">
        <x:v>Offline</x:v>
      </x:c>
      <x:c r="G17" t="str">
        <x:v>Quảng cáo Google Search</x:v>
      </x:c>
      <x:c r="H17" t="str">
        <x:v>Kinh phí cho quảng cáo google search thuộc chương trình international recruitment</x:v>
      </x:c>
      <x:c r="I17" t="str">
        <x:v>Admissions Manager</x:v>
      </x:c>
      <x:c r="J17" t="n">
        <x:v>1</x:v>
      </x:c>
      <x:c r="K17" s="12" t="n">
        <x:v>1000000</x:v>
      </x:c>
      <x:c r="L17" s="12" t="n">
        <x:f>J17*K17</x:f>
        <x:v>1000000</x:v>
      </x:c>
      <x:c r="M17" t="str">
        <x:v>Trung bình</x:v>
      </x:c>
      <x:c r="N17" t="str">
        <x:v>Đã duyệt</x:v>
      </x:c>
      <x:c r="O17" t="str"/>
    </x:row>
    <x:row r="18">
      <x:c r="A18" t="str">
        <x:v>DT-TS-2026-017</x:v>
      </x:c>
      <x:c r="B18" t="n">
        <x:v>2026</x:v>
      </x:c>
      <x:c r="C18" t="str">
        <x:v>Q2</x:v>
      </x:c>
      <x:c r="D18" t="str">
        <x:v>2026-05</x:v>
      </x:c>
      <x:c r="E18" t="str">
        <x:v>Tư vấn tuyển sinh THPT</x:v>
      </x:c>
      <x:c r="F18" t="str">
        <x:v>School Visit</x:v>
      </x:c>
      <x:c r="G18" t="str">
        <x:v>Chi phí đi lại công tác</x:v>
      </x:c>
      <x:c r="H18" t="str">
        <x:v>Kinh phí cho chi phí đi lại công tác thuộc chương trình tư vấn tuyển sinh thpt</x:v>
      </x:c>
      <x:c r="I18" t="str">
        <x:v>Scholarship Officer</x:v>
      </x:c>
      <x:c r="J18" t="n">
        <x:v>20</x:v>
      </x:c>
      <x:c r="K18" s="12" t="n">
        <x:v>30000000</x:v>
      </x:c>
      <x:c r="L18" s="12" t="n">
        <x:f>J18*K18</x:f>
        <x:v>600000000</x:v>
      </x:c>
      <x:c r="M18" t="str">
        <x:v>Cao</x:v>
      </x:c>
      <x:c r="N18" t="str">
        <x:v>Đã duyệt</x:v>
      </x:c>
      <x:c r="O18" t="str"/>
    </x:row>
    <x:row r="19">
      <x:c r="A19" t="str">
        <x:v>DT-TS-2026-018</x:v>
      </x:c>
      <x:c r="B19" t="n">
        <x:v>2026</x:v>
      </x:c>
      <x:c r="C19" t="str">
        <x:v>Q2</x:v>
      </x:c>
      <x:c r="D19" t="str">
        <x:v>2026-06</x:v>
      </x:c>
      <x:c r="E19" t="str">
        <x:v>Tuyển sinh đại học chính quy</x:v>
      </x:c>
      <x:c r="F19" t="str">
        <x:v>Partner Channel</x:v>
      </x:c>
      <x:c r="G19" t="str">
        <x:v>Phần mềm CRM</x:v>
      </x:c>
      <x:c r="H19" t="str">
        <x:v>Kinh phí cho phần mềm crm thuộc chương trình tuyển sinh đại học chính quy</x:v>
      </x:c>
      <x:c r="I19" t="str">
        <x:v>Digital Lead</x:v>
      </x:c>
      <x:c r="J19" t="n">
        <x:v>1000</x:v>
      </x:c>
      <x:c r="K19" s="12" t="n">
        <x:v>1000000</x:v>
      </x:c>
      <x:c r="L19" s="12" t="n">
        <x:f>J19*K19</x:f>
        <x:v>1000000000</x:v>
      </x:c>
      <x:c r="M19" t="str">
        <x:v>Trung bình</x:v>
      </x:c>
      <x:c r="N19" t="str">
        <x:v>Đã duyệt</x:v>
      </x:c>
      <x:c r="O19" t="str"/>
    </x:row>
    <x:row r="20">
      <x:c r="A20" t="str">
        <x:v>DT-TS-2026-019</x:v>
      </x:c>
      <x:c r="B20" t="n">
        <x:v>2026</x:v>
      </x:c>
      <x:c r="C20" t="str">
        <x:v>Q3</x:v>
      </x:c>
      <x:c r="D20" t="str">
        <x:v>2026-07</x:v>
      </x:c>
      <x:c r="E20" t="str">
        <x:v>Học bổng tuyển sinh</x:v>
      </x:c>
      <x:c r="F20" t="str">
        <x:v>Partner Channel</x:v>
      </x:c>
      <x:c r="G20" t="str">
        <x:v>Chi phí đi lại công tác</x:v>
      </x:c>
      <x:c r="H20" t="str">
        <x:v>Kinh phí cho chi phí đi lại công tác thuộc chương trình học bổng tuyển sinh</x:v>
      </x:c>
      <x:c r="I20" t="str">
        <x:v>Admissions Manager</x:v>
      </x:c>
      <x:c r="J20" t="n">
        <x:v>5</x:v>
      </x:c>
      <x:c r="K20" s="12" t="n">
        <x:v>30000000</x:v>
      </x:c>
      <x:c r="L20" s="12" t="n">
        <x:f>J20*K20</x:f>
        <x:v>150000000</x:v>
      </x:c>
      <x:c r="M20" t="str">
        <x:v>Cao</x:v>
      </x:c>
      <x:c r="N20" t="str">
        <x:v>Chờ duyệt</x:v>
      </x:c>
      <x:c r="O20" t="str"/>
    </x:row>
    <x:row r="21">
      <x:c r="A21" t="str">
        <x:v>DT-TS-2026-020</x:v>
      </x:c>
      <x:c r="B21" t="n">
        <x:v>2026</x:v>
      </x:c>
      <x:c r="C21" t="str">
        <x:v>Q3</x:v>
      </x:c>
      <x:c r="D21" t="str">
        <x:v>2026-08</x:v>
      </x:c>
      <x:c r="E21" t="str">
        <x:v>Ngày hội tuyển sinh</x:v>
      </x:c>
      <x:c r="F21" t="str">
        <x:v>Partner Channel</x:v>
      </x:c>
      <x:c r="G21" t="str">
        <x:v>In ấn brochure</x:v>
      </x:c>
      <x:c r="H21" t="str">
        <x:v>Kinh phí cho in ấn brochure thuộc chương trình ngày hội tuyển sinh</x:v>
      </x:c>
      <x:c r="I21" t="str">
        <x:v>Admissions Manager</x:v>
      </x:c>
      <x:c r="J21" t="n">
        <x:v>500</x:v>
      </x:c>
      <x:c r="K21" s="12" t="n">
        <x:v>20000000</x:v>
      </x:c>
      <x:c r="L21" s="12" t="n">
        <x:f>J21*K21</x:f>
        <x:v>10000000000</x:v>
      </x:c>
      <x:c r="M21" t="str">
        <x:v>Cao</x:v>
      </x:c>
      <x:c r="N21" t="str">
        <x:v>Đã duyệt</x:v>
      </x:c>
      <x:c r="O21" t="str"/>
    </x:row>
    <x:row r="22">
      <x:c r="A22" t="str">
        <x:v>DT-TS-2026-021</x:v>
      </x:c>
      <x:c r="B22" t="n">
        <x:v>2026</x:v>
      </x:c>
      <x:c r="C22" t="str">
        <x:v>Q3</x:v>
      </x:c>
      <x:c r="D22" t="str">
        <x:v>2026-09</x:v>
      </x:c>
      <x:c r="E22" t="str">
        <x:v>CRM &amp; Admission System</x:v>
      </x:c>
      <x:c r="F22" t="str">
        <x:v>Partner Channel</x:v>
      </x:c>
      <x:c r="G22" t="str">
        <x:v>Chi phí email/SMS</x:v>
      </x:c>
      <x:c r="H22" t="str">
        <x:v>Kinh phí cho chi phí email/sms thuộc chương trình crm &amp; admission system</x:v>
      </x:c>
      <x:c r="I22" t="str">
        <x:v>Digital Lead</x:v>
      </x:c>
      <x:c r="J22" t="n">
        <x:v>100</x:v>
      </x:c>
      <x:c r="K22" s="12" t="n">
        <x:v>500000</x:v>
      </x:c>
      <x:c r="L22" s="12" t="n">
        <x:f>J22*K22</x:f>
        <x:v>50000000</x:v>
      </x:c>
      <x:c r="M22" t="str">
        <x:v>Cao</x:v>
      </x:c>
      <x:c r="N22" t="str">
        <x:v>Chờ duyệt</x:v>
      </x:c>
      <x:c r="O22" t="str"/>
    </x:row>
    <x:row r="23">
      <x:c r="A23" t="str">
        <x:v>DT-TS-2026-022</x:v>
      </x:c>
      <x:c r="B23" t="n">
        <x:v>2026</x:v>
      </x:c>
      <x:c r="C23" t="str">
        <x:v>Q4</x:v>
      </x:c>
      <x:c r="D23" t="str">
        <x:v>2026-10</x:v>
      </x:c>
      <x:c r="E23" t="str">
        <x:v>Sự kiện phụ huynh</x:v>
      </x:c>
      <x:c r="F23" t="str">
        <x:v>Online</x:v>
      </x:c>
      <x:c r="G23" t="str">
        <x:v>Livestream tư vấn</x:v>
      </x:c>
      <x:c r="H23" t="str">
        <x:v>Kinh phí cho livestream tư vấn thuộc chương trình sự kiện phụ huynh</x:v>
      </x:c>
      <x:c r="I23" t="str">
        <x:v>Admissions Manager</x:v>
      </x:c>
      <x:c r="J23" t="n">
        <x:v>5</x:v>
      </x:c>
      <x:c r="K23" s="12" t="n">
        <x:v>2500000</x:v>
      </x:c>
      <x:c r="L23" s="12" t="n">
        <x:f>J23*K23</x:f>
        <x:v>12500000</x:v>
      </x:c>
      <x:c r="M23" t="str">
        <x:v>Trung bình</x:v>
      </x:c>
      <x:c r="N23" t="str">
        <x:v>Tạm dừng</x:v>
      </x:c>
      <x:c r="O23" t="str"/>
    </x:row>
    <x:row r="24">
      <x:c r="A24" t="str">
        <x:v>DT-TS-2026-023</x:v>
      </x:c>
      <x:c r="B24" t="n">
        <x:v>2026</x:v>
      </x:c>
      <x:c r="C24" t="str">
        <x:v>Q4</x:v>
      </x:c>
      <x:c r="D24" t="str">
        <x:v>2026-11</x:v>
      </x:c>
      <x:c r="E24" t="str">
        <x:v>Tư vấn tuyển sinh THPT</x:v>
      </x:c>
      <x:c r="F24" t="str">
        <x:v>School Visit</x:v>
      </x:c>
      <x:c r="G24" t="str">
        <x:v>Học bổng đầu vào</x:v>
      </x:c>
      <x:c r="H24" t="str">
        <x:v>Kinh phí cho học bổng đầu vào thuộc chương trình tư vấn tuyển sinh thpt</x:v>
      </x:c>
      <x:c r="I24" t="str">
        <x:v>Scholarship Officer</x:v>
      </x:c>
      <x:c r="J24" t="n">
        <x:v>10</x:v>
      </x:c>
      <x:c r="K24" s="12" t="n">
        <x:v>20000000</x:v>
      </x:c>
      <x:c r="L24" s="12" t="n">
        <x:f>J24*K24</x:f>
        <x:v>200000000</x:v>
      </x:c>
      <x:c r="M24" t="str">
        <x:v>Cao</x:v>
      </x:c>
      <x:c r="N24" t="str">
        <x:v>Đã duyệt</x:v>
      </x:c>
      <x:c r="O24" t="str"/>
    </x:row>
    <x:row r="25">
      <x:c r="A25" t="str">
        <x:v>DT-TS-2026-024</x:v>
      </x:c>
      <x:c r="B25" t="n">
        <x:v>2026</x:v>
      </x:c>
      <x:c r="C25" t="str">
        <x:v>Q4</x:v>
      </x:c>
      <x:c r="D25" t="str">
        <x:v>2026-12</x:v>
      </x:c>
      <x:c r="E25" t="str">
        <x:v>Đào tạo cộng tác viên tuyển sinh</x:v>
      </x:c>
      <x:c r="F25" t="str">
        <x:v>Offline</x:v>
      </x:c>
      <x:c r="G25" t="str">
        <x:v>Chi phí đi lại công tác</x:v>
      </x:c>
      <x:c r="H25" t="str">
        <x:v>Kinh phí cho chi phí đi lại công tác thuộc chương trình đào tạo cộng tác viên tuyển sinh</x:v>
      </x:c>
      <x:c r="I25" t="str">
        <x:v>Digital Lead</x:v>
      </x:c>
      <x:c r="J25" t="n">
        <x:v>4</x:v>
      </x:c>
      <x:c r="K25" s="12" t="n">
        <x:v>20000000</x:v>
      </x:c>
      <x:c r="L25" s="12" t="n">
        <x:f>J25*K25</x:f>
        <x:v>80000000</x:v>
      </x:c>
      <x:c r="M25" t="str">
        <x:v>Cao</x:v>
      </x:c>
      <x:c r="N25" t="str">
        <x:v>Đã duyệt</x:v>
      </x:c>
      <x:c r="O25" t="str"/>
    </x:row>
    <x:row r="26">
      <x:c r="A26" t="str">
        <x:v>DT-TS-2026-025</x:v>
      </x:c>
      <x:c r="B26" t="n">
        <x:v>2026</x:v>
      </x:c>
      <x:c r="C26" t="str">
        <x:v>Q1</x:v>
      </x:c>
      <x:c r="D26" t="str">
        <x:v>2026-01</x:v>
      </x:c>
      <x:c r="E26" t="str">
        <x:v>Sự kiện phụ huynh</x:v>
      </x:c>
      <x:c r="F26" t="str">
        <x:v>Online</x:v>
      </x:c>
      <x:c r="G26" t="str">
        <x:v>Thuê địa điểm sự kiện</x:v>
      </x:c>
      <x:c r="H26" t="str">
        <x:v>Kinh phí cho thuê địa điểm sự kiện thuộc chương trình sự kiện phụ huynh</x:v>
      </x:c>
      <x:c r="I26" t="str">
        <x:v>Admissions Manager</x:v>
      </x:c>
      <x:c r="J26" t="n">
        <x:v>100</x:v>
      </x:c>
      <x:c r="K26" s="12" t="n">
        <x:v>15000000</x:v>
      </x:c>
      <x:c r="L26" s="12" t="n">
        <x:f>J26*K26</x:f>
        <x:v>1500000000</x:v>
      </x:c>
      <x:c r="M26" t="str">
        <x:v>Cao</x:v>
      </x:c>
      <x:c r="N26" t="str">
        <x:v>Đã duyệt</x:v>
      </x:c>
      <x:c r="O26" t="str"/>
    </x:row>
    <x:row r="27">
      <x:c r="A27" t="str">
        <x:v>DT-TS-2026-026</x:v>
      </x:c>
      <x:c r="B27" t="n">
        <x:v>2026</x:v>
      </x:c>
      <x:c r="C27" t="str">
        <x:v>Q1</x:v>
      </x:c>
      <x:c r="D27" t="str">
        <x:v>2026-02</x:v>
      </x:c>
      <x:c r="E27" t="str">
        <x:v>Đào tạo cộng tác viên tuyển sinh</x:v>
      </x:c>
      <x:c r="F27" t="str">
        <x:v>Offline</x:v>
      </x:c>
      <x:c r="G27" t="str">
        <x:v>Quà tặng thí sinh</x:v>
      </x:c>
      <x:c r="H27" t="str">
        <x:v>Kinh phí cho quà tặng thí sinh thuộc chương trình đào tạo cộng tác viên tuyển sinh</x:v>
      </x:c>
      <x:c r="I27" t="str">
        <x:v>Admissions Officer</x:v>
      </x:c>
      <x:c r="J27" t="n">
        <x:v>4</x:v>
      </x:c>
      <x:c r="K27" s="12" t="n">
        <x:v>30000000</x:v>
      </x:c>
      <x:c r="L27" s="12" t="n">
        <x:f>J27*K27</x:f>
        <x:v>120000000</x:v>
      </x:c>
      <x:c r="M27" t="str">
        <x:v>Cao</x:v>
      </x:c>
      <x:c r="N27" t="str">
        <x:v>Đã duyệt</x:v>
      </x:c>
      <x:c r="O27" t="str"/>
    </x:row>
    <x:row r="28">
      <x:c r="A28" t="str">
        <x:v>DT-TS-2026-027</x:v>
      </x:c>
      <x:c r="B28" t="n">
        <x:v>2026</x:v>
      </x:c>
      <x:c r="C28" t="str">
        <x:v>Q1</x:v>
      </x:c>
      <x:c r="D28" t="str">
        <x:v>2026-03</x:v>
      </x:c>
      <x:c r="E28" t="str">
        <x:v>Digital Admission Campaign</x:v>
      </x:c>
      <x:c r="F28" t="str">
        <x:v>Online</x:v>
      </x:c>
      <x:c r="G28" t="str">
        <x:v>Quảng cáo Google Search</x:v>
      </x:c>
      <x:c r="H28" t="str">
        <x:v>Kinh phí cho quảng cáo google search thuộc chương trình digital admission campaign</x:v>
      </x:c>
      <x:c r="I28" t="str">
        <x:v>Scholarship Officer</x:v>
      </x:c>
      <x:c r="J28" t="n">
        <x:v>1</x:v>
      </x:c>
      <x:c r="K28" s="12" t="n">
        <x:v>8000000</x:v>
      </x:c>
      <x:c r="L28" s="12" t="n">
        <x:f>J28*K28</x:f>
        <x:v>8000000</x:v>
      </x:c>
      <x:c r="M28" t="str">
        <x:v>Cao</x:v>
      </x:c>
      <x:c r="N28" t="str">
        <x:v>Đã duyệt</x:v>
      </x:c>
      <x:c r="O28" t="str"/>
    </x:row>
    <x:row r="29">
      <x:c r="A29" t="str">
        <x:v>DT-TS-2026-028</x:v>
      </x:c>
      <x:c r="B29" t="n">
        <x:v>2026</x:v>
      </x:c>
      <x:c r="C29" t="str">
        <x:v>Q2</x:v>
      </x:c>
      <x:c r="D29" t="str">
        <x:v>2026-04</x:v>
      </x:c>
      <x:c r="E29" t="str">
        <x:v>Digital Admission Campaign</x:v>
      </x:c>
      <x:c r="F29" t="str">
        <x:v>Partner Channel</x:v>
      </x:c>
      <x:c r="G29" t="str">
        <x:v>Quà tặng thí sinh</x:v>
      </x:c>
      <x:c r="H29" t="str">
        <x:v>Kinh phí cho quà tặng thí sinh thuộc chương trình digital admission campaign</x:v>
      </x:c>
      <x:c r="I29" t="str">
        <x:v>Event Coordinator</x:v>
      </x:c>
      <x:c r="J29" t="n">
        <x:v>3</x:v>
      </x:c>
      <x:c r="K29" s="12" t="n">
        <x:v>30000000</x:v>
      </x:c>
      <x:c r="L29" s="12" t="n">
        <x:f>J29*K29</x:f>
        <x:v>90000000</x:v>
      </x:c>
      <x:c r="M29" t="str">
        <x:v>Cao</x:v>
      </x:c>
      <x:c r="N29" t="str">
        <x:v>Đã duyệt</x:v>
      </x:c>
      <x:c r="O29" t="str"/>
    </x:row>
    <x:row r="30">
      <x:c r="A30" t="str">
        <x:v>DT-TS-2026-029</x:v>
      </x:c>
      <x:c r="B30" t="n">
        <x:v>2026</x:v>
      </x:c>
      <x:c r="C30" t="str">
        <x:v>Q2</x:v>
      </x:c>
      <x:c r="D30" t="str">
        <x:v>2026-05</x:v>
      </x:c>
      <x:c r="E30" t="str">
        <x:v>Tuyển sinh sau đại học</x:v>
      </x:c>
      <x:c r="F30" t="str">
        <x:v>School Visit</x:v>
      </x:c>
      <x:c r="G30" t="str">
        <x:v>Thiết kế landing page</x:v>
      </x:c>
      <x:c r="H30" t="str">
        <x:v>Kinh phí cho thiết kế landing page thuộc chương trình tuyển sinh sau đại học</x:v>
      </x:c>
      <x:c r="I30" t="str">
        <x:v>Digital Lead</x:v>
      </x:c>
      <x:c r="J30" t="n">
        <x:v>2</x:v>
      </x:c>
      <x:c r="K30" s="12" t="n">
        <x:v>1000000</x:v>
      </x:c>
      <x:c r="L30" s="12" t="n">
        <x:f>J30*K30</x:f>
        <x:v>2000000</x:v>
      </x:c>
      <x:c r="M30" t="str">
        <x:v>Cao</x:v>
      </x:c>
      <x:c r="N30" t="str">
        <x:v>Đã duyệt</x:v>
      </x:c>
      <x:c r="O30" t="str"/>
    </x:row>
    <x:row r="31">
      <x:c r="A31" t="str">
        <x:v>DT-TS-2026-030</x:v>
      </x:c>
      <x:c r="B31" t="n">
        <x:v>2026</x:v>
      </x:c>
      <x:c r="C31" t="str">
        <x:v>Q2</x:v>
      </x:c>
      <x:c r="D31" t="str">
        <x:v>2026-06</x:v>
      </x:c>
      <x:c r="E31" t="str">
        <x:v>Sản xuất học liệu truyền thông</x:v>
      </x:c>
      <x:c r="F31" t="str">
        <x:v>Online</x:v>
      </x:c>
      <x:c r="G31" t="str">
        <x:v>Quảng cáo Facebook/Instagram</x:v>
      </x:c>
      <x:c r="H31" t="str">
        <x:v>Kinh phí cho quảng cáo facebook/instagram thuộc chương trình sản xuất học liệu truyền thông</x:v>
      </x:c>
      <x:c r="I31" t="str">
        <x:v>Admissions Officer</x:v>
      </x:c>
      <x:c r="J31" t="n">
        <x:v>500</x:v>
      </x:c>
      <x:c r="K31" s="12" t="n">
        <x:v>50000000</x:v>
      </x:c>
      <x:c r="L31" s="12" t="n">
        <x:f>J31*K31</x:f>
        <x:v>25000000000</x:v>
      </x:c>
      <x:c r="M31" t="str">
        <x:v>Cao</x:v>
      </x:c>
      <x:c r="N31" t="str">
        <x:v>Đã duyệt</x:v>
      </x:c>
      <x:c r="O31" t="str"/>
    </x:row>
    <x:row r="32">
      <x:c r="A32" t="str">
        <x:v>DT-TS-2026-031</x:v>
      </x:c>
      <x:c r="B32" t="n">
        <x:v>2026</x:v>
      </x:c>
      <x:c r="C32" t="str">
        <x:v>Q3</x:v>
      </x:c>
      <x:c r="D32" t="str">
        <x:v>2026-07</x:v>
      </x:c>
      <x:c r="E32" t="str">
        <x:v>Tư vấn tuyển sinh THPT</x:v>
      </x:c>
      <x:c r="F32" t="str">
        <x:v>Partner Channel</x:v>
      </x:c>
      <x:c r="G32" t="str">
        <x:v>Thiết kế landing page</x:v>
      </x:c>
      <x:c r="H32" t="str">
        <x:v>Kinh phí cho thiết kế landing page thuộc chương trình tư vấn tuyển sinh thpt</x:v>
      </x:c>
      <x:c r="I32" t="str">
        <x:v>Event Coordinator</x:v>
      </x:c>
      <x:c r="J32" t="n">
        <x:v>4</x:v>
      </x:c>
      <x:c r="K32" s="12" t="n">
        <x:v>2500000</x:v>
      </x:c>
      <x:c r="L32" s="12" t="n">
        <x:f>J32*K32</x:f>
        <x:v>10000000</x:v>
      </x:c>
      <x:c r="M32" t="str">
        <x:v>Cao</x:v>
      </x:c>
      <x:c r="N32" t="str">
        <x:v>Chờ duyệt</x:v>
      </x:c>
      <x:c r="O32" t="str"/>
    </x:row>
    <x:row r="33">
      <x:c r="A33" t="str">
        <x:v>DT-TS-2026-032</x:v>
      </x:c>
      <x:c r="B33" t="n">
        <x:v>2026</x:v>
      </x:c>
      <x:c r="C33" t="str">
        <x:v>Q3</x:v>
      </x:c>
      <x:c r="D33" t="str">
        <x:v>2026-08</x:v>
      </x:c>
      <x:c r="E33" t="str">
        <x:v>International Recruitment</x:v>
      </x:c>
      <x:c r="F33" t="str">
        <x:v>Partner Channel</x:v>
      </x:c>
      <x:c r="G33" t="str">
        <x:v>Thiết kế landing page</x:v>
      </x:c>
      <x:c r="H33" t="str">
        <x:v>Kinh phí cho thiết kế landing page thuộc chương trình international recruitment</x:v>
      </x:c>
      <x:c r="I33" t="str">
        <x:v>Admissions Officer</x:v>
      </x:c>
      <x:c r="J33" t="n">
        <x:v>2</x:v>
      </x:c>
      <x:c r="K33" s="12" t="n">
        <x:v>15000000</x:v>
      </x:c>
      <x:c r="L33" s="12" t="n">
        <x:f>J33*K33</x:f>
        <x:v>30000000</x:v>
      </x:c>
      <x:c r="M33" t="str">
        <x:v>Cao</x:v>
      </x:c>
      <x:c r="N33" t="str">
        <x:v>Tạm dừng</x:v>
      </x:c>
      <x:c r="O33" t="str"/>
    </x:row>
    <x:row r="34">
      <x:c r="A34" t="str">
        <x:v>DT-TS-2026-033</x:v>
      </x:c>
      <x:c r="B34" t="n">
        <x:v>2026</x:v>
      </x:c>
      <x:c r="C34" t="str">
        <x:v>Q3</x:v>
      </x:c>
      <x:c r="D34" t="str">
        <x:v>2026-09</x:v>
      </x:c>
      <x:c r="E34" t="str">
        <x:v>Tuyển sinh đại học chính quy</x:v>
      </x:c>
      <x:c r="F34" t="str">
        <x:v>School Visit</x:v>
      </x:c>
      <x:c r="G34" t="str">
        <x:v>Quảng cáo Google Search</x:v>
      </x:c>
      <x:c r="H34" t="str">
        <x:v>Kinh phí cho quảng cáo google search thuộc chương trình tuyển sinh đại học chính quy</x:v>
      </x:c>
      <x:c r="I34" t="str">
        <x:v>Event Coordinator</x:v>
      </x:c>
      <x:c r="J34" t="n">
        <x:v>4</x:v>
      </x:c>
      <x:c r="K34" s="12" t="n">
        <x:v>1500000</x:v>
      </x:c>
      <x:c r="L34" s="12" t="n">
        <x:f>J34*K34</x:f>
        <x:v>6000000</x:v>
      </x:c>
      <x:c r="M34" t="str">
        <x:v>Cao</x:v>
      </x:c>
      <x:c r="N34" t="str">
        <x:v>Đã duyệt</x:v>
      </x:c>
      <x:c r="O34" t="str"/>
    </x:row>
    <x:row r="35">
      <x:c r="A35" t="str">
        <x:v>DT-TS-2026-034</x:v>
      </x:c>
      <x:c r="B35" t="n">
        <x:v>2026</x:v>
      </x:c>
      <x:c r="C35" t="str">
        <x:v>Q4</x:v>
      </x:c>
      <x:c r="D35" t="str">
        <x:v>2026-10</x:v>
      </x:c>
      <x:c r="E35" t="str">
        <x:v>Tuyển sinh đại học chính quy</x:v>
      </x:c>
      <x:c r="F35" t="str">
        <x:v>School Visit</x:v>
      </x:c>
      <x:c r="G35" t="str">
        <x:v>Sản xuất video tuyển sinh</x:v>
      </x:c>
      <x:c r="H35" t="str">
        <x:v>Kinh phí cho sản xuất video tuyển sinh thuộc chương trình tuyển sinh đại học chính quy</x:v>
      </x:c>
      <x:c r="I35" t="str">
        <x:v>Digital Lead</x:v>
      </x:c>
      <x:c r="J35" t="n">
        <x:v>20</x:v>
      </x:c>
      <x:c r="K35" s="12" t="n">
        <x:v>500000</x:v>
      </x:c>
      <x:c r="L35" s="12" t="n">
        <x:f>J35*K35</x:f>
        <x:v>10000000</x:v>
      </x:c>
      <x:c r="M35" t="str">
        <x:v>Thấp</x:v>
      </x:c>
      <x:c r="N35" t="str">
        <x:v>Đã duyệt</x:v>
      </x:c>
      <x:c r="O35" t="str"/>
    </x:row>
    <x:row r="36">
      <x:c r="A36" t="str">
        <x:v>DT-TS-2026-035</x:v>
      </x:c>
      <x:c r="B36" t="n">
        <x:v>2026</x:v>
      </x:c>
      <x:c r="C36" t="str">
        <x:v>Q4</x:v>
      </x:c>
      <x:c r="D36" t="str">
        <x:v>2026-11</x:v>
      </x:c>
      <x:c r="E36" t="str">
        <x:v>Học bổng tuyển sinh</x:v>
      </x:c>
      <x:c r="F36" t="str">
        <x:v>Offline</x:v>
      </x:c>
      <x:c r="G36" t="str">
        <x:v>Chi phí đi lại công tác</x:v>
      </x:c>
      <x:c r="H36" t="str">
        <x:v>Kinh phí cho chi phí đi lại công tác thuộc chương trình học bổng tuyển sinh</x:v>
      </x:c>
      <x:c r="I36" t="str">
        <x:v>Digital Lead</x:v>
      </x:c>
      <x:c r="J36" t="n">
        <x:v>30</x:v>
      </x:c>
      <x:c r="K36" s="12" t="n">
        <x:v>20000000</x:v>
      </x:c>
      <x:c r="L36" s="12" t="n">
        <x:f>J36*K36</x:f>
        <x:v>600000000</x:v>
      </x:c>
      <x:c r="M36" t="str">
        <x:v>Cao</x:v>
      </x:c>
      <x:c r="N36" t="str">
        <x:v>Chờ duyệt</x:v>
      </x:c>
      <x:c r="O36" t="str"/>
    </x:row>
    <x:row r="37">
      <x:c r="A37" t="str">
        <x:v>DT-TS-2026-036</x:v>
      </x:c>
      <x:c r="B37" t="n">
        <x:v>2026</x:v>
      </x:c>
      <x:c r="C37" t="str">
        <x:v>Q4</x:v>
      </x:c>
      <x:c r="D37" t="str">
        <x:v>2026-12</x:v>
      </x:c>
      <x:c r="E37" t="str">
        <x:v>Sản xuất học liệu truyền thông</x:v>
      </x:c>
      <x:c r="F37" t="str">
        <x:v>Online</x:v>
      </x:c>
      <x:c r="G37" t="str">
        <x:v>Quà tặng thí sinh</x:v>
      </x:c>
      <x:c r="H37" t="str">
        <x:v>Kinh phí cho quà tặng thí sinh thuộc chương trình sản xuất học liệu truyền thông</x:v>
      </x:c>
      <x:c r="I37" t="str">
        <x:v>Admissions Officer</x:v>
      </x:c>
      <x:c r="J37" t="n">
        <x:v>1</x:v>
      </x:c>
      <x:c r="K37" s="12" t="n">
        <x:v>8000000</x:v>
      </x:c>
      <x:c r="L37" s="12" t="n">
        <x:f>J37*K37</x:f>
        <x:v>8000000</x:v>
      </x:c>
      <x:c r="M37" t="str">
        <x:v>Trung bình</x:v>
      </x:c>
      <x:c r="N37" t="str">
        <x:v>Đã duyệt</x:v>
      </x:c>
      <x:c r="O37" t="str"/>
    </x:row>
    <x:row r="38">
      <x:c r="A38" t="str">
        <x:v>DT-TS-2026-037</x:v>
      </x:c>
      <x:c r="B38" t="n">
        <x:v>2026</x:v>
      </x:c>
      <x:c r="C38" t="str">
        <x:v>Q1</x:v>
      </x:c>
      <x:c r="D38" t="str">
        <x:v>2026-01</x:v>
      </x:c>
      <x:c r="E38" t="str">
        <x:v>CRM &amp; Admission System</x:v>
      </x:c>
      <x:c r="F38" t="str">
        <x:v>Online</x:v>
      </x:c>
      <x:c r="G38" t="str">
        <x:v>Sản xuất video tuyển sinh</x:v>
      </x:c>
      <x:c r="H38" t="str">
        <x:v>Kinh phí cho sản xuất video tuyển sinh thuộc chương trình crm &amp; admission system</x:v>
      </x:c>
      <x:c r="I38" t="str">
        <x:v>Admissions Manager</x:v>
      </x:c>
      <x:c r="J38" t="n">
        <x:v>1</x:v>
      </x:c>
      <x:c r="K38" s="12" t="n">
        <x:v>20000000</x:v>
      </x:c>
      <x:c r="L38" s="12" t="n">
        <x:f>J38*K38</x:f>
        <x:v>20000000</x:v>
      </x:c>
      <x:c r="M38" t="str">
        <x:v>Cao</x:v>
      </x:c>
      <x:c r="N38" t="str">
        <x:v>Chờ duyệt</x:v>
      </x:c>
      <x:c r="O38" t="str"/>
    </x:row>
    <x:row r="39">
      <x:c r="A39" t="str">
        <x:v>DT-TS-2026-038</x:v>
      </x:c>
      <x:c r="B39" t="n">
        <x:v>2026</x:v>
      </x:c>
      <x:c r="C39" t="str">
        <x:v>Q1</x:v>
      </x:c>
      <x:c r="D39" t="str">
        <x:v>2026-02</x:v>
      </x:c>
      <x:c r="E39" t="str">
        <x:v>Digital Admission Campaign</x:v>
      </x:c>
      <x:c r="F39" t="str">
        <x:v>Offline</x:v>
      </x:c>
      <x:c r="G39" t="str">
        <x:v>Chi phí đi lại công tác</x:v>
      </x:c>
      <x:c r="H39" t="str">
        <x:v>Kinh phí cho chi phí đi lại công tác thuộc chương trình digital admission campaign</x:v>
      </x:c>
      <x:c r="I39" t="str">
        <x:v>Scholarship Officer</x:v>
      </x:c>
      <x:c r="J39" t="n">
        <x:v>2</x:v>
      </x:c>
      <x:c r="K39" s="12" t="n">
        <x:v>30000000</x:v>
      </x:c>
      <x:c r="L39" s="12" t="n">
        <x:f>J39*K39</x:f>
        <x:v>60000000</x:v>
      </x:c>
      <x:c r="M39" t="str">
        <x:v>Trung bình</x:v>
      </x:c>
      <x:c r="N39" t="str">
        <x:v>Đã duyệt</x:v>
      </x:c>
      <x:c r="O39" t="str"/>
    </x:row>
    <x:row r="40">
      <x:c r="A40" t="str">
        <x:v>DT-TS-2026-039</x:v>
      </x:c>
      <x:c r="B40" t="n">
        <x:v>2026</x:v>
      </x:c>
      <x:c r="C40" t="str">
        <x:v>Q1</x:v>
      </x:c>
      <x:c r="D40" t="str">
        <x:v>2026-03</x:v>
      </x:c>
      <x:c r="E40" t="str">
        <x:v>Tuyển sinh sau đại học</x:v>
      </x:c>
      <x:c r="F40" t="str">
        <x:v>Partner Channel</x:v>
      </x:c>
      <x:c r="G40" t="str">
        <x:v>Phần mềm CRM</x:v>
      </x:c>
      <x:c r="H40" t="str">
        <x:v>Kinh phí cho phần mềm crm thuộc chương trình tuyển sinh sau đại học</x:v>
      </x:c>
      <x:c r="I40" t="str">
        <x:v>Digital Lead</x:v>
      </x:c>
      <x:c r="J40" t="n">
        <x:v>200</x:v>
      </x:c>
      <x:c r="K40" s="12" t="n">
        <x:v>30000000</x:v>
      </x:c>
      <x:c r="L40" s="12" t="n">
        <x:f>J40*K40</x:f>
        <x:v>6000000000</x:v>
      </x:c>
      <x:c r="M40" t="str">
        <x:v>Thấp</x:v>
      </x:c>
      <x:c r="N40" t="str">
        <x:v>Chờ duyệt</x:v>
      </x:c>
      <x:c r="O40" t="str"/>
    </x:row>
    <x:row r="41">
      <x:c r="A41" t="str">
        <x:v>DT-TS-2026-040</x:v>
      </x:c>
      <x:c r="B41" t="n">
        <x:v>2026</x:v>
      </x:c>
      <x:c r="C41" t="str">
        <x:v>Q2</x:v>
      </x:c>
      <x:c r="D41" t="str">
        <x:v>2026-04</x:v>
      </x:c>
      <x:c r="E41" t="str">
        <x:v>Sản xuất học liệu truyền thông</x:v>
      </x:c>
      <x:c r="F41" t="str">
        <x:v>School Visit</x:v>
      </x:c>
      <x:c r="G41" t="str">
        <x:v>Tổ chức booth tư vấn</x:v>
      </x:c>
      <x:c r="H41" t="str">
        <x:v>Kinh phí cho tổ chức booth tư vấn thuộc chương trình sản xuất học liệu truyền thông</x:v>
      </x:c>
      <x:c r="I41" t="str">
        <x:v>Admissions Manager</x:v>
      </x:c>
      <x:c r="J41" t="n">
        <x:v>4</x:v>
      </x:c>
      <x:c r="K41" s="12" t="n">
        <x:v>5000000</x:v>
      </x:c>
      <x:c r="L41" s="12" t="n">
        <x:f>J41*K41</x:f>
        <x:v>20000000</x:v>
      </x:c>
      <x:c r="M41" t="str">
        <x:v>Trung bình</x:v>
      </x:c>
      <x:c r="N41" t="str">
        <x:v>Đã duyệt</x:v>
      </x:c>
      <x:c r="O41" t="str"/>
    </x:row>
    <x:row r="42">
      <x:c r="A42" t="str">
        <x:v>DT-TS-2026-041</x:v>
      </x:c>
      <x:c r="B42" t="n">
        <x:v>2026</x:v>
      </x:c>
      <x:c r="C42" t="str">
        <x:v>Q2</x:v>
      </x:c>
      <x:c r="D42" t="str">
        <x:v>2026-05</x:v>
      </x:c>
      <x:c r="E42" t="str">
        <x:v>Sự kiện phụ huynh</x:v>
      </x:c>
      <x:c r="F42" t="str">
        <x:v>School Visit</x:v>
      </x:c>
      <x:c r="G42" t="str">
        <x:v>Livestream tư vấn</x:v>
      </x:c>
      <x:c r="H42" t="str">
        <x:v>Kinh phí cho livestream tư vấn thuộc chương trình sự kiện phụ huynh</x:v>
      </x:c>
      <x:c r="I42" t="str">
        <x:v>Scholarship Officer</x:v>
      </x:c>
      <x:c r="J42" t="n">
        <x:v>2</x:v>
      </x:c>
      <x:c r="K42" s="12" t="n">
        <x:v>500000</x:v>
      </x:c>
      <x:c r="L42" s="12" t="n">
        <x:f>J42*K42</x:f>
        <x:v>1000000</x:v>
      </x:c>
      <x:c r="M42" t="str">
        <x:v>Thấp</x:v>
      </x:c>
      <x:c r="N42" t="str">
        <x:v>Tạm dừng</x:v>
      </x:c>
      <x:c r="O42" t="str"/>
    </x:row>
    <x:row r="43">
      <x:c r="A43" t="str">
        <x:v>DT-TS-2026-042</x:v>
      </x:c>
      <x:c r="B43" t="n">
        <x:v>2026</x:v>
      </x:c>
      <x:c r="C43" t="str">
        <x:v>Q2</x:v>
      </x:c>
      <x:c r="D43" t="str">
        <x:v>2026-06</x:v>
      </x:c>
      <x:c r="E43" t="str">
        <x:v>Tư vấn tuyển sinh THPT</x:v>
      </x:c>
      <x:c r="F43" t="str">
        <x:v>Hybrid</x:v>
      </x:c>
      <x:c r="G43" t="str">
        <x:v>Quà tặng thí sinh</x:v>
      </x:c>
      <x:c r="H43" t="str">
        <x:v>Kinh phí cho quà tặng thí sinh thuộc chương trình tư vấn tuyển sinh thpt</x:v>
      </x:c>
      <x:c r="I43" t="str">
        <x:v>Admissions Manager</x:v>
      </x:c>
      <x:c r="J43" t="n">
        <x:v>4</x:v>
      </x:c>
      <x:c r="K43" s="12" t="n">
        <x:v>20000000</x:v>
      </x:c>
      <x:c r="L43" s="12" t="n">
        <x:f>J43*K43</x:f>
        <x:v>80000000</x:v>
      </x:c>
      <x:c r="M43" t="str">
        <x:v>Thấp</x:v>
      </x:c>
      <x:c r="N43" t="str">
        <x:v>Đã duyệt</x:v>
      </x:c>
      <x:c r="O43" t="str"/>
    </x:row>
    <x:row r="44">
      <x:c r="A44" t="str">
        <x:v>DT-TS-2026-043</x:v>
      </x:c>
      <x:c r="B44" t="n">
        <x:v>2026</x:v>
      </x:c>
      <x:c r="C44" t="str">
        <x:v>Q3</x:v>
      </x:c>
      <x:c r="D44" t="str">
        <x:v>2026-07</x:v>
      </x:c>
      <x:c r="E44" t="str">
        <x:v>Digital Admission Campaign</x:v>
      </x:c>
      <x:c r="F44" t="str">
        <x:v>School Visit</x:v>
      </x:c>
      <x:c r="G44" t="str">
        <x:v>Tổ chức booth tư vấn</x:v>
      </x:c>
      <x:c r="H44" t="str">
        <x:v>Kinh phí cho tổ chức booth tư vấn thuộc chương trình digital admission campaign</x:v>
      </x:c>
      <x:c r="I44" t="str">
        <x:v>Scholarship Officer</x:v>
      </x:c>
      <x:c r="J44" t="n">
        <x:v>5</x:v>
      </x:c>
      <x:c r="K44" s="12" t="n">
        <x:v>1500000</x:v>
      </x:c>
      <x:c r="L44" s="12" t="n">
        <x:f>J44*K44</x:f>
        <x:v>7500000</x:v>
      </x:c>
      <x:c r="M44" t="str">
        <x:v>Trung bình</x:v>
      </x:c>
      <x:c r="N44" t="str">
        <x:v>Đã duyệt</x:v>
      </x:c>
      <x:c r="O44" t="str"/>
    </x:row>
    <x:row r="45">
      <x:c r="A45" t="str">
        <x:v>DT-TS-2026-044</x:v>
      </x:c>
      <x:c r="B45" t="n">
        <x:v>2026</x:v>
      </x:c>
      <x:c r="C45" t="str">
        <x:v>Q3</x:v>
      </x:c>
      <x:c r="D45" t="str">
        <x:v>2026-08</x:v>
      </x:c>
      <x:c r="E45" t="str">
        <x:v>Ngày hội tuyển sinh</x:v>
      </x:c>
      <x:c r="F45" t="str">
        <x:v>Partner Channel</x:v>
      </x:c>
      <x:c r="G45" t="str">
        <x:v>Quà tặng thí sinh</x:v>
      </x:c>
      <x:c r="H45" t="str">
        <x:v>Kinh phí cho quà tặng thí sinh thuộc chương trình ngày hội tuyển sinh</x:v>
      </x:c>
      <x:c r="I45" t="str">
        <x:v>Digital Lead</x:v>
      </x:c>
      <x:c r="J45" t="n">
        <x:v>1</x:v>
      </x:c>
      <x:c r="K45" s="12" t="n">
        <x:v>50000000</x:v>
      </x:c>
      <x:c r="L45" s="12" t="n">
        <x:f>J45*K45</x:f>
        <x:v>50000000</x:v>
      </x:c>
      <x:c r="M45" t="str">
        <x:v>Thấp</x:v>
      </x:c>
      <x:c r="N45" t="str">
        <x:v>Chờ duyệt</x:v>
      </x:c>
      <x:c r="O45" t="str"/>
    </x:row>
    <x:row r="46">
      <x:c r="A46" t="str">
        <x:v>DT-TS-2026-045</x:v>
      </x:c>
      <x:c r="B46" t="n">
        <x:v>2026</x:v>
      </x:c>
      <x:c r="C46" t="str">
        <x:v>Q3</x:v>
      </x:c>
      <x:c r="D46" t="str">
        <x:v>2026-09</x:v>
      </x:c>
      <x:c r="E46" t="str">
        <x:v>Open Day / Campus Tour</x:v>
      </x:c>
      <x:c r="F46" t="str">
        <x:v>Partner Channel</x:v>
      </x:c>
      <x:c r="G46" t="str">
        <x:v>In ấn brochure</x:v>
      </x:c>
      <x:c r="H46" t="str">
        <x:v>Kinh phí cho in ấn brochure thuộc chương trình open day / campus tour</x:v>
      </x:c>
      <x:c r="I46" t="str">
        <x:v>Admissions Manager</x:v>
      </x:c>
      <x:c r="J46" t="n">
        <x:v>2</x:v>
      </x:c>
      <x:c r="K46" s="12" t="n">
        <x:v>1000000</x:v>
      </x:c>
      <x:c r="L46" s="12" t="n">
        <x:f>J46*K46</x:f>
        <x:v>2000000</x:v>
      </x:c>
      <x:c r="M46" t="str">
        <x:v>Cao</x:v>
      </x:c>
      <x:c r="N46" t="str">
        <x:v>Đã duyệt</x:v>
      </x:c>
      <x:c r="O46" t="str"/>
    </x:row>
    <x:row r="47">
      <x:c r="A47" t="str">
        <x:v>DT-TS-2026-046</x:v>
      </x:c>
      <x:c r="B47" t="n">
        <x:v>2026</x:v>
      </x:c>
      <x:c r="C47" t="str">
        <x:v>Q4</x:v>
      </x:c>
      <x:c r="D47" t="str">
        <x:v>2026-10</x:v>
      </x:c>
      <x:c r="E47" t="str">
        <x:v>Sản xuất học liệu truyền thông</x:v>
      </x:c>
      <x:c r="F47" t="str">
        <x:v>Hybrid</x:v>
      </x:c>
      <x:c r="G47" t="str">
        <x:v>Tổ chức booth tư vấn</x:v>
      </x:c>
      <x:c r="H47" t="str">
        <x:v>Kinh phí cho tổ chức booth tư vấn thuộc chương trình sản xuất học liệu truyền thông</x:v>
      </x:c>
      <x:c r="I47" t="str">
        <x:v>Scholarship Officer</x:v>
      </x:c>
      <x:c r="J47" t="n">
        <x:v>4</x:v>
      </x:c>
      <x:c r="K47" s="12" t="n">
        <x:v>50000000</x:v>
      </x:c>
      <x:c r="L47" s="12" t="n">
        <x:f>J47*K47</x:f>
        <x:v>200000000</x:v>
      </x:c>
      <x:c r="M47" t="str">
        <x:v>Cao</x:v>
      </x:c>
      <x:c r="N47" t="str">
        <x:v>Tạm dừng</x:v>
      </x:c>
      <x:c r="O47" t="str"/>
    </x:row>
    <x:row r="48">
      <x:c r="A48" t="str">
        <x:v>DT-TS-2026-047</x:v>
      </x:c>
      <x:c r="B48" t="n">
        <x:v>2026</x:v>
      </x:c>
      <x:c r="C48" t="str">
        <x:v>Q4</x:v>
      </x:c>
      <x:c r="D48" t="str">
        <x:v>2026-11</x:v>
      </x:c>
      <x:c r="E48" t="str">
        <x:v>Tuyển sinh đại học chính quy</x:v>
      </x:c>
      <x:c r="F48" t="str">
        <x:v>Hybrid</x:v>
      </x:c>
      <x:c r="G48" t="str">
        <x:v>Quảng cáo Google Search</x:v>
      </x:c>
      <x:c r="H48" t="str">
        <x:v>Kinh phí cho quảng cáo google search thuộc chương trình tuyển sinh đại học chính quy</x:v>
      </x:c>
      <x:c r="I48" t="str">
        <x:v>Admissions Officer</x:v>
      </x:c>
      <x:c r="J48" t="n">
        <x:v>500</x:v>
      </x:c>
      <x:c r="K48" s="12" t="n">
        <x:v>10000000</x:v>
      </x:c>
      <x:c r="L48" s="12" t="n">
        <x:f>J48*K48</x:f>
        <x:v>5000000000</x:v>
      </x:c>
      <x:c r="M48" t="str">
        <x:v>Cao</x:v>
      </x:c>
      <x:c r="N48" t="str">
        <x:v>Đã duyệt</x:v>
      </x:c>
      <x:c r="O48" t="str"/>
    </x:row>
    <x:row r="49">
      <x:c r="A49" t="str">
        <x:v>DT-TS-2026-048</x:v>
      </x:c>
      <x:c r="B49" t="n">
        <x:v>2026</x:v>
      </x:c>
      <x:c r="C49" t="str">
        <x:v>Q4</x:v>
      </x:c>
      <x:c r="D49" t="str">
        <x:v>2026-12</x:v>
      </x:c>
      <x:c r="E49" t="str">
        <x:v>Ngày hội tuyển sinh</x:v>
      </x:c>
      <x:c r="F49" t="str">
        <x:v>Partner Channel</x:v>
      </x:c>
      <x:c r="G49" t="str">
        <x:v>In ấn brochure</x:v>
      </x:c>
      <x:c r="H49" t="str">
        <x:v>Kinh phí cho in ấn brochure thuộc chương trình ngày hội tuyển sinh</x:v>
      </x:c>
      <x:c r="I49" t="str">
        <x:v>Event Coordinator</x:v>
      </x:c>
      <x:c r="J49" t="n">
        <x:v>3</x:v>
      </x:c>
      <x:c r="K49" s="12" t="n">
        <x:v>15000000</x:v>
      </x:c>
      <x:c r="L49" s="12" t="n">
        <x:f>J49*K49</x:f>
        <x:v>45000000</x:v>
      </x:c>
      <x:c r="M49" t="str">
        <x:v>Trung bình</x:v>
      </x:c>
      <x:c r="N49" t="str">
        <x:v>Chờ duyệt</x:v>
      </x:c>
      <x:c r="O49" t="str"/>
    </x:row>
    <x:row r="50">
      <x:c r="A50" t="str">
        <x:v>DT-TS-2026-049</x:v>
      </x:c>
      <x:c r="B50" t="n">
        <x:v>2026</x:v>
      </x:c>
      <x:c r="C50" t="str">
        <x:v>Q1</x:v>
      </x:c>
      <x:c r="D50" t="str">
        <x:v>2026-01</x:v>
      </x:c>
      <x:c r="E50" t="str">
        <x:v>Sản xuất học liệu truyền thông</x:v>
      </x:c>
      <x:c r="F50" t="str">
        <x:v>Online</x:v>
      </x:c>
      <x:c r="G50" t="str">
        <x:v>Livestream tư vấn</x:v>
      </x:c>
      <x:c r="H50" t="str">
        <x:v>Kinh phí cho livestream tư vấn thuộc chương trình sản xuất học liệu truyền thông</x:v>
      </x:c>
      <x:c r="I50" t="str">
        <x:v>Digital Lead</x:v>
      </x:c>
      <x:c r="J50" t="n">
        <x:v>3</x:v>
      </x:c>
      <x:c r="K50" s="12" t="n">
        <x:v>20000000</x:v>
      </x:c>
      <x:c r="L50" s="12" t="n">
        <x:f>J50*K50</x:f>
        <x:v>60000000</x:v>
      </x:c>
      <x:c r="M50" t="str">
        <x:v>Trung bình</x:v>
      </x:c>
      <x:c r="N50" t="str">
        <x:v>Chờ duyệt</x:v>
      </x:c>
      <x:c r="O50" t="str"/>
    </x:row>
    <x:row r="51">
      <x:c r="A51" t="str">
        <x:v>DT-TS-2026-050</x:v>
      </x:c>
      <x:c r="B51" t="n">
        <x:v>2026</x:v>
      </x:c>
      <x:c r="C51" t="str">
        <x:v>Q1</x:v>
      </x:c>
      <x:c r="D51" t="str">
        <x:v>2026-02</x:v>
      </x:c>
      <x:c r="E51" t="str">
        <x:v>Open Day / Campus Tour</x:v>
      </x:c>
      <x:c r="F51" t="str">
        <x:v>Online</x:v>
      </x:c>
      <x:c r="G51" t="str">
        <x:v>Quảng cáo Facebook/Instagram</x:v>
      </x:c>
      <x:c r="H51" t="str">
        <x:v>Kinh phí cho quảng cáo facebook/instagram thuộc chương trình open day / campus tour</x:v>
      </x:c>
      <x:c r="I51" t="str">
        <x:v>Digital Lead</x:v>
      </x:c>
      <x:c r="J51" t="n">
        <x:v>5</x:v>
      </x:c>
      <x:c r="K51" s="12" t="n">
        <x:v>8000000</x:v>
      </x:c>
      <x:c r="L51" s="12" t="n">
        <x:f>J51*K51</x:f>
        <x:v>40000000</x:v>
      </x:c>
      <x:c r="M51" t="str">
        <x:v>Cao</x:v>
      </x:c>
      <x:c r="N51" t="str">
        <x:v>Chờ duyệt</x:v>
      </x:c>
      <x:c r="O51" t="str"/>
    </x:row>
    <x:row r="52">
      <x:c r="A52" t="str">
        <x:v>DT-TS-2026-051</x:v>
      </x:c>
      <x:c r="B52" t="n">
        <x:v>2026</x:v>
      </x:c>
      <x:c r="C52" t="str">
        <x:v>Q1</x:v>
      </x:c>
      <x:c r="D52" t="str">
        <x:v>2026-03</x:v>
      </x:c>
      <x:c r="E52" t="str">
        <x:v>Tư vấn tuyển sinh THPT</x:v>
      </x:c>
      <x:c r="F52" t="str">
        <x:v>Partner Channel</x:v>
      </x:c>
      <x:c r="G52" t="str">
        <x:v>Tổ chức booth tư vấn</x:v>
      </x:c>
      <x:c r="H52" t="str">
        <x:v>Kinh phí cho tổ chức booth tư vấn thuộc chương trình tư vấn tuyển sinh thpt</x:v>
      </x:c>
      <x:c r="I52" t="str">
        <x:v>Admissions Manager</x:v>
      </x:c>
      <x:c r="J52" t="n">
        <x:v>100</x:v>
      </x:c>
      <x:c r="K52" s="12" t="n">
        <x:v>10000000</x:v>
      </x:c>
      <x:c r="L52" s="12" t="n">
        <x:f>J52*K52</x:f>
        <x:v>1000000000</x:v>
      </x:c>
      <x:c r="M52" t="str">
        <x:v>Thấp</x:v>
      </x:c>
      <x:c r="N52" t="str">
        <x:v>Chờ duyệt</x:v>
      </x:c>
      <x:c r="O52" t="str"/>
    </x:row>
    <x:row r="53">
      <x:c r="A53" t="str">
        <x:v>DT-TS-2026-052</x:v>
      </x:c>
      <x:c r="B53" t="n">
        <x:v>2026</x:v>
      </x:c>
      <x:c r="C53" t="str">
        <x:v>Q2</x:v>
      </x:c>
      <x:c r="D53" t="str">
        <x:v>2026-04</x:v>
      </x:c>
      <x:c r="E53" t="str">
        <x:v>Open Day / Campus Tour</x:v>
      </x:c>
      <x:c r="F53" t="str">
        <x:v>Online</x:v>
      </x:c>
      <x:c r="G53" t="str">
        <x:v>Chi phí email/SMS</x:v>
      </x:c>
      <x:c r="H53" t="str">
        <x:v>Kinh phí cho chi phí email/sms thuộc chương trình open day / campus tour</x:v>
      </x:c>
      <x:c r="I53" t="str">
        <x:v>Admissions Manager</x:v>
      </x:c>
      <x:c r="J53" t="n">
        <x:v>3</x:v>
      </x:c>
      <x:c r="K53" s="12" t="n">
        <x:v>10000000</x:v>
      </x:c>
      <x:c r="L53" s="12" t="n">
        <x:f>J53*K53</x:f>
        <x:v>30000000</x:v>
      </x:c>
      <x:c r="M53" t="str">
        <x:v>Trung bình</x:v>
      </x:c>
      <x:c r="N53" t="str">
        <x:v>Đã duyệt</x:v>
      </x:c>
      <x:c r="O53" t="str"/>
    </x:row>
    <x:row r="54">
      <x:c r="A54" t="str">
        <x:v>DT-TS-2026-053</x:v>
      </x:c>
      <x:c r="B54" t="n">
        <x:v>2026</x:v>
      </x:c>
      <x:c r="C54" t="str">
        <x:v>Q2</x:v>
      </x:c>
      <x:c r="D54" t="str">
        <x:v>2026-05</x:v>
      </x:c>
      <x:c r="E54" t="str">
        <x:v>Tuyển sinh sau đại học</x:v>
      </x:c>
      <x:c r="F54" t="str">
        <x:v>Hybrid</x:v>
      </x:c>
      <x:c r="G54" t="str">
        <x:v>Chi phí email/SMS</x:v>
      </x:c>
      <x:c r="H54" t="str">
        <x:v>Kinh phí cho chi phí email/sms thuộc chương trình tuyển sinh sau đại học</x:v>
      </x:c>
      <x:c r="I54" t="str">
        <x:v>Admissions Manager</x:v>
      </x:c>
      <x:c r="J54" t="n">
        <x:v>500</x:v>
      </x:c>
      <x:c r="K54" s="12" t="n">
        <x:v>2500000</x:v>
      </x:c>
      <x:c r="L54" s="12" t="n">
        <x:f>J54*K54</x:f>
        <x:v>1250000000</x:v>
      </x:c>
      <x:c r="M54" t="str">
        <x:v>Trung bình</x:v>
      </x:c>
      <x:c r="N54" t="str">
        <x:v>Chờ duyệt</x:v>
      </x:c>
      <x:c r="O54" t="str"/>
    </x:row>
    <x:row r="55">
      <x:c r="A55" t="str">
        <x:v>DT-TS-2026-054</x:v>
      </x:c>
      <x:c r="B55" t="n">
        <x:v>2026</x:v>
      </x:c>
      <x:c r="C55" t="str">
        <x:v>Q2</x:v>
      </x:c>
      <x:c r="D55" t="str">
        <x:v>2026-06</x:v>
      </x:c>
      <x:c r="E55" t="str">
        <x:v>Tuyển sinh đại học chính quy</x:v>
      </x:c>
      <x:c r="F55" t="str">
        <x:v>Offline</x:v>
      </x:c>
      <x:c r="G55" t="str">
        <x:v>Đào tạo nhân sự</x:v>
      </x:c>
      <x:c r="H55" t="str">
        <x:v>Kinh phí cho đào tạo nhân sự thuộc chương trình tuyển sinh đại học chính quy</x:v>
      </x:c>
      <x:c r="I55" t="str">
        <x:v>Event Coordinator</x:v>
      </x:c>
      <x:c r="J55" t="n">
        <x:v>50</x:v>
      </x:c>
      <x:c r="K55" s="12" t="n">
        <x:v>2500000</x:v>
      </x:c>
      <x:c r="L55" s="12" t="n">
        <x:f>J55*K55</x:f>
        <x:v>125000000</x:v>
      </x:c>
      <x:c r="M55" t="str">
        <x:v>Cao</x:v>
      </x:c>
      <x:c r="N55" t="str">
        <x:v>Đã duyệt</x:v>
      </x:c>
      <x:c r="O55" t="str"/>
    </x:row>
    <x:row r="56">
      <x:c r="A56" t="str">
        <x:v>DT-TS-2026-055</x:v>
      </x:c>
      <x:c r="B56" t="n">
        <x:v>2026</x:v>
      </x:c>
      <x:c r="C56" t="str">
        <x:v>Q3</x:v>
      </x:c>
      <x:c r="D56" t="str">
        <x:v>2026-07</x:v>
      </x:c>
      <x:c r="E56" t="str">
        <x:v>Digital Admission Campaign</x:v>
      </x:c>
      <x:c r="F56" t="str">
        <x:v>Offline</x:v>
      </x:c>
      <x:c r="G56" t="str">
        <x:v>Thiết kế landing page</x:v>
      </x:c>
      <x:c r="H56" t="str">
        <x:v>Kinh phí cho thiết kế landing page thuộc chương trình digital admission campaign</x:v>
      </x:c>
      <x:c r="I56" t="str">
        <x:v>Event Coordinator</x:v>
      </x:c>
      <x:c r="J56" t="n">
        <x:v>1</x:v>
      </x:c>
      <x:c r="K56" s="12" t="n">
        <x:v>50000000</x:v>
      </x:c>
      <x:c r="L56" s="12" t="n">
        <x:f>J56*K56</x:f>
        <x:v>50000000</x:v>
      </x:c>
      <x:c r="M56" t="str">
        <x:v>Cao</x:v>
      </x:c>
      <x:c r="N56" t="str">
        <x:v>Đã duyệt</x:v>
      </x:c>
      <x:c r="O56" t="str"/>
    </x:row>
    <x:row r="57">
      <x:c r="A57" t="str">
        <x:v>DT-TS-2026-056</x:v>
      </x:c>
      <x:c r="B57" t="n">
        <x:v>2026</x:v>
      </x:c>
      <x:c r="C57" t="str">
        <x:v>Q3</x:v>
      </x:c>
      <x:c r="D57" t="str">
        <x:v>2026-08</x:v>
      </x:c>
      <x:c r="E57" t="str">
        <x:v>Học bổng tuyển sinh</x:v>
      </x:c>
      <x:c r="F57" t="str">
        <x:v>Online</x:v>
      </x:c>
      <x:c r="G57" t="str">
        <x:v>Tổ chức booth tư vấn</x:v>
      </x:c>
      <x:c r="H57" t="str">
        <x:v>Kinh phí cho tổ chức booth tư vấn thuộc chương trình học bổng tuyển sinh</x:v>
      </x:c>
      <x:c r="I57" t="str">
        <x:v>Admissions Officer</x:v>
      </x:c>
      <x:c r="J57" t="n">
        <x:v>30</x:v>
      </x:c>
      <x:c r="K57" s="12" t="n">
        <x:v>30000000</x:v>
      </x:c>
      <x:c r="L57" s="12" t="n">
        <x:f>J57*K57</x:f>
        <x:v>900000000</x:v>
      </x:c>
      <x:c r="M57" t="str">
        <x:v>Trung bình</x:v>
      </x:c>
      <x:c r="N57" t="str">
        <x:v>Đã duyệt</x:v>
      </x:c>
      <x:c r="O57" t="str"/>
    </x:row>
    <x:row r="58">
      <x:c r="A58" t="str">
        <x:v>DT-TS-2026-057</x:v>
      </x:c>
      <x:c r="B58" t="n">
        <x:v>2026</x:v>
      </x:c>
      <x:c r="C58" t="str">
        <x:v>Q3</x:v>
      </x:c>
      <x:c r="D58" t="str">
        <x:v>2026-09</x:v>
      </x:c>
      <x:c r="E58" t="str">
        <x:v>Đào tạo cộng tác viên tuyển sinh</x:v>
      </x:c>
      <x:c r="F58" t="str">
        <x:v>Partner Channel</x:v>
      </x:c>
      <x:c r="G58" t="str">
        <x:v>In ấn brochure</x:v>
      </x:c>
      <x:c r="H58" t="str">
        <x:v>Kinh phí cho in ấn brochure thuộc chương trình đào tạo cộng tác viên tuyển sinh</x:v>
      </x:c>
      <x:c r="I58" t="str">
        <x:v>Event Coordinator</x:v>
      </x:c>
      <x:c r="J58" t="n">
        <x:v>1</x:v>
      </x:c>
      <x:c r="K58" s="12" t="n">
        <x:v>1000000</x:v>
      </x:c>
      <x:c r="L58" s="12" t="n">
        <x:f>J58*K58</x:f>
        <x:v>1000000</x:v>
      </x:c>
      <x:c r="M58" t="str">
        <x:v>Cao</x:v>
      </x:c>
      <x:c r="N58" t="str">
        <x:v>Đã duyệt</x:v>
      </x:c>
      <x:c r="O58" t="str"/>
    </x:row>
    <x:row r="59">
      <x:c r="A59" t="str">
        <x:v>DT-TS-2026-058</x:v>
      </x:c>
      <x:c r="B59" t="n">
        <x:v>2026</x:v>
      </x:c>
      <x:c r="C59" t="str">
        <x:v>Q4</x:v>
      </x:c>
      <x:c r="D59" t="str">
        <x:v>2026-10</x:v>
      </x:c>
      <x:c r="E59" t="str">
        <x:v>Tuyển sinh sau đại học</x:v>
      </x:c>
      <x:c r="F59" t="str">
        <x:v>School Visit</x:v>
      </x:c>
      <x:c r="G59" t="str">
        <x:v>Chi phí diễn giả</x:v>
      </x:c>
      <x:c r="H59" t="str">
        <x:v>Kinh phí cho chi phí diễn giả thuộc chương trình tuyển sinh sau đại học</x:v>
      </x:c>
      <x:c r="I59" t="str">
        <x:v>Scholarship Officer</x:v>
      </x:c>
      <x:c r="J59" t="n">
        <x:v>100</x:v>
      </x:c>
      <x:c r="K59" s="12" t="n">
        <x:v>1000000</x:v>
      </x:c>
      <x:c r="L59" s="12" t="n">
        <x:f>J59*K59</x:f>
        <x:v>100000000</x:v>
      </x:c>
      <x:c r="M59" t="str">
        <x:v>Cao</x:v>
      </x:c>
      <x:c r="N59" t="str">
        <x:v>Chờ duyệt</x:v>
      </x:c>
      <x:c r="O59" t="str"/>
    </x:row>
    <x:row r="60">
      <x:c r="A60" t="str">
        <x:v>DT-TS-2026-059</x:v>
      </x:c>
      <x:c r="B60" t="n">
        <x:v>2026</x:v>
      </x:c>
      <x:c r="C60" t="str">
        <x:v>Q4</x:v>
      </x:c>
      <x:c r="D60" t="str">
        <x:v>2026-11</x:v>
      </x:c>
      <x:c r="E60" t="str">
        <x:v>Tuyển sinh sau đại học</x:v>
      </x:c>
      <x:c r="F60" t="str">
        <x:v>Offline</x:v>
      </x:c>
      <x:c r="G60" t="str">
        <x:v>Quảng cáo Facebook/Instagram</x:v>
      </x:c>
      <x:c r="H60" t="str">
        <x:v>Kinh phí cho quảng cáo facebook/instagram thuộc chương trình tuyển sinh sau đại học</x:v>
      </x:c>
      <x:c r="I60" t="str">
        <x:v>Digital Lead</x:v>
      </x:c>
      <x:c r="J60" t="n">
        <x:v>100</x:v>
      </x:c>
      <x:c r="K60" s="12" t="n">
        <x:v>20000000</x:v>
      </x:c>
      <x:c r="L60" s="12" t="n">
        <x:f>J60*K60</x:f>
        <x:v>2000000000</x:v>
      </x:c>
      <x:c r="M60" t="str">
        <x:v>Cao</x:v>
      </x:c>
      <x:c r="N60" t="str">
        <x:v>Tạm dừng</x:v>
      </x:c>
      <x:c r="O60" t="str"/>
    </x:row>
    <x:row r="61">
      <x:c r="A61" t="str">
        <x:v>DT-TS-2026-060</x:v>
      </x:c>
      <x:c r="B61" t="n">
        <x:v>2026</x:v>
      </x:c>
      <x:c r="C61" t="str">
        <x:v>Q4</x:v>
      </x:c>
      <x:c r="D61" t="str">
        <x:v>2026-12</x:v>
      </x:c>
      <x:c r="E61" t="str">
        <x:v>Sự kiện phụ huynh</x:v>
      </x:c>
      <x:c r="F61" t="str">
        <x:v>Online</x:v>
      </x:c>
      <x:c r="G61" t="str">
        <x:v>Chi phí diễn giả</x:v>
      </x:c>
      <x:c r="H61" t="str">
        <x:v>Kinh phí cho chi phí diễn giả thuộc chương trình sự kiện phụ huynh</x:v>
      </x:c>
      <x:c r="I61" t="str">
        <x:v>Digital Lead</x:v>
      </x:c>
      <x:c r="J61" t="n">
        <x:v>10</x:v>
      </x:c>
      <x:c r="K61" s="12" t="n">
        <x:v>50000000</x:v>
      </x:c>
      <x:c r="L61" s="12" t="n">
        <x:f>J61*K61</x:f>
        <x:v>500000000</x:v>
      </x:c>
      <x:c r="M61" t="str">
        <x:v>Cao</x:v>
      </x:c>
      <x:c r="N61" t="str">
        <x:v>Đã duyệt</x:v>
      </x:c>
      <x:c r="O61" t="str"/>
    </x:row>
    <x:row r="62">
      <x:c r="A62" t="str">
        <x:v>DT-TS-2026-061</x:v>
      </x:c>
      <x:c r="B62" t="n">
        <x:v>2026</x:v>
      </x:c>
      <x:c r="C62" t="str">
        <x:v>Q1</x:v>
      </x:c>
      <x:c r="D62" t="str">
        <x:v>2026-01</x:v>
      </x:c>
      <x:c r="E62" t="str">
        <x:v>Sự kiện phụ huynh</x:v>
      </x:c>
      <x:c r="F62" t="str">
        <x:v>Partner Channel</x:v>
      </x:c>
      <x:c r="G62" t="str">
        <x:v>Chi phí đi lại công tác</x:v>
      </x:c>
      <x:c r="H62" t="str">
        <x:v>Kinh phí cho chi phí đi lại công tác thuộc chương trình sự kiện phụ huynh</x:v>
      </x:c>
      <x:c r="I62" t="str">
        <x:v>Admissions Manager</x:v>
      </x:c>
      <x:c r="J62" t="n">
        <x:v>1000</x:v>
      </x:c>
      <x:c r="K62" s="12" t="n">
        <x:v>5000000</x:v>
      </x:c>
      <x:c r="L62" s="12" t="n">
        <x:f>J62*K62</x:f>
        <x:v>5000000000</x:v>
      </x:c>
      <x:c r="M62" t="str">
        <x:v>Cao</x:v>
      </x:c>
      <x:c r="N62" t="str">
        <x:v>Đã duyệt</x:v>
      </x:c>
      <x:c r="O62" t="str"/>
    </x:row>
    <x:row r="63">
      <x:c r="A63" t="str">
        <x:v>DT-TS-2026-062</x:v>
      </x:c>
      <x:c r="B63" t="n">
        <x:v>2026</x:v>
      </x:c>
      <x:c r="C63" t="str">
        <x:v>Q1</x:v>
      </x:c>
      <x:c r="D63" t="str">
        <x:v>2026-02</x:v>
      </x:c>
      <x:c r="E63" t="str">
        <x:v>Tuyển sinh sau đại học</x:v>
      </x:c>
      <x:c r="F63" t="str">
        <x:v>Partner Channel</x:v>
      </x:c>
      <x:c r="G63" t="str">
        <x:v>Phần mềm CRM</x:v>
      </x:c>
      <x:c r="H63" t="str">
        <x:v>Kinh phí cho phần mềm crm thuộc chương trình tuyển sinh sau đại học</x:v>
      </x:c>
      <x:c r="I63" t="str">
        <x:v>Scholarship Officer</x:v>
      </x:c>
      <x:c r="J63" t="n">
        <x:v>1000</x:v>
      </x:c>
      <x:c r="K63" s="12" t="n">
        <x:v>1500000</x:v>
      </x:c>
      <x:c r="L63" s="12" t="n">
        <x:f>J63*K63</x:f>
        <x:v>1500000000</x:v>
      </x:c>
      <x:c r="M63" t="str">
        <x:v>Cao</x:v>
      </x:c>
      <x:c r="N63" t="str">
        <x:v>Đã duyệt</x:v>
      </x:c>
      <x:c r="O63" t="str"/>
    </x:row>
    <x:row r="64">
      <x:c r="A64" t="str">
        <x:v>DT-TS-2026-063</x:v>
      </x:c>
      <x:c r="B64" t="n">
        <x:v>2026</x:v>
      </x:c>
      <x:c r="C64" t="str">
        <x:v>Q1</x:v>
      </x:c>
      <x:c r="D64" t="str">
        <x:v>2026-03</x:v>
      </x:c>
      <x:c r="E64" t="str">
        <x:v>Tuyển sinh đại học chính quy</x:v>
      </x:c>
      <x:c r="F64" t="str">
        <x:v>School Visit</x:v>
      </x:c>
      <x:c r="G64" t="str">
        <x:v>In ấn brochure</x:v>
      </x:c>
      <x:c r="H64" t="str">
        <x:v>Kinh phí cho in ấn brochure thuộc chương trình tuyển sinh đại học chính quy</x:v>
      </x:c>
      <x:c r="I64" t="str">
        <x:v>Scholarship Officer</x:v>
      </x:c>
      <x:c r="J64" t="n">
        <x:v>5</x:v>
      </x:c>
      <x:c r="K64" s="12" t="n">
        <x:v>2500000</x:v>
      </x:c>
      <x:c r="L64" s="12" t="n">
        <x:f>J64*K64</x:f>
        <x:v>12500000</x:v>
      </x:c>
      <x:c r="M64" t="str">
        <x:v>Trung bình</x:v>
      </x:c>
      <x:c r="N64" t="str">
        <x:v>Đã duyệt</x:v>
      </x:c>
      <x:c r="O64" t="str"/>
    </x:row>
    <x:row r="65">
      <x:c r="A65" t="str">
        <x:v>DT-TS-2026-064</x:v>
      </x:c>
      <x:c r="B65" t="n">
        <x:v>2026</x:v>
      </x:c>
      <x:c r="C65" t="str">
        <x:v>Q2</x:v>
      </x:c>
      <x:c r="D65" t="str">
        <x:v>2026-04</x:v>
      </x:c>
      <x:c r="E65" t="str">
        <x:v>International Recruitment</x:v>
      </x:c>
      <x:c r="F65" t="str">
        <x:v>Partner Channel</x:v>
      </x:c>
      <x:c r="G65" t="str">
        <x:v>Thuê địa điểm sự kiện</x:v>
      </x:c>
      <x:c r="H65" t="str">
        <x:v>Kinh phí cho thuê địa điểm sự kiện thuộc chương trình international recruitment</x:v>
      </x:c>
      <x:c r="I65" t="str">
        <x:v>Event Coordinator</x:v>
      </x:c>
      <x:c r="J65" t="n">
        <x:v>500</x:v>
      </x:c>
      <x:c r="K65" s="12" t="n">
        <x:v>2500000</x:v>
      </x:c>
      <x:c r="L65" s="12" t="n">
        <x:f>J65*K65</x:f>
        <x:v>1250000000</x:v>
      </x:c>
      <x:c r="M65" t="str">
        <x:v>Trung bình</x:v>
      </x:c>
      <x:c r="N65" t="str">
        <x:v>Tạm dừng</x:v>
      </x:c>
      <x:c r="O65" t="str"/>
    </x:row>
    <x:row r="66">
      <x:c r="A66" t="str">
        <x:v>DT-TS-2026-065</x:v>
      </x:c>
      <x:c r="B66" t="n">
        <x:v>2026</x:v>
      </x:c>
      <x:c r="C66" t="str">
        <x:v>Q2</x:v>
      </x:c>
      <x:c r="D66" t="str">
        <x:v>2026-05</x:v>
      </x:c>
      <x:c r="E66" t="str">
        <x:v>Sản xuất học liệu truyền thông</x:v>
      </x:c>
      <x:c r="F66" t="str">
        <x:v>Hybrid</x:v>
      </x:c>
      <x:c r="G66" t="str">
        <x:v>Sản xuất video tuyển sinh</x:v>
      </x:c>
      <x:c r="H66" t="str">
        <x:v>Kinh phí cho sản xuất video tuyển sinh thuộc chương trình sản xuất học liệu truyền thông</x:v>
      </x:c>
      <x:c r="I66" t="str">
        <x:v>Scholarship Officer</x:v>
      </x:c>
      <x:c r="J66" t="n">
        <x:v>500</x:v>
      </x:c>
      <x:c r="K66" s="12" t="n">
        <x:v>1000000</x:v>
      </x:c>
      <x:c r="L66" s="12" t="n">
        <x:f>J66*K66</x:f>
        <x:v>500000000</x:v>
      </x:c>
      <x:c r="M66" t="str">
        <x:v>Trung bình</x:v>
      </x:c>
      <x:c r="N66" t="str">
        <x:v>Đã duyệt</x:v>
      </x:c>
      <x:c r="O66" t="str"/>
    </x:row>
    <x:row r="67">
      <x:c r="A67" t="str">
        <x:v>DT-TS-2026-066</x:v>
      </x:c>
      <x:c r="B67" t="n">
        <x:v>2026</x:v>
      </x:c>
      <x:c r="C67" t="str">
        <x:v>Q2</x:v>
      </x:c>
      <x:c r="D67" t="str">
        <x:v>2026-06</x:v>
      </x:c>
      <x:c r="E67" t="str">
        <x:v>Tư vấn tuyển sinh THPT</x:v>
      </x:c>
      <x:c r="F67" t="str">
        <x:v>Hybrid</x:v>
      </x:c>
      <x:c r="G67" t="str">
        <x:v>Đào tạo nhân sự</x:v>
      </x:c>
      <x:c r="H67" t="str">
        <x:v>Kinh phí cho đào tạo nhân sự thuộc chương trình tư vấn tuyển sinh thpt</x:v>
      </x:c>
      <x:c r="I67" t="str">
        <x:v>Admissions Manager</x:v>
      </x:c>
      <x:c r="J67" t="n">
        <x:v>4</x:v>
      </x:c>
      <x:c r="K67" s="12" t="n">
        <x:v>50000000</x:v>
      </x:c>
      <x:c r="L67" s="12" t="n">
        <x:f>J67*K67</x:f>
        <x:v>200000000</x:v>
      </x:c>
      <x:c r="M67" t="str">
        <x:v>Trung bình</x:v>
      </x:c>
      <x:c r="N67" t="str">
        <x:v>Chờ duyệt</x:v>
      </x:c>
      <x:c r="O67" t="str"/>
    </x:row>
    <x:row r="68">
      <x:c r="A68" t="str">
        <x:v>DT-TS-2026-067</x:v>
      </x:c>
      <x:c r="B68" t="n">
        <x:v>2026</x:v>
      </x:c>
      <x:c r="C68" t="str">
        <x:v>Q3</x:v>
      </x:c>
      <x:c r="D68" t="str">
        <x:v>2026-07</x:v>
      </x:c>
      <x:c r="E68" t="str">
        <x:v>Tuyển sinh đại học chính quy</x:v>
      </x:c>
      <x:c r="F68" t="str">
        <x:v>Online</x:v>
      </x:c>
      <x:c r="G68" t="str">
        <x:v>Thiết kế landing page</x:v>
      </x:c>
      <x:c r="H68" t="str">
        <x:v>Kinh phí cho thiết kế landing page thuộc chương trình tuyển sinh đại học chính quy</x:v>
      </x:c>
      <x:c r="I68" t="str">
        <x:v>Event Coordinator</x:v>
      </x:c>
      <x:c r="J68" t="n">
        <x:v>50</x:v>
      </x:c>
      <x:c r="K68" s="12" t="n">
        <x:v>30000000</x:v>
      </x:c>
      <x:c r="L68" s="12" t="n">
        <x:f>J68*K68</x:f>
        <x:v>1500000000</x:v>
      </x:c>
      <x:c r="M68" t="str">
        <x:v>Cao</x:v>
      </x:c>
      <x:c r="N68" t="str">
        <x:v>Đã duyệt</x:v>
      </x:c>
      <x:c r="O68" t="str"/>
    </x:row>
    <x:row r="69">
      <x:c r="A69" t="str">
        <x:v>DT-TS-2026-068</x:v>
      </x:c>
      <x:c r="B69" t="n">
        <x:v>2026</x:v>
      </x:c>
      <x:c r="C69" t="str">
        <x:v>Q3</x:v>
      </x:c>
      <x:c r="D69" t="str">
        <x:v>2026-08</x:v>
      </x:c>
      <x:c r="E69" t="str">
        <x:v>Digital Admission Campaign</x:v>
      </x:c>
      <x:c r="F69" t="str">
        <x:v>Offline</x:v>
      </x:c>
      <x:c r="G69" t="str">
        <x:v>Học bổng đầu vào</x:v>
      </x:c>
      <x:c r="H69" t="str">
        <x:v>Kinh phí cho học bổng đầu vào thuộc chương trình digital admission campaign</x:v>
      </x:c>
      <x:c r="I69" t="str">
        <x:v>Admissions Manager</x:v>
      </x:c>
      <x:c r="J69" t="n">
        <x:v>30</x:v>
      </x:c>
      <x:c r="K69" s="12" t="n">
        <x:v>50000000</x:v>
      </x:c>
      <x:c r="L69" s="12" t="n">
        <x:f>J69*K69</x:f>
        <x:v>1500000000</x:v>
      </x:c>
      <x:c r="M69" t="str">
        <x:v>Trung bình</x:v>
      </x:c>
      <x:c r="N69" t="str">
        <x:v>Chờ duyệt</x:v>
      </x:c>
      <x:c r="O69" t="str"/>
    </x:row>
    <x:row r="70">
      <x:c r="A70" t="str">
        <x:v>DT-TS-2026-069</x:v>
      </x:c>
      <x:c r="B70" t="n">
        <x:v>2026</x:v>
      </x:c>
      <x:c r="C70" t="str">
        <x:v>Q3</x:v>
      </x:c>
      <x:c r="D70" t="str">
        <x:v>2026-09</x:v>
      </x:c>
      <x:c r="E70" t="str">
        <x:v>Tư vấn tuyển sinh THPT</x:v>
      </x:c>
      <x:c r="F70" t="str">
        <x:v>Offline</x:v>
      </x:c>
      <x:c r="G70" t="str">
        <x:v>Chi phí email/SMS</x:v>
      </x:c>
      <x:c r="H70" t="str">
        <x:v>Kinh phí cho chi phí email/sms thuộc chương trình tư vấn tuyển sinh thpt</x:v>
      </x:c>
      <x:c r="I70" t="str">
        <x:v>Scholarship Officer</x:v>
      </x:c>
      <x:c r="J70" t="n">
        <x:v>20</x:v>
      </x:c>
      <x:c r="K70" s="12" t="n">
        <x:v>2500000</x:v>
      </x:c>
      <x:c r="L70" s="12" t="n">
        <x:f>J70*K70</x:f>
        <x:v>50000000</x:v>
      </x:c>
      <x:c r="M70" t="str">
        <x:v>Cao</x:v>
      </x:c>
      <x:c r="N70" t="str">
        <x:v>Đã duyệt</x:v>
      </x:c>
      <x:c r="O70" t="str"/>
    </x:row>
    <x:row r="71">
      <x:c r="A71" t="str">
        <x:v>DT-TS-2026-070</x:v>
      </x:c>
      <x:c r="B71" t="n">
        <x:v>2026</x:v>
      </x:c>
      <x:c r="C71" t="str">
        <x:v>Q4</x:v>
      </x:c>
      <x:c r="D71" t="str">
        <x:v>2026-10</x:v>
      </x:c>
      <x:c r="E71" t="str">
        <x:v>Tư vấn tuyển sinh THPT</x:v>
      </x:c>
      <x:c r="F71" t="str">
        <x:v>Partner Channel</x:v>
      </x:c>
      <x:c r="G71" t="str">
        <x:v>Thuê địa điểm sự kiện</x:v>
      </x:c>
      <x:c r="H71" t="str">
        <x:v>Kinh phí cho thuê địa điểm sự kiện thuộc chương trình tư vấn tuyển sinh thpt</x:v>
      </x:c>
      <x:c r="I71" t="str">
        <x:v>Scholarship Officer</x:v>
      </x:c>
      <x:c r="J71" t="n">
        <x:v>3</x:v>
      </x:c>
      <x:c r="K71" s="12" t="n">
        <x:v>15000000</x:v>
      </x:c>
      <x:c r="L71" s="12" t="n">
        <x:f>J71*K71</x:f>
        <x:v>45000000</x:v>
      </x:c>
      <x:c r="M71" t="str">
        <x:v>Trung bình</x:v>
      </x:c>
      <x:c r="N71" t="str">
        <x:v>Tạm dừng</x:v>
      </x:c>
      <x:c r="O71" t="str"/>
    </x:row>
    <x:row r="72">
      <x:c r="A72" t="str">
        <x:v>DT-TS-2026-071</x:v>
      </x:c>
      <x:c r="B72" t="n">
        <x:v>2026</x:v>
      </x:c>
      <x:c r="C72" t="str">
        <x:v>Q4</x:v>
      </x:c>
      <x:c r="D72" t="str">
        <x:v>2026-11</x:v>
      </x:c>
      <x:c r="E72" t="str">
        <x:v>International Recruitment</x:v>
      </x:c>
      <x:c r="F72" t="str">
        <x:v>School Visit</x:v>
      </x:c>
      <x:c r="G72" t="str">
        <x:v>Chi phí diễn giả</x:v>
      </x:c>
      <x:c r="H72" t="str">
        <x:v>Kinh phí cho chi phí diễn giả thuộc chương trình international recruitment</x:v>
      </x:c>
      <x:c r="I72" t="str">
        <x:v>Scholarship Officer</x:v>
      </x:c>
      <x:c r="J72" t="n">
        <x:v>1000</x:v>
      </x:c>
      <x:c r="K72" s="12" t="n">
        <x:v>20000000</x:v>
      </x:c>
      <x:c r="L72" s="12" t="n">
        <x:f>J72*K72</x:f>
        <x:v>20000000000</x:v>
      </x:c>
      <x:c r="M72" t="str">
        <x:v>Cao</x:v>
      </x:c>
      <x:c r="N72" t="str">
        <x:v>Chờ duyệt</x:v>
      </x:c>
      <x:c r="O72" t="str"/>
    </x:row>
    <x:row r="73">
      <x:c r="A73" t="str">
        <x:v>DT-TS-2026-072</x:v>
      </x:c>
      <x:c r="B73" t="n">
        <x:v>2026</x:v>
      </x:c>
      <x:c r="C73" t="str">
        <x:v>Q4</x:v>
      </x:c>
      <x:c r="D73" t="str">
        <x:v>2026-12</x:v>
      </x:c>
      <x:c r="E73" t="str">
        <x:v>International Recruitment</x:v>
      </x:c>
      <x:c r="F73" t="str">
        <x:v>Hybrid</x:v>
      </x:c>
      <x:c r="G73" t="str">
        <x:v>Thuê địa điểm sự kiện</x:v>
      </x:c>
      <x:c r="H73" t="str">
        <x:v>Kinh phí cho thuê địa điểm sự kiện thuộc chương trình international recruitment</x:v>
      </x:c>
      <x:c r="I73" t="str">
        <x:v>Scholarship Officer</x:v>
      </x:c>
      <x:c r="J73" t="n">
        <x:v>5</x:v>
      </x:c>
      <x:c r="K73" s="12" t="n">
        <x:v>2500000</x:v>
      </x:c>
      <x:c r="L73" s="12" t="n">
        <x:f>J73*K73</x:f>
        <x:v>12500000</x:v>
      </x:c>
      <x:c r="M73" t="str">
        <x:v>Cao</x:v>
      </x:c>
      <x:c r="N73" t="str">
        <x:v>Chờ duyệt</x:v>
      </x:c>
      <x:c r="O73" t="str"/>
    </x:row>
    <x:row r="74">
      <x:c r="A74" t="str">
        <x:v>DT-TS-2026-073</x:v>
      </x:c>
      <x:c r="B74" t="n">
        <x:v>2026</x:v>
      </x:c>
      <x:c r="C74" t="str">
        <x:v>Q1</x:v>
      </x:c>
      <x:c r="D74" t="str">
        <x:v>2026-01</x:v>
      </x:c>
      <x:c r="E74" t="str">
        <x:v>International Recruitment</x:v>
      </x:c>
      <x:c r="F74" t="str">
        <x:v>Offline</x:v>
      </x:c>
      <x:c r="G74" t="str">
        <x:v>Quảng cáo Google Search</x:v>
      </x:c>
      <x:c r="H74" t="str">
        <x:v>Kinh phí cho quảng cáo google search thuộc chương trình international recruitment</x:v>
      </x:c>
      <x:c r="I74" t="str">
        <x:v>Digital Lead</x:v>
      </x:c>
      <x:c r="J74" t="n">
        <x:v>1000</x:v>
      </x:c>
      <x:c r="K74" s="12" t="n">
        <x:v>5000000</x:v>
      </x:c>
      <x:c r="L74" s="12" t="n">
        <x:f>J74*K74</x:f>
        <x:v>5000000000</x:v>
      </x:c>
      <x:c r="M74" t="str">
        <x:v>Cao</x:v>
      </x:c>
      <x:c r="N74" t="str">
        <x:v>Đã duyệt</x:v>
      </x:c>
      <x:c r="O74" t="str"/>
    </x:row>
    <x:row r="75">
      <x:c r="A75" t="str">
        <x:v>DT-TS-2026-074</x:v>
      </x:c>
      <x:c r="B75" t="n">
        <x:v>2026</x:v>
      </x:c>
      <x:c r="C75" t="str">
        <x:v>Q1</x:v>
      </x:c>
      <x:c r="D75" t="str">
        <x:v>2026-02</x:v>
      </x:c>
      <x:c r="E75" t="str">
        <x:v>Tư vấn tuyển sinh THPT</x:v>
      </x:c>
      <x:c r="F75" t="str">
        <x:v>School Visit</x:v>
      </x:c>
      <x:c r="G75" t="str">
        <x:v>Sản xuất video tuyển sinh</x:v>
      </x:c>
      <x:c r="H75" t="str">
        <x:v>Kinh phí cho sản xuất video tuyển sinh thuộc chương trình tư vấn tuyển sinh thpt</x:v>
      </x:c>
      <x:c r="I75" t="str">
        <x:v>Admissions Manager</x:v>
      </x:c>
      <x:c r="J75" t="n">
        <x:v>3</x:v>
      </x:c>
      <x:c r="K75" s="12" t="n">
        <x:v>2500000</x:v>
      </x:c>
      <x:c r="L75" s="12" t="n">
        <x:f>J75*K75</x:f>
        <x:v>7500000</x:v>
      </x:c>
      <x:c r="M75" t="str">
        <x:v>Trung bình</x:v>
      </x:c>
      <x:c r="N75" t="str">
        <x:v>Chờ duyệt</x:v>
      </x:c>
      <x:c r="O75" t="str"/>
    </x:row>
    <x:row r="76">
      <x:c r="A76" t="str">
        <x:v>DT-TS-2026-075</x:v>
      </x:c>
      <x:c r="B76" t="n">
        <x:v>2026</x:v>
      </x:c>
      <x:c r="C76" t="str">
        <x:v>Q1</x:v>
      </x:c>
      <x:c r="D76" t="str">
        <x:v>2026-03</x:v>
      </x:c>
      <x:c r="E76" t="str">
        <x:v>Tuyển sinh sau đại học</x:v>
      </x:c>
      <x:c r="F76" t="str">
        <x:v>School Visit</x:v>
      </x:c>
      <x:c r="G76" t="str">
        <x:v>Tổ chức booth tư vấn</x:v>
      </x:c>
      <x:c r="H76" t="str">
        <x:v>Kinh phí cho tổ chức booth tư vấn thuộc chương trình tuyển sinh sau đại học</x:v>
      </x:c>
      <x:c r="I76" t="str">
        <x:v>Admissions Officer</x:v>
      </x:c>
      <x:c r="J76" t="n">
        <x:v>100</x:v>
      </x:c>
      <x:c r="K76" s="12" t="n">
        <x:v>15000000</x:v>
      </x:c>
      <x:c r="L76" s="12" t="n">
        <x:f>J76*K76</x:f>
        <x:v>1500000000</x:v>
      </x:c>
      <x:c r="M76" t="str">
        <x:v>Cao</x:v>
      </x:c>
      <x:c r="N76" t="str">
        <x:v>Đã duyệt</x:v>
      </x:c>
      <x:c r="O76" t="str"/>
    </x:row>
    <x:row r="77">
      <x:c r="A77" t="str">
        <x:v>DT-TS-2026-076</x:v>
      </x:c>
      <x:c r="B77" t="n">
        <x:v>2026</x:v>
      </x:c>
      <x:c r="C77" t="str">
        <x:v>Q2</x:v>
      </x:c>
      <x:c r="D77" t="str">
        <x:v>2026-04</x:v>
      </x:c>
      <x:c r="E77" t="str">
        <x:v>Đào tạo cộng tác viên tuyển sinh</x:v>
      </x:c>
      <x:c r="F77" t="str">
        <x:v>Online</x:v>
      </x:c>
      <x:c r="G77" t="str">
        <x:v>Học bổng đầu vào</x:v>
      </x:c>
      <x:c r="H77" t="str">
        <x:v>Kinh phí cho học bổng đầu vào thuộc chương trình đào tạo cộng tác viên tuyển sinh</x:v>
      </x:c>
      <x:c r="I77" t="str">
        <x:v>Digital Lead</x:v>
      </x:c>
      <x:c r="J77" t="n">
        <x:v>30</x:v>
      </x:c>
      <x:c r="K77" s="12" t="n">
        <x:v>50000000</x:v>
      </x:c>
      <x:c r="L77" s="12" t="n">
        <x:f>J77*K77</x:f>
        <x:v>1500000000</x:v>
      </x:c>
      <x:c r="M77" t="str">
        <x:v>Cao</x:v>
      </x:c>
      <x:c r="N77" t="str">
        <x:v>Đã duyệt</x:v>
      </x:c>
      <x:c r="O77" t="str"/>
    </x:row>
    <x:row r="78">
      <x:c r="A78" t="str">
        <x:v>DT-TS-2026-077</x:v>
      </x:c>
      <x:c r="B78" t="n">
        <x:v>2026</x:v>
      </x:c>
      <x:c r="C78" t="str">
        <x:v>Q2</x:v>
      </x:c>
      <x:c r="D78" t="str">
        <x:v>2026-05</x:v>
      </x:c>
      <x:c r="E78" t="str">
        <x:v>Tuyển sinh sau đại học</x:v>
      </x:c>
      <x:c r="F78" t="str">
        <x:v>Partner Channel</x:v>
      </x:c>
      <x:c r="G78" t="str">
        <x:v>Quà tặng thí sinh</x:v>
      </x:c>
      <x:c r="H78" t="str">
        <x:v>Kinh phí cho quà tặng thí sinh thuộc chương trình tuyển sinh sau đại học</x:v>
      </x:c>
      <x:c r="I78" t="str">
        <x:v>Admissions Manager</x:v>
      </x:c>
      <x:c r="J78" t="n">
        <x:v>1000</x:v>
      </x:c>
      <x:c r="K78" s="12" t="n">
        <x:v>20000000</x:v>
      </x:c>
      <x:c r="L78" s="12" t="n">
        <x:f>J78*K78</x:f>
        <x:v>20000000000</x:v>
      </x:c>
      <x:c r="M78" t="str">
        <x:v>Cao</x:v>
      </x:c>
      <x:c r="N78" t="str">
        <x:v>Đã duyệt</x:v>
      </x:c>
      <x:c r="O78" t="str"/>
    </x:row>
    <x:row r="79">
      <x:c r="A79" t="str">
        <x:v>DT-TS-2026-078</x:v>
      </x:c>
      <x:c r="B79" t="n">
        <x:v>2026</x:v>
      </x:c>
      <x:c r="C79" t="str">
        <x:v>Q2</x:v>
      </x:c>
      <x:c r="D79" t="str">
        <x:v>2026-06</x:v>
      </x:c>
      <x:c r="E79" t="str">
        <x:v>International Recruitment</x:v>
      </x:c>
      <x:c r="F79" t="str">
        <x:v>School Visit</x:v>
      </x:c>
      <x:c r="G79" t="str">
        <x:v>Quảng cáo Facebook/Instagram</x:v>
      </x:c>
      <x:c r="H79" t="str">
        <x:v>Kinh phí cho quảng cáo facebook/instagram thuộc chương trình international recruitment</x:v>
      </x:c>
      <x:c r="I79" t="str">
        <x:v>Admissions Manager</x:v>
      </x:c>
      <x:c r="J79" t="n">
        <x:v>20</x:v>
      </x:c>
      <x:c r="K79" s="12" t="n">
        <x:v>8000000</x:v>
      </x:c>
      <x:c r="L79" s="12" t="n">
        <x:f>J79*K79</x:f>
        <x:v>160000000</x:v>
      </x:c>
      <x:c r="M79" t="str">
        <x:v>Trung bình</x:v>
      </x:c>
      <x:c r="N79" t="str">
        <x:v>Tạm dừng</x:v>
      </x:c>
      <x:c r="O79" t="str"/>
    </x:row>
    <x:row r="80">
      <x:c r="A80" t="str">
        <x:v>DT-TS-2026-079</x:v>
      </x:c>
      <x:c r="B80" t="n">
        <x:v>2026</x:v>
      </x:c>
      <x:c r="C80" t="str">
        <x:v>Q3</x:v>
      </x:c>
      <x:c r="D80" t="str">
        <x:v>2026-07</x:v>
      </x:c>
      <x:c r="E80" t="str">
        <x:v>Đào tạo cộng tác viên tuyển sinh</x:v>
      </x:c>
      <x:c r="F80" t="str">
        <x:v>Partner Channel</x:v>
      </x:c>
      <x:c r="G80" t="str">
        <x:v>Quà tặng thí sinh</x:v>
      </x:c>
      <x:c r="H80" t="str">
        <x:v>Kinh phí cho quà tặng thí sinh thuộc chương trình đào tạo cộng tác viên tuyển sinh</x:v>
      </x:c>
      <x:c r="I80" t="str">
        <x:v>Scholarship Officer</x:v>
      </x:c>
      <x:c r="J80" t="n">
        <x:v>1</x:v>
      </x:c>
      <x:c r="K80" s="12" t="n">
        <x:v>10000000</x:v>
      </x:c>
      <x:c r="L80" s="12" t="n">
        <x:f>J80*K80</x:f>
        <x:v>10000000</x:v>
      </x:c>
      <x:c r="M80" t="str">
        <x:v>Trung bình</x:v>
      </x:c>
      <x:c r="N80" t="str">
        <x:v>Chờ duyệt</x:v>
      </x:c>
      <x:c r="O80" t="str"/>
    </x:row>
    <x:row r="81">
      <x:c r="A81" t="str">
        <x:v>DT-TS-2026-080</x:v>
      </x:c>
      <x:c r="B81" t="n">
        <x:v>2026</x:v>
      </x:c>
      <x:c r="C81" t="str">
        <x:v>Q3</x:v>
      </x:c>
      <x:c r="D81" t="str">
        <x:v>2026-08</x:v>
      </x:c>
      <x:c r="E81" t="str">
        <x:v>Tuyển sinh sau đại học</x:v>
      </x:c>
      <x:c r="F81" t="str">
        <x:v>Online</x:v>
      </x:c>
      <x:c r="G81" t="str">
        <x:v>Sản xuất video tuyển sinh</x:v>
      </x:c>
      <x:c r="H81" t="str">
        <x:v>Kinh phí cho sản xuất video tuyển sinh thuộc chương trình tuyển sinh sau đại học</x:v>
      </x:c>
      <x:c r="I81" t="str">
        <x:v>Digital Lead</x:v>
      </x:c>
      <x:c r="J81" t="n">
        <x:v>50</x:v>
      </x:c>
      <x:c r="K81" s="12" t="n">
        <x:v>1500000</x:v>
      </x:c>
      <x:c r="L81" s="12" t="n">
        <x:f>J81*K81</x:f>
        <x:v>75000000</x:v>
      </x:c>
      <x:c r="M81" t="str">
        <x:v>Cao</x:v>
      </x:c>
      <x:c r="N81" t="str">
        <x:v>Chờ duyệt</x:v>
      </x:c>
      <x:c r="O81" t="str"/>
    </x:row>
    <x:row r="82">
      <x:c r="A82" t="str">
        <x:v>DT-TS-2026-081</x:v>
      </x:c>
      <x:c r="B82" t="n">
        <x:v>2026</x:v>
      </x:c>
      <x:c r="C82" t="str">
        <x:v>Q3</x:v>
      </x:c>
      <x:c r="D82" t="str">
        <x:v>2026-09</x:v>
      </x:c>
      <x:c r="E82" t="str">
        <x:v>Sự kiện phụ huynh</x:v>
      </x:c>
      <x:c r="F82" t="str">
        <x:v>School Visit</x:v>
      </x:c>
      <x:c r="G82" t="str">
        <x:v>Tổ chức booth tư vấn</x:v>
      </x:c>
      <x:c r="H82" t="str">
        <x:v>Kinh phí cho tổ chức booth tư vấn thuộc chương trình sự kiện phụ huynh</x:v>
      </x:c>
      <x:c r="I82" t="str">
        <x:v>Digital Lead</x:v>
      </x:c>
      <x:c r="J82" t="n">
        <x:v>20</x:v>
      </x:c>
      <x:c r="K82" s="12" t="n">
        <x:v>5000000</x:v>
      </x:c>
      <x:c r="L82" s="12" t="n">
        <x:f>J82*K82</x:f>
        <x:v>100000000</x:v>
      </x:c>
      <x:c r="M82" t="str">
        <x:v>Trung bình</x:v>
      </x:c>
      <x:c r="N82" t="str">
        <x:v>Đã duyệt</x:v>
      </x:c>
      <x:c r="O82" t="str"/>
    </x:row>
    <x:row r="83">
      <x:c r="A83" t="str">
        <x:v>DT-TS-2026-082</x:v>
      </x:c>
      <x:c r="B83" t="n">
        <x:v>2026</x:v>
      </x:c>
      <x:c r="C83" t="str">
        <x:v>Q4</x:v>
      </x:c>
      <x:c r="D83" t="str">
        <x:v>2026-10</x:v>
      </x:c>
      <x:c r="E83" t="str">
        <x:v>Sản xuất học liệu truyền thông</x:v>
      </x:c>
      <x:c r="F83" t="str">
        <x:v>Offline</x:v>
      </x:c>
      <x:c r="G83" t="str">
        <x:v>Quà tặng thí sinh</x:v>
      </x:c>
      <x:c r="H83" t="str">
        <x:v>Kinh phí cho quà tặng thí sinh thuộc chương trình sản xuất học liệu truyền thông</x:v>
      </x:c>
      <x:c r="I83" t="str">
        <x:v>Admissions Officer</x:v>
      </x:c>
      <x:c r="J83" t="n">
        <x:v>1</x:v>
      </x:c>
      <x:c r="K83" s="12" t="n">
        <x:v>8000000</x:v>
      </x:c>
      <x:c r="L83" s="12" t="n">
        <x:f>J83*K83</x:f>
        <x:v>8000000</x:v>
      </x:c>
      <x:c r="M83" t="str">
        <x:v>Trung bình</x:v>
      </x:c>
      <x:c r="N83" t="str">
        <x:v>Đã duyệt</x:v>
      </x:c>
      <x:c r="O83" t="str"/>
    </x:row>
    <x:row r="84">
      <x:c r="A84" t="str">
        <x:v>DT-TS-2026-083</x:v>
      </x:c>
      <x:c r="B84" t="n">
        <x:v>2026</x:v>
      </x:c>
      <x:c r="C84" t="str">
        <x:v>Q4</x:v>
      </x:c>
      <x:c r="D84" t="str">
        <x:v>2026-11</x:v>
      </x:c>
      <x:c r="E84" t="str">
        <x:v>Tuyển sinh đại học chính quy</x:v>
      </x:c>
      <x:c r="F84" t="str">
        <x:v>Partner Channel</x:v>
      </x:c>
      <x:c r="G84" t="str">
        <x:v>Thiết kế landing page</x:v>
      </x:c>
      <x:c r="H84" t="str">
        <x:v>Kinh phí cho thiết kế landing page thuộc chương trình tuyển sinh đại học chính quy</x:v>
      </x:c>
      <x:c r="I84" t="str">
        <x:v>Admissions Manager</x:v>
      </x:c>
      <x:c r="J84" t="n">
        <x:v>4</x:v>
      </x:c>
      <x:c r="K84" s="12" t="n">
        <x:v>500000</x:v>
      </x:c>
      <x:c r="L84" s="12" t="n">
        <x:f>J84*K84</x:f>
        <x:v>2000000</x:v>
      </x:c>
      <x:c r="M84" t="str">
        <x:v>Cao</x:v>
      </x:c>
      <x:c r="N84" t="str">
        <x:v>Đã duyệt</x:v>
      </x:c>
      <x:c r="O84" t="str"/>
    </x:row>
    <x:row r="85">
      <x:c r="A85" t="str">
        <x:v>DT-TS-2026-084</x:v>
      </x:c>
      <x:c r="B85" t="n">
        <x:v>2026</x:v>
      </x:c>
      <x:c r="C85" t="str">
        <x:v>Q4</x:v>
      </x:c>
      <x:c r="D85" t="str">
        <x:v>2026-12</x:v>
      </x:c>
      <x:c r="E85" t="str">
        <x:v>Tư vấn tuyển sinh THPT</x:v>
      </x:c>
      <x:c r="F85" t="str">
        <x:v>Hybrid</x:v>
      </x:c>
      <x:c r="G85" t="str">
        <x:v>Chi phí diễn giả</x:v>
      </x:c>
      <x:c r="H85" t="str">
        <x:v>Kinh phí cho chi phí diễn giả thuộc chương trình tư vấn tuyển sinh thpt</x:v>
      </x:c>
      <x:c r="I85" t="str">
        <x:v>Digital Lead</x:v>
      </x:c>
      <x:c r="J85" t="n">
        <x:v>4</x:v>
      </x:c>
      <x:c r="K85" s="12" t="n">
        <x:v>15000000</x:v>
      </x:c>
      <x:c r="L85" s="12" t="n">
        <x:f>J85*K85</x:f>
        <x:v>60000000</x:v>
      </x:c>
      <x:c r="M85" t="str">
        <x:v>Cao</x:v>
      </x:c>
      <x:c r="N85" t="str">
        <x:v>Đã duyệt</x:v>
      </x:c>
      <x:c r="O85" t="str"/>
    </x:row>
    <x:row r="86">
      <x:c r="A86" t="str">
        <x:v>DT-TS-2026-085</x:v>
      </x:c>
      <x:c r="B86" t="n">
        <x:v>2026</x:v>
      </x:c>
      <x:c r="C86" t="str">
        <x:v>Q1</x:v>
      </x:c>
      <x:c r="D86" t="str">
        <x:v>2026-01</x:v>
      </x:c>
      <x:c r="E86" t="str">
        <x:v>Sản xuất học liệu truyền thông</x:v>
      </x:c>
      <x:c r="F86" t="str">
        <x:v>Partner Channel</x:v>
      </x:c>
      <x:c r="G86" t="str">
        <x:v>Học bổng đầu vào</x:v>
      </x:c>
      <x:c r="H86" t="str">
        <x:v>Kinh phí cho học bổng đầu vào thuộc chương trình sản xuất học liệu truyền thông</x:v>
      </x:c>
      <x:c r="I86" t="str">
        <x:v>Admissions Officer</x:v>
      </x:c>
      <x:c r="J86" t="n">
        <x:v>20</x:v>
      </x:c>
      <x:c r="K86" s="12" t="n">
        <x:v>10000000</x:v>
      </x:c>
      <x:c r="L86" s="12" t="n">
        <x:f>J86*K86</x:f>
        <x:v>200000000</x:v>
      </x:c>
      <x:c r="M86" t="str">
        <x:v>Thấp</x:v>
      </x:c>
      <x:c r="N86" t="str">
        <x:v>Đã duyệt</x:v>
      </x:c>
      <x:c r="O86" t="str"/>
    </x:row>
    <x:row r="87">
      <x:c r="A87" t="str">
        <x:v>DT-TS-2026-086</x:v>
      </x:c>
      <x:c r="B87" t="n">
        <x:v>2026</x:v>
      </x:c>
      <x:c r="C87" t="str">
        <x:v>Q1</x:v>
      </x:c>
      <x:c r="D87" t="str">
        <x:v>2026-02</x:v>
      </x:c>
      <x:c r="E87" t="str">
        <x:v>Tuyển sinh sau đại học</x:v>
      </x:c>
      <x:c r="F87" t="str">
        <x:v>Online</x:v>
      </x:c>
      <x:c r="G87" t="str">
        <x:v>Chi phí đi lại công tác</x:v>
      </x:c>
      <x:c r="H87" t="str">
        <x:v>Kinh phí cho chi phí đi lại công tác thuộc chương trình tuyển sinh sau đại học</x:v>
      </x:c>
      <x:c r="I87" t="str">
        <x:v>Scholarship Officer</x:v>
      </x:c>
      <x:c r="J87" t="n">
        <x:v>1000</x:v>
      </x:c>
      <x:c r="K87" s="12" t="n">
        <x:v>2500000</x:v>
      </x:c>
      <x:c r="L87" s="12" t="n">
        <x:f>J87*K87</x:f>
        <x:v>2500000000</x:v>
      </x:c>
      <x:c r="M87" t="str">
        <x:v>Trung bình</x:v>
      </x:c>
      <x:c r="N87" t="str">
        <x:v>Đã duyệt</x:v>
      </x:c>
      <x:c r="O87" t="str"/>
    </x:row>
    <x:row r="88">
      <x:c r="A88" t="str">
        <x:v>DT-TS-2026-087</x:v>
      </x:c>
      <x:c r="B88" t="n">
        <x:v>2026</x:v>
      </x:c>
      <x:c r="C88" t="str">
        <x:v>Q1</x:v>
      </x:c>
      <x:c r="D88" t="str">
        <x:v>2026-03</x:v>
      </x:c>
      <x:c r="E88" t="str">
        <x:v>Tư vấn tuyển sinh THPT</x:v>
      </x:c>
      <x:c r="F88" t="str">
        <x:v>Hybrid</x:v>
      </x:c>
      <x:c r="G88" t="str">
        <x:v>Học bổng đầu vào</x:v>
      </x:c>
      <x:c r="H88" t="str">
        <x:v>Kinh phí cho học bổng đầu vào thuộc chương trình tư vấn tuyển sinh thpt</x:v>
      </x:c>
      <x:c r="I88" t="str">
        <x:v>Scholarship Officer</x:v>
      </x:c>
      <x:c r="J88" t="n">
        <x:v>5</x:v>
      </x:c>
      <x:c r="K88" s="12" t="n">
        <x:v>10000000</x:v>
      </x:c>
      <x:c r="L88" s="12" t="n">
        <x:f>J88*K88</x:f>
        <x:v>50000000</x:v>
      </x:c>
      <x:c r="M88" t="str">
        <x:v>Cao</x:v>
      </x:c>
      <x:c r="N88" t="str">
        <x:v>Đã duyệt</x:v>
      </x:c>
      <x:c r="O88" t="str"/>
    </x:row>
    <x:row r="89">
      <x:c r="A89" t="str">
        <x:v>DT-TS-2026-088</x:v>
      </x:c>
      <x:c r="B89" t="n">
        <x:v>2026</x:v>
      </x:c>
      <x:c r="C89" t="str">
        <x:v>Q2</x:v>
      </x:c>
      <x:c r="D89" t="str">
        <x:v>2026-04</x:v>
      </x:c>
      <x:c r="E89" t="str">
        <x:v>CRM &amp; Admission System</x:v>
      </x:c>
      <x:c r="F89" t="str">
        <x:v>School Visit</x:v>
      </x:c>
      <x:c r="G89" t="str">
        <x:v>Phần mềm CRM</x:v>
      </x:c>
      <x:c r="H89" t="str">
        <x:v>Kinh phí cho phần mềm crm thuộc chương trình crm &amp; admission system</x:v>
      </x:c>
      <x:c r="I89" t="str">
        <x:v>Event Coordinator</x:v>
      </x:c>
      <x:c r="J89" t="n">
        <x:v>10</x:v>
      </x:c>
      <x:c r="K89" s="12" t="n">
        <x:v>500000</x:v>
      </x:c>
      <x:c r="L89" s="12" t="n">
        <x:f>J89*K89</x:f>
        <x:v>5000000</x:v>
      </x:c>
      <x:c r="M89" t="str">
        <x:v>Cao</x:v>
      </x:c>
      <x:c r="N89" t="str">
        <x:v>Tạm dừng</x:v>
      </x:c>
      <x:c r="O89" t="str"/>
    </x:row>
    <x:row r="90">
      <x:c r="A90" t="str">
        <x:v>DT-TS-2026-089</x:v>
      </x:c>
      <x:c r="B90" t="n">
        <x:v>2026</x:v>
      </x:c>
      <x:c r="C90" t="str">
        <x:v>Q2</x:v>
      </x:c>
      <x:c r="D90" t="str">
        <x:v>2026-05</x:v>
      </x:c>
      <x:c r="E90" t="str">
        <x:v>Ngày hội tuyển sinh</x:v>
      </x:c>
      <x:c r="F90" t="str">
        <x:v>School Visit</x:v>
      </x:c>
      <x:c r="G90" t="str">
        <x:v>Livestream tư vấn</x:v>
      </x:c>
      <x:c r="H90" t="str">
        <x:v>Kinh phí cho livestream tư vấn thuộc chương trình ngày hội tuyển sinh</x:v>
      </x:c>
      <x:c r="I90" t="str">
        <x:v>Admissions Manager</x:v>
      </x:c>
      <x:c r="J90" t="n">
        <x:v>50</x:v>
      </x:c>
      <x:c r="K90" s="12" t="n">
        <x:v>1500000</x:v>
      </x:c>
      <x:c r="L90" s="12" t="n">
        <x:f>J90*K90</x:f>
        <x:v>75000000</x:v>
      </x:c>
      <x:c r="M90" t="str">
        <x:v>Trung bình</x:v>
      </x:c>
      <x:c r="N90" t="str">
        <x:v>Tạm dừng</x:v>
      </x:c>
      <x:c r="O90" t="str"/>
    </x:row>
    <x:row r="91">
      <x:c r="A91" t="str">
        <x:v>DT-TS-2026-090</x:v>
      </x:c>
      <x:c r="B91" t="n">
        <x:v>2026</x:v>
      </x:c>
      <x:c r="C91" t="str">
        <x:v>Q2</x:v>
      </x:c>
      <x:c r="D91" t="str">
        <x:v>2026-06</x:v>
      </x:c>
      <x:c r="E91" t="str">
        <x:v>Học bổng tuyển sinh</x:v>
      </x:c>
      <x:c r="F91" t="str">
        <x:v>Partner Channel</x:v>
      </x:c>
      <x:c r="G91" t="str">
        <x:v>Chi phí diễn giả</x:v>
      </x:c>
      <x:c r="H91" t="str">
        <x:v>Kinh phí cho chi phí diễn giả thuộc chương trình học bổng tuyển sinh</x:v>
      </x:c>
      <x:c r="I91" t="str">
        <x:v>Digital Lead</x:v>
      </x:c>
      <x:c r="J91" t="n">
        <x:v>30</x:v>
      </x:c>
      <x:c r="K91" s="12" t="n">
        <x:v>50000000</x:v>
      </x:c>
      <x:c r="L91" s="12" t="n">
        <x:f>J91*K91</x:f>
        <x:v>1500000000</x:v>
      </x:c>
      <x:c r="M91" t="str">
        <x:v>Cao</x:v>
      </x:c>
      <x:c r="N91" t="str">
        <x:v>Chờ duyệt</x:v>
      </x:c>
      <x:c r="O91" t="str"/>
    </x:row>
    <x:row r="92">
      <x:c r="A92" t="str">
        <x:v>DT-TS-2026-091</x:v>
      </x:c>
      <x:c r="B92" t="n">
        <x:v>2026</x:v>
      </x:c>
      <x:c r="C92" t="str">
        <x:v>Q3</x:v>
      </x:c>
      <x:c r="D92" t="str">
        <x:v>2026-07</x:v>
      </x:c>
      <x:c r="E92" t="str">
        <x:v>Tư vấn tuyển sinh THPT</x:v>
      </x:c>
      <x:c r="F92" t="str">
        <x:v>School Visit</x:v>
      </x:c>
      <x:c r="G92" t="str">
        <x:v>In ấn brochure</x:v>
      </x:c>
      <x:c r="H92" t="str">
        <x:v>Kinh phí cho in ấn brochure thuộc chương trình tư vấn tuyển sinh thpt</x:v>
      </x:c>
      <x:c r="I92" t="str">
        <x:v>Scholarship Officer</x:v>
      </x:c>
      <x:c r="J92" t="n">
        <x:v>50</x:v>
      </x:c>
      <x:c r="K92" s="12" t="n">
        <x:v>2500000</x:v>
      </x:c>
      <x:c r="L92" s="12" t="n">
        <x:f>J92*K92</x:f>
        <x:v>125000000</x:v>
      </x:c>
      <x:c r="M92" t="str">
        <x:v>Trung bình</x:v>
      </x:c>
      <x:c r="N92" t="str">
        <x:v>Đã duyệt</x:v>
      </x:c>
      <x:c r="O92" t="str"/>
    </x:row>
    <x:row r="93">
      <x:c r="A93" t="str">
        <x:v>DT-TS-2026-092</x:v>
      </x:c>
      <x:c r="B93" t="n">
        <x:v>2026</x:v>
      </x:c>
      <x:c r="C93" t="str">
        <x:v>Q3</x:v>
      </x:c>
      <x:c r="D93" t="str">
        <x:v>2026-08</x:v>
      </x:c>
      <x:c r="E93" t="str">
        <x:v>Tuyển sinh đại học chính quy</x:v>
      </x:c>
      <x:c r="F93" t="str">
        <x:v>School Visit</x:v>
      </x:c>
      <x:c r="G93" t="str">
        <x:v>Thuê địa điểm sự kiện</x:v>
      </x:c>
      <x:c r="H93" t="str">
        <x:v>Kinh phí cho thuê địa điểm sự kiện thuộc chương trình tuyển sinh đại học chính quy</x:v>
      </x:c>
      <x:c r="I93" t="str">
        <x:v>Admissions Manager</x:v>
      </x:c>
      <x:c r="J93" t="n">
        <x:v>10</x:v>
      </x:c>
      <x:c r="K93" s="12" t="n">
        <x:v>1500000</x:v>
      </x:c>
      <x:c r="L93" s="12" t="n">
        <x:f>J93*K93</x:f>
        <x:v>15000000</x:v>
      </x:c>
      <x:c r="M93" t="str">
        <x:v>Cao</x:v>
      </x:c>
      <x:c r="N93" t="str">
        <x:v>Đã duyệt</x:v>
      </x:c>
      <x:c r="O93" t="str"/>
    </x:row>
    <x:row r="94">
      <x:c r="A94" t="str">
        <x:v>DT-TS-2026-093</x:v>
      </x:c>
      <x:c r="B94" t="n">
        <x:v>2026</x:v>
      </x:c>
      <x:c r="C94" t="str">
        <x:v>Q3</x:v>
      </x:c>
      <x:c r="D94" t="str">
        <x:v>2026-09</x:v>
      </x:c>
      <x:c r="E94" t="str">
        <x:v>Học bổng tuyển sinh</x:v>
      </x:c>
      <x:c r="F94" t="str">
        <x:v>Online</x:v>
      </x:c>
      <x:c r="G94" t="str">
        <x:v>Livestream tư vấn</x:v>
      </x:c>
      <x:c r="H94" t="str">
        <x:v>Kinh phí cho livestream tư vấn thuộc chương trình học bổng tuyển sinh</x:v>
      </x:c>
      <x:c r="I94" t="str">
        <x:v>Admissions Manager</x:v>
      </x:c>
      <x:c r="J94" t="n">
        <x:v>5</x:v>
      </x:c>
      <x:c r="K94" s="12" t="n">
        <x:v>20000000</x:v>
      </x:c>
      <x:c r="L94" s="12" t="n">
        <x:f>J94*K94</x:f>
        <x:v>100000000</x:v>
      </x:c>
      <x:c r="M94" t="str">
        <x:v>Trung bình</x:v>
      </x:c>
      <x:c r="N94" t="str">
        <x:v>Đã duyệt</x:v>
      </x:c>
      <x:c r="O94" t="str"/>
    </x:row>
    <x:row r="95">
      <x:c r="A95" t="str">
        <x:v>DT-TS-2026-094</x:v>
      </x:c>
      <x:c r="B95" t="n">
        <x:v>2026</x:v>
      </x:c>
      <x:c r="C95" t="str">
        <x:v>Q4</x:v>
      </x:c>
      <x:c r="D95" t="str">
        <x:v>2026-10</x:v>
      </x:c>
      <x:c r="E95" t="str">
        <x:v>Digital Admission Campaign</x:v>
      </x:c>
      <x:c r="F95" t="str">
        <x:v>Online</x:v>
      </x:c>
      <x:c r="G95" t="str">
        <x:v>Học bổng đầu vào</x:v>
      </x:c>
      <x:c r="H95" t="str">
        <x:v>Kinh phí cho học bổng đầu vào thuộc chương trình digital admission campaign</x:v>
      </x:c>
      <x:c r="I95" t="str">
        <x:v>Admissions Officer</x:v>
      </x:c>
      <x:c r="J95" t="n">
        <x:v>30</x:v>
      </x:c>
      <x:c r="K95" s="12" t="n">
        <x:v>50000000</x:v>
      </x:c>
      <x:c r="L95" s="12" t="n">
        <x:f>J95*K95</x:f>
        <x:v>1500000000</x:v>
      </x:c>
      <x:c r="M95" t="str">
        <x:v>Cao</x:v>
      </x:c>
      <x:c r="N95" t="str">
        <x:v>Đã duyệt</x:v>
      </x:c>
      <x:c r="O95" t="str"/>
    </x:row>
    <x:row r="96">
      <x:c r="A96" t="str">
        <x:v>DT-TS-2026-095</x:v>
      </x:c>
      <x:c r="B96" t="n">
        <x:v>2026</x:v>
      </x:c>
      <x:c r="C96" t="str">
        <x:v>Q4</x:v>
      </x:c>
      <x:c r="D96" t="str">
        <x:v>2026-11</x:v>
      </x:c>
      <x:c r="E96" t="str">
        <x:v>Digital Admission Campaign</x:v>
      </x:c>
      <x:c r="F96" t="str">
        <x:v>Hybrid</x:v>
      </x:c>
      <x:c r="G96" t="str">
        <x:v>In ấn brochure</x:v>
      </x:c>
      <x:c r="H96" t="str">
        <x:v>Kinh phí cho in ấn brochure thuộc chương trình digital admission campaign</x:v>
      </x:c>
      <x:c r="I96" t="str">
        <x:v>Event Coordinator</x:v>
      </x:c>
      <x:c r="J96" t="n">
        <x:v>500</x:v>
      </x:c>
      <x:c r="K96" s="12" t="n">
        <x:v>30000000</x:v>
      </x:c>
      <x:c r="L96" s="12" t="n">
        <x:f>J96*K96</x:f>
        <x:v>15000000000</x:v>
      </x:c>
      <x:c r="M96" t="str">
        <x:v>Trung bình</x:v>
      </x:c>
      <x:c r="N96" t="str">
        <x:v>Đã duyệt</x:v>
      </x:c>
      <x:c r="O96" t="str"/>
    </x:row>
    <x:row r="97">
      <x:c r="A97" t="str">
        <x:v>DT-TS-2026-096</x:v>
      </x:c>
      <x:c r="B97" t="n">
        <x:v>2026</x:v>
      </x:c>
      <x:c r="C97" t="str">
        <x:v>Q4</x:v>
      </x:c>
      <x:c r="D97" t="str">
        <x:v>2026-12</x:v>
      </x:c>
      <x:c r="E97" t="str">
        <x:v>Sản xuất học liệu truyền thông</x:v>
      </x:c>
      <x:c r="F97" t="str">
        <x:v>School Visit</x:v>
      </x:c>
      <x:c r="G97" t="str">
        <x:v>Quà tặng thí sinh</x:v>
      </x:c>
      <x:c r="H97" t="str">
        <x:v>Kinh phí cho quà tặng thí sinh thuộc chương trình sản xuất học liệu truyền thông</x:v>
      </x:c>
      <x:c r="I97" t="str">
        <x:v>Digital Lead</x:v>
      </x:c>
      <x:c r="J97" t="n">
        <x:v>10</x:v>
      </x:c>
      <x:c r="K97" s="12" t="n">
        <x:v>8000000</x:v>
      </x:c>
      <x:c r="L97" s="12" t="n">
        <x:f>J97*K97</x:f>
        <x:v>80000000</x:v>
      </x:c>
      <x:c r="M97" t="str">
        <x:v>Cao</x:v>
      </x:c>
      <x:c r="N97" t="str">
        <x:v>Chờ duyệt</x:v>
      </x:c>
      <x:c r="O97" t="str"/>
    </x:row>
    <x:row r="98">
      <x:c r="A98" t="str">
        <x:v>DT-TS-2026-097</x:v>
      </x:c>
      <x:c r="B98" t="n">
        <x:v>2026</x:v>
      </x:c>
      <x:c r="C98" t="str">
        <x:v>Q1</x:v>
      </x:c>
      <x:c r="D98" t="str">
        <x:v>2026-01</x:v>
      </x:c>
      <x:c r="E98" t="str">
        <x:v>Sản xuất học liệu truyền thông</x:v>
      </x:c>
      <x:c r="F98" t="str">
        <x:v>Partner Channel</x:v>
      </x:c>
      <x:c r="G98" t="str">
        <x:v>Thiết kế landing page</x:v>
      </x:c>
      <x:c r="H98" t="str">
        <x:v>Kinh phí cho thiết kế landing page thuộc chương trình sản xuất học liệu truyền thông</x:v>
      </x:c>
      <x:c r="I98" t="str">
        <x:v>Admissions Manager</x:v>
      </x:c>
      <x:c r="J98" t="n">
        <x:v>10</x:v>
      </x:c>
      <x:c r="K98" s="12" t="n">
        <x:v>1000000</x:v>
      </x:c>
      <x:c r="L98" s="12" t="n">
        <x:f>J98*K98</x:f>
        <x:v>10000000</x:v>
      </x:c>
      <x:c r="M98" t="str">
        <x:v>Cao</x:v>
      </x:c>
      <x:c r="N98" t="str">
        <x:v>Đã duyệt</x:v>
      </x:c>
      <x:c r="O98" t="str"/>
    </x:row>
    <x:row r="99">
      <x:c r="A99" t="str">
        <x:v>DT-TS-2026-098</x:v>
      </x:c>
      <x:c r="B99" t="n">
        <x:v>2026</x:v>
      </x:c>
      <x:c r="C99" t="str">
        <x:v>Q1</x:v>
      </x:c>
      <x:c r="D99" t="str">
        <x:v>2026-02</x:v>
      </x:c>
      <x:c r="E99" t="str">
        <x:v>Học bổng tuyển sinh</x:v>
      </x:c>
      <x:c r="F99" t="str">
        <x:v>Offline</x:v>
      </x:c>
      <x:c r="G99" t="str">
        <x:v>Học bổng đầu vào</x:v>
      </x:c>
      <x:c r="H99" t="str">
        <x:v>Kinh phí cho học bổng đầu vào thuộc chương trình học bổng tuyển sinh</x:v>
      </x:c>
      <x:c r="I99" t="str">
        <x:v>Digital Lead</x:v>
      </x:c>
      <x:c r="J99" t="n">
        <x:v>20</x:v>
      </x:c>
      <x:c r="K99" s="12" t="n">
        <x:v>10000000</x:v>
      </x:c>
      <x:c r="L99" s="12" t="n">
        <x:f>J99*K99</x:f>
        <x:v>200000000</x:v>
      </x:c>
      <x:c r="M99" t="str">
        <x:v>Cao</x:v>
      </x:c>
      <x:c r="N99" t="str">
        <x:v>Chờ duyệt</x:v>
      </x:c>
      <x:c r="O99" t="str"/>
    </x:row>
    <x:row r="100">
      <x:c r="A100" t="str">
        <x:v>DT-TS-2026-099</x:v>
      </x:c>
      <x:c r="B100" t="n">
        <x:v>2026</x:v>
      </x:c>
      <x:c r="C100" t="str">
        <x:v>Q1</x:v>
      </x:c>
      <x:c r="D100" t="str">
        <x:v>2026-03</x:v>
      </x:c>
      <x:c r="E100" t="str">
        <x:v>Tuyển sinh đại học chính quy</x:v>
      </x:c>
      <x:c r="F100" t="str">
        <x:v>Online</x:v>
      </x:c>
      <x:c r="G100" t="str">
        <x:v>Học bổng đầu vào</x:v>
      </x:c>
      <x:c r="H100" t="str">
        <x:v>Kinh phí cho học bổng đầu vào thuộc chương trình tuyển sinh đại học chính quy</x:v>
      </x:c>
      <x:c r="I100" t="str">
        <x:v>Scholarship Officer</x:v>
      </x:c>
      <x:c r="J100" t="n">
        <x:v>20</x:v>
      </x:c>
      <x:c r="K100" s="12" t="n">
        <x:v>10000000</x:v>
      </x:c>
      <x:c r="L100" s="12" t="n">
        <x:f>J100*K100</x:f>
        <x:v>200000000</x:v>
      </x:c>
      <x:c r="M100" t="str">
        <x:v>Cao</x:v>
      </x:c>
      <x:c r="N100" t="str">
        <x:v>Tạm dừng</x:v>
      </x:c>
      <x:c r="O100" t="str"/>
    </x:row>
    <x:row r="101">
      <x:c r="A101" t="str">
        <x:v>DT-TS-2026-100</x:v>
      </x:c>
      <x:c r="B101" t="n">
        <x:v>2026</x:v>
      </x:c>
      <x:c r="C101" t="str">
        <x:v>Q2</x:v>
      </x:c>
      <x:c r="D101" t="str">
        <x:v>2026-04</x:v>
      </x:c>
      <x:c r="E101" t="str">
        <x:v>Ngày hội tuyển sinh</x:v>
      </x:c>
      <x:c r="F101" t="str">
        <x:v>Online</x:v>
      </x:c>
      <x:c r="G101" t="str">
        <x:v>Đào tạo nhân sự</x:v>
      </x:c>
      <x:c r="H101" t="str">
        <x:v>Kinh phí cho đào tạo nhân sự thuộc chương trình ngày hội tuyển sinh</x:v>
      </x:c>
      <x:c r="I101" t="str">
        <x:v>Scholarship Officer</x:v>
      </x:c>
      <x:c r="J101" t="n">
        <x:v>50</x:v>
      </x:c>
      <x:c r="K101" s="12" t="n">
        <x:v>1000000</x:v>
      </x:c>
      <x:c r="L101" s="12" t="n">
        <x:f>J101*K101</x:f>
        <x:v>50000000</x:v>
      </x:c>
      <x:c r="M101" t="str">
        <x:v>Cao</x:v>
      </x:c>
      <x:c r="N101" t="str">
        <x:v>Đã duyệt</x:v>
      </x:c>
      <x:c r="O101" t="str"/>
    </x:row>
    <x:row r="102">
      <x:c r="A102" t="str">
        <x:v>DT-TS-2026-101</x:v>
      </x:c>
      <x:c r="B102" t="n">
        <x:v>2026</x:v>
      </x:c>
      <x:c r="C102" t="str">
        <x:v>Q2</x:v>
      </x:c>
      <x:c r="D102" t="str">
        <x:v>2026-05</x:v>
      </x:c>
      <x:c r="E102" t="str">
        <x:v>Sự kiện phụ huynh</x:v>
      </x:c>
      <x:c r="F102" t="str">
        <x:v>School Visit</x:v>
      </x:c>
      <x:c r="G102" t="str">
        <x:v>Sản xuất video tuyển sinh</x:v>
      </x:c>
      <x:c r="H102" t="str">
        <x:v>Kinh phí cho sản xuất video tuyển sinh thuộc chương trình sự kiện phụ huynh</x:v>
      </x:c>
      <x:c r="I102" t="str">
        <x:v>Admissions Officer</x:v>
      </x:c>
      <x:c r="J102" t="n">
        <x:v>1</x:v>
      </x:c>
      <x:c r="K102" s="12" t="n">
        <x:v>5000000</x:v>
      </x:c>
      <x:c r="L102" s="12" t="n">
        <x:f>J102*K102</x:f>
        <x:v>5000000</x:v>
      </x:c>
      <x:c r="M102" t="str">
        <x:v>Trung bình</x:v>
      </x:c>
      <x:c r="N102" t="str">
        <x:v>Đã duyệt</x:v>
      </x:c>
      <x:c r="O102" t="str"/>
    </x:row>
    <x:row r="103">
      <x:c r="A103" t="str">
        <x:v>DT-TS-2026-102</x:v>
      </x:c>
      <x:c r="B103" t="n">
        <x:v>2026</x:v>
      </x:c>
      <x:c r="C103" t="str">
        <x:v>Q2</x:v>
      </x:c>
      <x:c r="D103" t="str">
        <x:v>2026-06</x:v>
      </x:c>
      <x:c r="E103" t="str">
        <x:v>Tư vấn tuyển sinh THPT</x:v>
      </x:c>
      <x:c r="F103" t="str">
        <x:v>Online</x:v>
      </x:c>
      <x:c r="G103" t="str">
        <x:v>Chi phí diễn giả</x:v>
      </x:c>
      <x:c r="H103" t="str">
        <x:v>Kinh phí cho chi phí diễn giả thuộc chương trình tư vấn tuyển sinh thpt</x:v>
      </x:c>
      <x:c r="I103" t="str">
        <x:v>Admissions Manager</x:v>
      </x:c>
      <x:c r="J103" t="n">
        <x:v>500</x:v>
      </x:c>
      <x:c r="K103" s="12" t="n">
        <x:v>50000000</x:v>
      </x:c>
      <x:c r="L103" s="12" t="n">
        <x:f>J103*K103</x:f>
        <x:v>25000000000</x:v>
      </x:c>
      <x:c r="M103" t="str">
        <x:v>Cao</x:v>
      </x:c>
      <x:c r="N103" t="str">
        <x:v>Đã duyệt</x:v>
      </x:c>
      <x:c r="O103" t="str"/>
    </x:row>
    <x:row r="104">
      <x:c r="A104" t="str">
        <x:v>DT-TS-2026-103</x:v>
      </x:c>
      <x:c r="B104" t="n">
        <x:v>2026</x:v>
      </x:c>
      <x:c r="C104" t="str">
        <x:v>Q3</x:v>
      </x:c>
      <x:c r="D104" t="str">
        <x:v>2026-07</x:v>
      </x:c>
      <x:c r="E104" t="str">
        <x:v>Học bổng tuyển sinh</x:v>
      </x:c>
      <x:c r="F104" t="str">
        <x:v>Partner Channel</x:v>
      </x:c>
      <x:c r="G104" t="str">
        <x:v>Quảng cáo Google Search</x:v>
      </x:c>
      <x:c r="H104" t="str">
        <x:v>Kinh phí cho quảng cáo google search thuộc chương trình học bổng tuyển sinh</x:v>
      </x:c>
      <x:c r="I104" t="str">
        <x:v>Event Coordinator</x:v>
      </x:c>
      <x:c r="J104" t="n">
        <x:v>30</x:v>
      </x:c>
      <x:c r="K104" s="12" t="n">
        <x:v>20000000</x:v>
      </x:c>
      <x:c r="L104" s="12" t="n">
        <x:f>J104*K104</x:f>
        <x:v>600000000</x:v>
      </x:c>
      <x:c r="M104" t="str">
        <x:v>Cao</x:v>
      </x:c>
      <x:c r="N104" t="str">
        <x:v>Đã duyệt</x:v>
      </x:c>
      <x:c r="O104" t="str"/>
    </x:row>
    <x:row r="105">
      <x:c r="A105" t="str">
        <x:v>DT-TS-2026-104</x:v>
      </x:c>
      <x:c r="B105" t="n">
        <x:v>2026</x:v>
      </x:c>
      <x:c r="C105" t="str">
        <x:v>Q3</x:v>
      </x:c>
      <x:c r="D105" t="str">
        <x:v>2026-08</x:v>
      </x:c>
      <x:c r="E105" t="str">
        <x:v>Đào tạo cộng tác viên tuyển sinh</x:v>
      </x:c>
      <x:c r="F105" t="str">
        <x:v>Partner Channel</x:v>
      </x:c>
      <x:c r="G105" t="str">
        <x:v>Chi phí đi lại công tác</x:v>
      </x:c>
      <x:c r="H105" t="str">
        <x:v>Kinh phí cho chi phí đi lại công tác thuộc chương trình đào tạo cộng tác viên tuyển sinh</x:v>
      </x:c>
      <x:c r="I105" t="str">
        <x:v>Admissions Officer</x:v>
      </x:c>
      <x:c r="J105" t="n">
        <x:v>5</x:v>
      </x:c>
      <x:c r="K105" s="12" t="n">
        <x:v>30000000</x:v>
      </x:c>
      <x:c r="L105" s="12" t="n">
        <x:f>J105*K105</x:f>
        <x:v>150000000</x:v>
      </x:c>
      <x:c r="M105" t="str">
        <x:v>Trung bình</x:v>
      </x:c>
      <x:c r="N105" t="str">
        <x:v>Đã duyệt</x:v>
      </x:c>
      <x:c r="O105" t="str"/>
    </x:row>
    <x:row r="106">
      <x:c r="A106" t="str">
        <x:v>DT-TS-2026-105</x:v>
      </x:c>
      <x:c r="B106" t="n">
        <x:v>2026</x:v>
      </x:c>
      <x:c r="C106" t="str">
        <x:v>Q3</x:v>
      </x:c>
      <x:c r="D106" t="str">
        <x:v>2026-09</x:v>
      </x:c>
      <x:c r="E106" t="str">
        <x:v>Digital Admission Campaign</x:v>
      </x:c>
      <x:c r="F106" t="str">
        <x:v>Online</x:v>
      </x:c>
      <x:c r="G106" t="str">
        <x:v>Phần mềm CRM</x:v>
      </x:c>
      <x:c r="H106" t="str">
        <x:v>Kinh phí cho phần mềm crm thuộc chương trình digital admission campaign</x:v>
      </x:c>
      <x:c r="I106" t="str">
        <x:v>Admissions Manager</x:v>
      </x:c>
      <x:c r="J106" t="n">
        <x:v>4</x:v>
      </x:c>
      <x:c r="K106" s="12" t="n">
        <x:v>5000000</x:v>
      </x:c>
      <x:c r="L106" s="12" t="n">
        <x:f>J106*K106</x:f>
        <x:v>20000000</x:v>
      </x:c>
      <x:c r="M106" t="str">
        <x:v>Cao</x:v>
      </x:c>
      <x:c r="N106" t="str">
        <x:v>Đã duyệt</x:v>
      </x:c>
      <x:c r="O106" t="str"/>
    </x:row>
    <x:row r="107">
      <x:c r="A107" t="str">
        <x:v>DT-TS-2026-106</x:v>
      </x:c>
      <x:c r="B107" t="n">
        <x:v>2026</x:v>
      </x:c>
      <x:c r="C107" t="str">
        <x:v>Q4</x:v>
      </x:c>
      <x:c r="D107" t="str">
        <x:v>2026-10</x:v>
      </x:c>
      <x:c r="E107" t="str">
        <x:v>Open Day / Campus Tour</x:v>
      </x:c>
      <x:c r="F107" t="str">
        <x:v>Partner Channel</x:v>
      </x:c>
      <x:c r="G107" t="str">
        <x:v>Quảng cáo Facebook/Instagram</x:v>
      </x:c>
      <x:c r="H107" t="str">
        <x:v>Kinh phí cho quảng cáo facebook/instagram thuộc chương trình open day / campus tour</x:v>
      </x:c>
      <x:c r="I107" t="str">
        <x:v>Event Coordinator</x:v>
      </x:c>
      <x:c r="J107" t="n">
        <x:v>20</x:v>
      </x:c>
      <x:c r="K107" s="12" t="n">
        <x:v>15000000</x:v>
      </x:c>
      <x:c r="L107" s="12" t="n">
        <x:f>J107*K107</x:f>
        <x:v>300000000</x:v>
      </x:c>
      <x:c r="M107" t="str">
        <x:v>Cao</x:v>
      </x:c>
      <x:c r="N107" t="str">
        <x:v>Chờ duyệt</x:v>
      </x:c>
      <x:c r="O107" t="str"/>
    </x:row>
    <x:row r="108">
      <x:c r="A108" t="str">
        <x:v>DT-TS-2026-107</x:v>
      </x:c>
      <x:c r="B108" t="n">
        <x:v>2026</x:v>
      </x:c>
      <x:c r="C108" t="str">
        <x:v>Q4</x:v>
      </x:c>
      <x:c r="D108" t="str">
        <x:v>2026-11</x:v>
      </x:c>
      <x:c r="E108" t="str">
        <x:v>Sản xuất học liệu truyền thông</x:v>
      </x:c>
      <x:c r="F108" t="str">
        <x:v>Online</x:v>
      </x:c>
      <x:c r="G108" t="str">
        <x:v>In ấn brochure</x:v>
      </x:c>
      <x:c r="H108" t="str">
        <x:v>Kinh phí cho in ấn brochure thuộc chương trình sản xuất học liệu truyền thông</x:v>
      </x:c>
      <x:c r="I108" t="str">
        <x:v>Admissions Manager</x:v>
      </x:c>
      <x:c r="J108" t="n">
        <x:v>1000</x:v>
      </x:c>
      <x:c r="K108" s="12" t="n">
        <x:v>15000000</x:v>
      </x:c>
      <x:c r="L108" s="12" t="n">
        <x:f>J108*K108</x:f>
        <x:v>15000000000</x:v>
      </x:c>
      <x:c r="M108" t="str">
        <x:v>Thấp</x:v>
      </x:c>
      <x:c r="N108" t="str">
        <x:v>Đã duyệt</x:v>
      </x:c>
      <x:c r="O108" t="str"/>
    </x:row>
    <x:row r="109">
      <x:c r="A109" t="str">
        <x:v>DT-TS-2026-108</x:v>
      </x:c>
      <x:c r="B109" t="n">
        <x:v>2026</x:v>
      </x:c>
      <x:c r="C109" t="str">
        <x:v>Q4</x:v>
      </x:c>
      <x:c r="D109" t="str">
        <x:v>2026-12</x:v>
      </x:c>
      <x:c r="E109" t="str">
        <x:v>Ngày hội tuyển sinh</x:v>
      </x:c>
      <x:c r="F109" t="str">
        <x:v>School Visit</x:v>
      </x:c>
      <x:c r="G109" t="str">
        <x:v>Chi phí diễn giả</x:v>
      </x:c>
      <x:c r="H109" t="str">
        <x:v>Kinh phí cho chi phí diễn giả thuộc chương trình ngày hội tuyển sinh</x:v>
      </x:c>
      <x:c r="I109" t="str">
        <x:v>Admissions Officer</x:v>
      </x:c>
      <x:c r="J109" t="n">
        <x:v>500</x:v>
      </x:c>
      <x:c r="K109" s="12" t="n">
        <x:v>2500000</x:v>
      </x:c>
      <x:c r="L109" s="12" t="n">
        <x:f>J109*K109</x:f>
        <x:v>1250000000</x:v>
      </x:c>
      <x:c r="M109" t="str">
        <x:v>Cao</x:v>
      </x:c>
      <x:c r="N109" t="str">
        <x:v>Đã duyệt</x:v>
      </x:c>
      <x:c r="O109" t="str"/>
    </x:row>
    <x:row r="110">
      <x:c r="A110" t="str">
        <x:v>DT-TS-2026-109</x:v>
      </x:c>
      <x:c r="B110" t="n">
        <x:v>2026</x:v>
      </x:c>
      <x:c r="C110" t="str">
        <x:v>Q1</x:v>
      </x:c>
      <x:c r="D110" t="str">
        <x:v>2026-01</x:v>
      </x:c>
      <x:c r="E110" t="str">
        <x:v>Học bổng tuyển sinh</x:v>
      </x:c>
      <x:c r="F110" t="str">
        <x:v>Hybrid</x:v>
      </x:c>
      <x:c r="G110" t="str">
        <x:v>Đào tạo nhân sự</x:v>
      </x:c>
      <x:c r="H110" t="str">
        <x:v>Kinh phí cho đào tạo nhân sự thuộc chương trình học bổng tuyển sinh</x:v>
      </x:c>
      <x:c r="I110" t="str">
        <x:v>Scholarship Officer</x:v>
      </x:c>
      <x:c r="J110" t="n">
        <x:v>5</x:v>
      </x:c>
      <x:c r="K110" s="12" t="n">
        <x:v>20000000</x:v>
      </x:c>
      <x:c r="L110" s="12" t="n">
        <x:f>J110*K110</x:f>
        <x:v>100000000</x:v>
      </x:c>
      <x:c r="M110" t="str">
        <x:v>Trung bình</x:v>
      </x:c>
      <x:c r="N110" t="str">
        <x:v>Đã duyệt</x:v>
      </x:c>
      <x:c r="O110" t="str"/>
    </x:row>
    <x:row r="111">
      <x:c r="A111" t="str">
        <x:v>DT-TS-2026-110</x:v>
      </x:c>
      <x:c r="B111" t="n">
        <x:v>2026</x:v>
      </x:c>
      <x:c r="C111" t="str">
        <x:v>Q1</x:v>
      </x:c>
      <x:c r="D111" t="str">
        <x:v>2026-02</x:v>
      </x:c>
      <x:c r="E111" t="str">
        <x:v>Học bổng tuyển sinh</x:v>
      </x:c>
      <x:c r="F111" t="str">
        <x:v>Hybrid</x:v>
      </x:c>
      <x:c r="G111" t="str">
        <x:v>Thuê địa điểm sự kiện</x:v>
      </x:c>
      <x:c r="H111" t="str">
        <x:v>Kinh phí cho thuê địa điểm sự kiện thuộc chương trình học bổng tuyển sinh</x:v>
      </x:c>
      <x:c r="I111" t="str">
        <x:v>Scholarship Officer</x:v>
      </x:c>
      <x:c r="J111" t="n">
        <x:v>20</x:v>
      </x:c>
      <x:c r="K111" s="12" t="n">
        <x:v>50000000</x:v>
      </x:c>
      <x:c r="L111" s="12" t="n">
        <x:f>J111*K111</x:f>
        <x:v>1000000000</x:v>
      </x:c>
      <x:c r="M111" t="str">
        <x:v>Cao</x:v>
      </x:c>
      <x:c r="N111" t="str">
        <x:v>Đã duyệt</x:v>
      </x:c>
      <x:c r="O111" t="str"/>
    </x:row>
    <x:row r="112">
      <x:c r="A112" t="str">
        <x:v>DT-TS-2026-111</x:v>
      </x:c>
      <x:c r="B112" t="n">
        <x:v>2026</x:v>
      </x:c>
      <x:c r="C112" t="str">
        <x:v>Q1</x:v>
      </x:c>
      <x:c r="D112" t="str">
        <x:v>2026-03</x:v>
      </x:c>
      <x:c r="E112" t="str">
        <x:v>Đào tạo cộng tác viên tuyển sinh</x:v>
      </x:c>
      <x:c r="F112" t="str">
        <x:v>Partner Channel</x:v>
      </x:c>
      <x:c r="G112" t="str">
        <x:v>Quảng cáo Facebook/Instagram</x:v>
      </x:c>
      <x:c r="H112" t="str">
        <x:v>Kinh phí cho quảng cáo facebook/instagram thuộc chương trình đào tạo cộng tác viên tuyển sinh</x:v>
      </x:c>
      <x:c r="I112" t="str">
        <x:v>Digital Lead</x:v>
      </x:c>
      <x:c r="J112" t="n">
        <x:v>20</x:v>
      </x:c>
      <x:c r="K112" s="12" t="n">
        <x:v>8000000</x:v>
      </x:c>
      <x:c r="L112" s="12" t="n">
        <x:f>J112*K112</x:f>
        <x:v>160000000</x:v>
      </x:c>
      <x:c r="M112" t="str">
        <x:v>Cao</x:v>
      </x:c>
      <x:c r="N112" t="str">
        <x:v>Chờ duyệt</x:v>
      </x:c>
      <x:c r="O112" t="str"/>
    </x:row>
    <x:row r="113">
      <x:c r="A113" t="str">
        <x:v>DT-TS-2026-112</x:v>
      </x:c>
      <x:c r="B113" t="n">
        <x:v>2026</x:v>
      </x:c>
      <x:c r="C113" t="str">
        <x:v>Q2</x:v>
      </x:c>
      <x:c r="D113" t="str">
        <x:v>2026-04</x:v>
      </x:c>
      <x:c r="E113" t="str">
        <x:v>Ngày hội tuyển sinh</x:v>
      </x:c>
      <x:c r="F113" t="str">
        <x:v>Online</x:v>
      </x:c>
      <x:c r="G113" t="str">
        <x:v>Đào tạo nhân sự</x:v>
      </x:c>
      <x:c r="H113" t="str">
        <x:v>Kinh phí cho đào tạo nhân sự thuộc chương trình ngày hội tuyển sinh</x:v>
      </x:c>
      <x:c r="I113" t="str">
        <x:v>Digital Lead</x:v>
      </x:c>
      <x:c r="J113" t="n">
        <x:v>200</x:v>
      </x:c>
      <x:c r="K113" s="12" t="n">
        <x:v>30000000</x:v>
      </x:c>
      <x:c r="L113" s="12" t="n">
        <x:f>J113*K113</x:f>
        <x:v>6000000000</x:v>
      </x:c>
      <x:c r="M113" t="str">
        <x:v>Trung bình</x:v>
      </x:c>
      <x:c r="N113" t="str">
        <x:v>Đã duyệt</x:v>
      </x:c>
      <x:c r="O113" t="str"/>
    </x:row>
    <x:row r="114">
      <x:c r="A114" t="str">
        <x:v>DT-TS-2026-113</x:v>
      </x:c>
      <x:c r="B114" t="n">
        <x:v>2026</x:v>
      </x:c>
      <x:c r="C114" t="str">
        <x:v>Q2</x:v>
      </x:c>
      <x:c r="D114" t="str">
        <x:v>2026-05</x:v>
      </x:c>
      <x:c r="E114" t="str">
        <x:v>Open Day / Campus Tour</x:v>
      </x:c>
      <x:c r="F114" t="str">
        <x:v>School Visit</x:v>
      </x:c>
      <x:c r="G114" t="str">
        <x:v>Thuê địa điểm sự kiện</x:v>
      </x:c>
      <x:c r="H114" t="str">
        <x:v>Kinh phí cho thuê địa điểm sự kiện thuộc chương trình open day / campus tour</x:v>
      </x:c>
      <x:c r="I114" t="str">
        <x:v>Digital Lead</x:v>
      </x:c>
      <x:c r="J114" t="n">
        <x:v>100</x:v>
      </x:c>
      <x:c r="K114" s="12" t="n">
        <x:v>50000000</x:v>
      </x:c>
      <x:c r="L114" s="12" t="n">
        <x:f>J114*K114</x:f>
        <x:v>5000000000</x:v>
      </x:c>
      <x:c r="M114" t="str">
        <x:v>Cao</x:v>
      </x:c>
      <x:c r="N114" t="str">
        <x:v>Đã duyệt</x:v>
      </x:c>
      <x:c r="O114" t="str"/>
    </x:row>
    <x:row r="115">
      <x:c r="A115" t="str">
        <x:v>DT-TS-2026-114</x:v>
      </x:c>
      <x:c r="B115" t="n">
        <x:v>2026</x:v>
      </x:c>
      <x:c r="C115" t="str">
        <x:v>Q2</x:v>
      </x:c>
      <x:c r="D115" t="str">
        <x:v>2026-06</x:v>
      </x:c>
      <x:c r="E115" t="str">
        <x:v>Ngày hội tuyển sinh</x:v>
      </x:c>
      <x:c r="F115" t="str">
        <x:v>School Visit</x:v>
      </x:c>
      <x:c r="G115" t="str">
        <x:v>Đào tạo nhân sự</x:v>
      </x:c>
      <x:c r="H115" t="str">
        <x:v>Kinh phí cho đào tạo nhân sự thuộc chương trình ngày hội tuyển sinh</x:v>
      </x:c>
      <x:c r="I115" t="str">
        <x:v>Digital Lead</x:v>
      </x:c>
      <x:c r="J115" t="n">
        <x:v>50</x:v>
      </x:c>
      <x:c r="K115" s="12" t="n">
        <x:v>1000000</x:v>
      </x:c>
      <x:c r="L115" s="12" t="n">
        <x:f>J115*K115</x:f>
        <x:v>50000000</x:v>
      </x:c>
      <x:c r="M115" t="str">
        <x:v>Cao</x:v>
      </x:c>
      <x:c r="N115" t="str">
        <x:v>Đã duyệt</x:v>
      </x:c>
      <x:c r="O115" t="str"/>
    </x:row>
    <x:row r="116">
      <x:c r="A116" t="str">
        <x:v>DT-TS-2026-115</x:v>
      </x:c>
      <x:c r="B116" t="n">
        <x:v>2026</x:v>
      </x:c>
      <x:c r="C116" t="str">
        <x:v>Q3</x:v>
      </x:c>
      <x:c r="D116" t="str">
        <x:v>2026-07</x:v>
      </x:c>
      <x:c r="E116" t="str">
        <x:v>Tư vấn tuyển sinh THPT</x:v>
      </x:c>
      <x:c r="F116" t="str">
        <x:v>School Visit</x:v>
      </x:c>
      <x:c r="G116" t="str">
        <x:v>Đào tạo nhân sự</x:v>
      </x:c>
      <x:c r="H116" t="str">
        <x:v>Kinh phí cho đào tạo nhân sự thuộc chương trình tư vấn tuyển sinh thpt</x:v>
      </x:c>
      <x:c r="I116" t="str">
        <x:v>Event Coordinator</x:v>
      </x:c>
      <x:c r="J116" t="n">
        <x:v>3</x:v>
      </x:c>
      <x:c r="K116" s="12" t="n">
        <x:v>8000000</x:v>
      </x:c>
      <x:c r="L116" s="12" t="n">
        <x:f>J116*K116</x:f>
        <x:v>24000000</x:v>
      </x:c>
      <x:c r="M116" t="str">
        <x:v>Cao</x:v>
      </x:c>
      <x:c r="N116" t="str">
        <x:v>Tạm dừng</x:v>
      </x:c>
      <x:c r="O116" t="str"/>
    </x:row>
    <x:row r="117">
      <x:c r="A117" t="str">
        <x:v>DT-TS-2026-116</x:v>
      </x:c>
      <x:c r="B117" t="n">
        <x:v>2026</x:v>
      </x:c>
      <x:c r="C117" t="str">
        <x:v>Q3</x:v>
      </x:c>
      <x:c r="D117" t="str">
        <x:v>2026-08</x:v>
      </x:c>
      <x:c r="E117" t="str">
        <x:v>CRM &amp; Admission System</x:v>
      </x:c>
      <x:c r="F117" t="str">
        <x:v>Hybrid</x:v>
      </x:c>
      <x:c r="G117" t="str">
        <x:v>Quảng cáo Facebook/Instagram</x:v>
      </x:c>
      <x:c r="H117" t="str">
        <x:v>Kinh phí cho quảng cáo facebook/instagram thuộc chương trình crm &amp; admission system</x:v>
      </x:c>
      <x:c r="I117" t="str">
        <x:v>Digital Lead</x:v>
      </x:c>
      <x:c r="J117" t="n">
        <x:v>50</x:v>
      </x:c>
      <x:c r="K117" s="12" t="n">
        <x:v>1000000</x:v>
      </x:c>
      <x:c r="L117" s="12" t="n">
        <x:f>J117*K117</x:f>
        <x:v>50000000</x:v>
      </x:c>
      <x:c r="M117" t="str">
        <x:v>Cao</x:v>
      </x:c>
      <x:c r="N117" t="str">
        <x:v>Tạm dừng</x:v>
      </x:c>
      <x:c r="O117" t="str"/>
    </x:row>
    <x:row r="118">
      <x:c r="A118" t="str">
        <x:v>DT-TS-2026-117</x:v>
      </x:c>
      <x:c r="B118" t="n">
        <x:v>2026</x:v>
      </x:c>
      <x:c r="C118" t="str">
        <x:v>Q3</x:v>
      </x:c>
      <x:c r="D118" t="str">
        <x:v>2026-09</x:v>
      </x:c>
      <x:c r="E118" t="str">
        <x:v>Tuyển sinh sau đại học</x:v>
      </x:c>
      <x:c r="F118" t="str">
        <x:v>Partner Channel</x:v>
      </x:c>
      <x:c r="G118" t="str">
        <x:v>Đào tạo nhân sự</x:v>
      </x:c>
      <x:c r="H118" t="str">
        <x:v>Kinh phí cho đào tạo nhân sự thuộc chương trình tuyển sinh sau đại học</x:v>
      </x:c>
      <x:c r="I118" t="str">
        <x:v>Event Coordinator</x:v>
      </x:c>
      <x:c r="J118" t="n">
        <x:v>100</x:v>
      </x:c>
      <x:c r="K118" s="12" t="n">
        <x:v>500000</x:v>
      </x:c>
      <x:c r="L118" s="12" t="n">
        <x:f>J118*K118</x:f>
        <x:v>50000000</x:v>
      </x:c>
      <x:c r="M118" t="str">
        <x:v>Cao</x:v>
      </x:c>
      <x:c r="N118" t="str">
        <x:v>Chờ duyệt</x:v>
      </x:c>
      <x:c r="O118" t="str"/>
    </x:row>
    <x:row r="119">
      <x:c r="A119" t="str">
        <x:v>DT-TS-2026-118</x:v>
      </x:c>
      <x:c r="B119" t="n">
        <x:v>2026</x:v>
      </x:c>
      <x:c r="C119" t="str">
        <x:v>Q4</x:v>
      </x:c>
      <x:c r="D119" t="str">
        <x:v>2026-10</x:v>
      </x:c>
      <x:c r="E119" t="str">
        <x:v>Sự kiện phụ huynh</x:v>
      </x:c>
      <x:c r="F119" t="str">
        <x:v>School Visit</x:v>
      </x:c>
      <x:c r="G119" t="str">
        <x:v>Chi phí diễn giả</x:v>
      </x:c>
      <x:c r="H119" t="str">
        <x:v>Kinh phí cho chi phí diễn giả thuộc chương trình sự kiện phụ huynh</x:v>
      </x:c>
      <x:c r="I119" t="str">
        <x:v>Admissions Officer</x:v>
      </x:c>
      <x:c r="J119" t="n">
        <x:v>50</x:v>
      </x:c>
      <x:c r="K119" s="12" t="n">
        <x:v>50000000</x:v>
      </x:c>
      <x:c r="L119" s="12" t="n">
        <x:f>J119*K119</x:f>
        <x:v>2500000000</x:v>
      </x:c>
      <x:c r="M119" t="str">
        <x:v>Cao</x:v>
      </x:c>
      <x:c r="N119" t="str">
        <x:v>Đã duyệt</x:v>
      </x:c>
      <x:c r="O119" t="str"/>
    </x:row>
    <x:row r="120">
      <x:c r="A120" t="str">
        <x:v>DT-TS-2026-119</x:v>
      </x:c>
      <x:c r="B120" t="n">
        <x:v>2026</x:v>
      </x:c>
      <x:c r="C120" t="str">
        <x:v>Q4</x:v>
      </x:c>
      <x:c r="D120" t="str">
        <x:v>2026-11</x:v>
      </x:c>
      <x:c r="E120" t="str">
        <x:v>Học bổng tuyển sinh</x:v>
      </x:c>
      <x:c r="F120" t="str">
        <x:v>Partner Channel</x:v>
      </x:c>
      <x:c r="G120" t="str">
        <x:v>Thuê địa điểm sự kiện</x:v>
      </x:c>
      <x:c r="H120" t="str">
        <x:v>Kinh phí cho thuê địa điểm sự kiện thuộc chương trình học bổng tuyển sinh</x:v>
      </x:c>
      <x:c r="I120" t="str">
        <x:v>Admissions Manager</x:v>
      </x:c>
      <x:c r="J120" t="n">
        <x:v>5</x:v>
      </x:c>
      <x:c r="K120" s="12" t="n">
        <x:v>10000000</x:v>
      </x:c>
      <x:c r="L120" s="12" t="n">
        <x:f>J120*K120</x:f>
        <x:v>50000000</x:v>
      </x:c>
      <x:c r="M120" t="str">
        <x:v>Trung bình</x:v>
      </x:c>
      <x:c r="N120" t="str">
        <x:v>Đã duyệt</x:v>
      </x:c>
      <x:c r="O120" t="str"/>
    </x:row>
    <x:row r="121">
      <x:c r="A121" t="str">
        <x:v>DT-TS-2026-120</x:v>
      </x:c>
      <x:c r="B121" t="n">
        <x:v>2026</x:v>
      </x:c>
      <x:c r="C121" t="str">
        <x:v>Q4</x:v>
      </x:c>
      <x:c r="D121" t="str">
        <x:v>2026-12</x:v>
      </x:c>
      <x:c r="E121" t="str">
        <x:v>Tuyển sinh đại học chính quy</x:v>
      </x:c>
      <x:c r="F121" t="str">
        <x:v>Offline</x:v>
      </x:c>
      <x:c r="G121" t="str">
        <x:v>Quà tặng thí sinh</x:v>
      </x:c>
      <x:c r="H121" t="str">
        <x:v>Kinh phí cho quà tặng thí sinh thuộc chương trình tuyển sinh đại học chính quy</x:v>
      </x:c>
      <x:c r="I121" t="str">
        <x:v>Admissions Officer</x:v>
      </x:c>
      <x:c r="J121" t="n">
        <x:v>20</x:v>
      </x:c>
      <x:c r="K121" s="12" t="n">
        <x:v>1000000</x:v>
      </x:c>
      <x:c r="L121" s="12" t="n">
        <x:f>J121*K121</x:f>
        <x:v>20000000</x:v>
      </x:c>
      <x:c r="M121" t="str">
        <x:v>Cao</x:v>
      </x:c>
      <x:c r="N121" t="str">
        <x:v>Chờ duyệt</x:v>
      </x:c>
      <x:c r="O121" t="str"/>
    </x:row>
    <x:row r="122">
      <x:c r="A122" t="str">
        <x:v>DT-TS-2026-121</x:v>
      </x:c>
      <x:c r="B122" t="n">
        <x:v>2026</x:v>
      </x:c>
      <x:c r="C122" t="str">
        <x:v>Q1</x:v>
      </x:c>
      <x:c r="D122" t="str">
        <x:v>2026-01</x:v>
      </x:c>
      <x:c r="E122" t="str">
        <x:v>Open Day / Campus Tour</x:v>
      </x:c>
      <x:c r="F122" t="str">
        <x:v>Partner Channel</x:v>
      </x:c>
      <x:c r="G122" t="str">
        <x:v>Thuê địa điểm sự kiện</x:v>
      </x:c>
      <x:c r="H122" t="str">
        <x:v>Kinh phí cho thuê địa điểm sự kiện thuộc chương trình open day / campus tour</x:v>
      </x:c>
      <x:c r="I122" t="str">
        <x:v>Digital Lead</x:v>
      </x:c>
      <x:c r="J122" t="n">
        <x:v>1000</x:v>
      </x:c>
      <x:c r="K122" s="12" t="n">
        <x:v>5000000</x:v>
      </x:c>
      <x:c r="L122" s="12" t="n">
        <x:f>J122*K122</x:f>
        <x:v>5000000000</x:v>
      </x:c>
      <x:c r="M122" t="str">
        <x:v>Cao</x:v>
      </x:c>
      <x:c r="N122" t="str">
        <x:v>Đã duyệt</x:v>
      </x:c>
      <x:c r="O122" t="str"/>
    </x:row>
    <x:row r="123">
      <x:c r="A123" t="str">
        <x:v>DT-TS-2026-122</x:v>
      </x:c>
      <x:c r="B123" t="n">
        <x:v>2026</x:v>
      </x:c>
      <x:c r="C123" t="str">
        <x:v>Q1</x:v>
      </x:c>
      <x:c r="D123" t="str">
        <x:v>2026-02</x:v>
      </x:c>
      <x:c r="E123" t="str">
        <x:v>International Recruitment</x:v>
      </x:c>
      <x:c r="F123" t="str">
        <x:v>Offline</x:v>
      </x:c>
      <x:c r="G123" t="str">
        <x:v>Thiết kế landing page</x:v>
      </x:c>
      <x:c r="H123" t="str">
        <x:v>Kinh phí cho thiết kế landing page thuộc chương trình international recruitment</x:v>
      </x:c>
      <x:c r="I123" t="str">
        <x:v>Event Coordinator</x:v>
      </x:c>
      <x:c r="J123" t="n">
        <x:v>50</x:v>
      </x:c>
      <x:c r="K123" s="12" t="n">
        <x:v>20000000</x:v>
      </x:c>
      <x:c r="L123" s="12" t="n">
        <x:f>J123*K123</x:f>
        <x:v>1000000000</x:v>
      </x:c>
      <x:c r="M123" t="str">
        <x:v>Cao</x:v>
      </x:c>
      <x:c r="N123" t="str">
        <x:v>Đã duyệt</x:v>
      </x:c>
      <x:c r="O123" t="str"/>
    </x:row>
    <x:row r="124">
      <x:c r="A124" t="str">
        <x:v>DT-TS-2026-123</x:v>
      </x:c>
      <x:c r="B124" t="n">
        <x:v>2026</x:v>
      </x:c>
      <x:c r="C124" t="str">
        <x:v>Q1</x:v>
      </x:c>
      <x:c r="D124" t="str">
        <x:v>2026-03</x:v>
      </x:c>
      <x:c r="E124" t="str">
        <x:v>Sản xuất học liệu truyền thông</x:v>
      </x:c>
      <x:c r="F124" t="str">
        <x:v>Hybrid</x:v>
      </x:c>
      <x:c r="G124" t="str">
        <x:v>Livestream tư vấn</x:v>
      </x:c>
      <x:c r="H124" t="str">
        <x:v>Kinh phí cho livestream tư vấn thuộc chương trình sản xuất học liệu truyền thông</x:v>
      </x:c>
      <x:c r="I124" t="str">
        <x:v>Event Coordinator</x:v>
      </x:c>
      <x:c r="J124" t="n">
        <x:v>3</x:v>
      </x:c>
      <x:c r="K124" s="12" t="n">
        <x:v>1000000</x:v>
      </x:c>
      <x:c r="L124" s="12" t="n">
        <x:f>J124*K124</x:f>
        <x:v>3000000</x:v>
      </x:c>
      <x:c r="M124" t="str">
        <x:v>Cao</x:v>
      </x:c>
      <x:c r="N124" t="str">
        <x:v>Đã duyệt</x:v>
      </x:c>
      <x:c r="O124" t="str"/>
    </x:row>
    <x:row r="125">
      <x:c r="A125" t="str">
        <x:v>DT-TS-2026-124</x:v>
      </x:c>
      <x:c r="B125" t="n">
        <x:v>2026</x:v>
      </x:c>
      <x:c r="C125" t="str">
        <x:v>Q2</x:v>
      </x:c>
      <x:c r="D125" t="str">
        <x:v>2026-04</x:v>
      </x:c>
      <x:c r="E125" t="str">
        <x:v>Học bổng tuyển sinh</x:v>
      </x:c>
      <x:c r="F125" t="str">
        <x:v>Offline</x:v>
      </x:c>
      <x:c r="G125" t="str">
        <x:v>Đào tạo nhân sự</x:v>
      </x:c>
      <x:c r="H125" t="str">
        <x:v>Kinh phí cho đào tạo nhân sự thuộc chương trình học bổng tuyển sinh</x:v>
      </x:c>
      <x:c r="I125" t="str">
        <x:v>Event Coordinator</x:v>
      </x:c>
      <x:c r="J125" t="n">
        <x:v>20</x:v>
      </x:c>
      <x:c r="K125" s="12" t="n">
        <x:v>50000000</x:v>
      </x:c>
      <x:c r="L125" s="12" t="n">
        <x:f>J125*K125</x:f>
        <x:v>1000000000</x:v>
      </x:c>
      <x:c r="M125" t="str">
        <x:v>Cao</x:v>
      </x:c>
      <x:c r="N125" t="str">
        <x:v>Đã duyệt</x:v>
      </x:c>
      <x:c r="O125" t="str"/>
    </x:row>
    <x:row r="126">
      <x:c r="A126" t="str">
        <x:v>DT-TS-2026-125</x:v>
      </x:c>
      <x:c r="B126" t="n">
        <x:v>2026</x:v>
      </x:c>
      <x:c r="C126" t="str">
        <x:v>Q2</x:v>
      </x:c>
      <x:c r="D126" t="str">
        <x:v>2026-05</x:v>
      </x:c>
      <x:c r="E126" t="str">
        <x:v>CRM &amp; Admission System</x:v>
      </x:c>
      <x:c r="F126" t="str">
        <x:v>School Visit</x:v>
      </x:c>
      <x:c r="G126" t="str">
        <x:v>Chi phí email/SMS</x:v>
      </x:c>
      <x:c r="H126" t="str">
        <x:v>Kinh phí cho chi phí email/sms thuộc chương trình crm &amp; admission system</x:v>
      </x:c>
      <x:c r="I126" t="str">
        <x:v>Digital Lead</x:v>
      </x:c>
      <x:c r="J126" t="n">
        <x:v>100</x:v>
      </x:c>
      <x:c r="K126" s="12" t="n">
        <x:v>10000000</x:v>
      </x:c>
      <x:c r="L126" s="12" t="n">
        <x:f>J126*K126</x:f>
        <x:v>1000000000</x:v>
      </x:c>
      <x:c r="M126" t="str">
        <x:v>Trung bình</x:v>
      </x:c>
      <x:c r="N126" t="str">
        <x:v>Tạm dừng</x:v>
      </x:c>
      <x:c r="O126" t="str"/>
    </x:row>
    <x:row r="127">
      <x:c r="A127" t="str">
        <x:v>DT-TS-2026-126</x:v>
      </x:c>
      <x:c r="B127" t="n">
        <x:v>2026</x:v>
      </x:c>
      <x:c r="C127" t="str">
        <x:v>Q2</x:v>
      </x:c>
      <x:c r="D127" t="str">
        <x:v>2026-06</x:v>
      </x:c>
      <x:c r="E127" t="str">
        <x:v>Digital Admission Campaign</x:v>
      </x:c>
      <x:c r="F127" t="str">
        <x:v>School Visit</x:v>
      </x:c>
      <x:c r="G127" t="str">
        <x:v>Chi phí diễn giả</x:v>
      </x:c>
      <x:c r="H127" t="str">
        <x:v>Kinh phí cho chi phí diễn giả thuộc chương trình digital admission campaign</x:v>
      </x:c>
      <x:c r="I127" t="str">
        <x:v>Admissions Officer</x:v>
      </x:c>
      <x:c r="J127" t="n">
        <x:v>20</x:v>
      </x:c>
      <x:c r="K127" s="12" t="n">
        <x:v>2500000</x:v>
      </x:c>
      <x:c r="L127" s="12" t="n">
        <x:f>J127*K127</x:f>
        <x:v>50000000</x:v>
      </x:c>
      <x:c r="M127" t="str">
        <x:v>Cao</x:v>
      </x:c>
      <x:c r="N127" t="str">
        <x:v>Đã duyệt</x:v>
      </x:c>
      <x:c r="O127" t="str"/>
    </x:row>
    <x:row r="128">
      <x:c r="A128" t="str">
        <x:v>DT-TS-2026-127</x:v>
      </x:c>
      <x:c r="B128" t="n">
        <x:v>2026</x:v>
      </x:c>
      <x:c r="C128" t="str">
        <x:v>Q3</x:v>
      </x:c>
      <x:c r="D128" t="str">
        <x:v>2026-07</x:v>
      </x:c>
      <x:c r="E128" t="str">
        <x:v>Tuyển sinh sau đại học</x:v>
      </x:c>
      <x:c r="F128" t="str">
        <x:v>Offline</x:v>
      </x:c>
      <x:c r="G128" t="str">
        <x:v>Chi phí đi lại công tác</x:v>
      </x:c>
      <x:c r="H128" t="str">
        <x:v>Kinh phí cho chi phí đi lại công tác thuộc chương trình tuyển sinh sau đại học</x:v>
      </x:c>
      <x:c r="I128" t="str">
        <x:v>Event Coordinator</x:v>
      </x:c>
      <x:c r="J128" t="n">
        <x:v>500</x:v>
      </x:c>
      <x:c r="K128" s="12" t="n">
        <x:v>50000000</x:v>
      </x:c>
      <x:c r="L128" s="12" t="n">
        <x:f>J128*K128</x:f>
        <x:v>25000000000</x:v>
      </x:c>
      <x:c r="M128" t="str">
        <x:v>Thấp</x:v>
      </x:c>
      <x:c r="N128" t="str">
        <x:v>Chờ duyệt</x:v>
      </x:c>
      <x:c r="O128" t="str"/>
    </x:row>
    <x:row r="129">
      <x:c r="A129" t="str">
        <x:v>DT-TS-2026-128</x:v>
      </x:c>
      <x:c r="B129" t="n">
        <x:v>2026</x:v>
      </x:c>
      <x:c r="C129" t="str">
        <x:v>Q3</x:v>
      </x:c>
      <x:c r="D129" t="str">
        <x:v>2026-08</x:v>
      </x:c>
      <x:c r="E129" t="str">
        <x:v>Đào tạo cộng tác viên tuyển sinh</x:v>
      </x:c>
      <x:c r="F129" t="str">
        <x:v>Online</x:v>
      </x:c>
      <x:c r="G129" t="str">
        <x:v>Tổ chức booth tư vấn</x:v>
      </x:c>
      <x:c r="H129" t="str">
        <x:v>Kinh phí cho tổ chức booth tư vấn thuộc chương trình đào tạo cộng tác viên tuyển sinh</x:v>
      </x:c>
      <x:c r="I129" t="str">
        <x:v>Scholarship Officer</x:v>
      </x:c>
      <x:c r="J129" t="n">
        <x:v>2</x:v>
      </x:c>
      <x:c r="K129" s="12" t="n">
        <x:v>15000000</x:v>
      </x:c>
      <x:c r="L129" s="12" t="n">
        <x:f>J129*K129</x:f>
        <x:v>30000000</x:v>
      </x:c>
      <x:c r="M129" t="str">
        <x:v>Thấp</x:v>
      </x:c>
      <x:c r="N129" t="str">
        <x:v>Chờ duyệt</x:v>
      </x:c>
      <x:c r="O129" t="str"/>
    </x:row>
    <x:row r="130">
      <x:c r="A130" t="str">
        <x:v>DT-TS-2026-129</x:v>
      </x:c>
      <x:c r="B130" t="n">
        <x:v>2026</x:v>
      </x:c>
      <x:c r="C130" t="str">
        <x:v>Q3</x:v>
      </x:c>
      <x:c r="D130" t="str">
        <x:v>2026-09</x:v>
      </x:c>
      <x:c r="E130" t="str">
        <x:v>Open Day / Campus Tour</x:v>
      </x:c>
      <x:c r="F130" t="str">
        <x:v>Online</x:v>
      </x:c>
      <x:c r="G130" t="str">
        <x:v>Chi phí đi lại công tác</x:v>
      </x:c>
      <x:c r="H130" t="str">
        <x:v>Kinh phí cho chi phí đi lại công tác thuộc chương trình open day / campus tour</x:v>
      </x:c>
      <x:c r="I130" t="str">
        <x:v>Event Coordinator</x:v>
      </x:c>
      <x:c r="J130" t="n">
        <x:v>500</x:v>
      </x:c>
      <x:c r="K130" s="12" t="n">
        <x:v>1500000</x:v>
      </x:c>
      <x:c r="L130" s="12" t="n">
        <x:f>J130*K130</x:f>
        <x:v>750000000</x:v>
      </x:c>
      <x:c r="M130" t="str">
        <x:v>Trung bình</x:v>
      </x:c>
      <x:c r="N130" t="str">
        <x:v>Đã duyệt</x:v>
      </x:c>
      <x:c r="O130" t="str"/>
    </x:row>
    <x:row r="131">
      <x:c r="A131" t="str">
        <x:v>DT-TS-2026-130</x:v>
      </x:c>
      <x:c r="B131" t="n">
        <x:v>2026</x:v>
      </x:c>
      <x:c r="C131" t="str">
        <x:v>Q4</x:v>
      </x:c>
      <x:c r="D131" t="str">
        <x:v>2026-10</x:v>
      </x:c>
      <x:c r="E131" t="str">
        <x:v>Đào tạo cộng tác viên tuyển sinh</x:v>
      </x:c>
      <x:c r="F131" t="str">
        <x:v>Partner Channel</x:v>
      </x:c>
      <x:c r="G131" t="str">
        <x:v>Học bổng đầu vào</x:v>
      </x:c>
      <x:c r="H131" t="str">
        <x:v>Kinh phí cho học bổng đầu vào thuộc chương trình đào tạo cộng tác viên tuyển sinh</x:v>
      </x:c>
      <x:c r="I131" t="str">
        <x:v>Event Coordinator</x:v>
      </x:c>
      <x:c r="J131" t="n">
        <x:v>5</x:v>
      </x:c>
      <x:c r="K131" s="12" t="n">
        <x:v>30000000</x:v>
      </x:c>
      <x:c r="L131" s="12" t="n">
        <x:f>J131*K131</x:f>
        <x:v>150000000</x:v>
      </x:c>
      <x:c r="M131" t="str">
        <x:v>Thấp</x:v>
      </x:c>
      <x:c r="N131" t="str">
        <x:v>Đã duyệt</x:v>
      </x:c>
      <x:c r="O131" t="str"/>
    </x:row>
    <x:row r="132">
      <x:c r="A132" t="str">
        <x:v>DT-TS-2026-131</x:v>
      </x:c>
      <x:c r="B132" t="n">
        <x:v>2026</x:v>
      </x:c>
      <x:c r="C132" t="str">
        <x:v>Q4</x:v>
      </x:c>
      <x:c r="D132" t="str">
        <x:v>2026-11</x:v>
      </x:c>
      <x:c r="E132" t="str">
        <x:v>International Recruitment</x:v>
      </x:c>
      <x:c r="F132" t="str">
        <x:v>Partner Channel</x:v>
      </x:c>
      <x:c r="G132" t="str">
        <x:v>Đào tạo nhân sự</x:v>
      </x:c>
      <x:c r="H132" t="str">
        <x:v>Kinh phí cho đào tạo nhân sự thuộc chương trình international recruitment</x:v>
      </x:c>
      <x:c r="I132" t="str">
        <x:v>Admissions Officer</x:v>
      </x:c>
      <x:c r="J132" t="n">
        <x:v>100</x:v>
      </x:c>
      <x:c r="K132" s="12" t="n">
        <x:v>500000</x:v>
      </x:c>
      <x:c r="L132" s="12" t="n">
        <x:f>J132*K132</x:f>
        <x:v>50000000</x:v>
      </x:c>
      <x:c r="M132" t="str">
        <x:v>Cao</x:v>
      </x:c>
      <x:c r="N132" t="str">
        <x:v>Đã duyệt</x:v>
      </x:c>
      <x:c r="O132" t="str"/>
    </x:row>
    <x:row r="133">
      <x:c r="A133" t="str">
        <x:v>DT-TS-2026-132</x:v>
      </x:c>
      <x:c r="B133" t="n">
        <x:v>2026</x:v>
      </x:c>
      <x:c r="C133" t="str">
        <x:v>Q4</x:v>
      </x:c>
      <x:c r="D133" t="str">
        <x:v>2026-12</x:v>
      </x:c>
      <x:c r="E133" t="str">
        <x:v>Học bổng tuyển sinh</x:v>
      </x:c>
      <x:c r="F133" t="str">
        <x:v>Online</x:v>
      </x:c>
      <x:c r="G133" t="str">
        <x:v>Thiết kế landing page</x:v>
      </x:c>
      <x:c r="H133" t="str">
        <x:v>Kinh phí cho thiết kế landing page thuộc chương trình học bổng tuyển sinh</x:v>
      </x:c>
      <x:c r="I133" t="str">
        <x:v>Event Coordinator</x:v>
      </x:c>
      <x:c r="J133" t="n">
        <x:v>30</x:v>
      </x:c>
      <x:c r="K133" s="12" t="n">
        <x:v>10000000</x:v>
      </x:c>
      <x:c r="L133" s="12" t="n">
        <x:f>J133*K133</x:f>
        <x:v>300000000</x:v>
      </x:c>
      <x:c r="M133" t="str">
        <x:v>Cao</x:v>
      </x:c>
      <x:c r="N133" t="str">
        <x:v>Đã duyệt</x:v>
      </x:c>
      <x:c r="O133" t="str"/>
    </x:row>
    <x:row r="134">
      <x:c r="A134" t="str">
        <x:v>DT-TS-2026-133</x:v>
      </x:c>
      <x:c r="B134" t="n">
        <x:v>2026</x:v>
      </x:c>
      <x:c r="C134" t="str">
        <x:v>Q1</x:v>
      </x:c>
      <x:c r="D134" t="str">
        <x:v>2026-01</x:v>
      </x:c>
      <x:c r="E134" t="str">
        <x:v>Tuyển sinh đại học chính quy</x:v>
      </x:c>
      <x:c r="F134" t="str">
        <x:v>Hybrid</x:v>
      </x:c>
      <x:c r="G134" t="str">
        <x:v>Quảng cáo Facebook/Instagram</x:v>
      </x:c>
      <x:c r="H134" t="str">
        <x:v>Kinh phí cho quảng cáo facebook/instagram thuộc chương trình tuyển sinh đại học chính quy</x:v>
      </x:c>
      <x:c r="I134" t="str">
        <x:v>Digital Lead</x:v>
      </x:c>
      <x:c r="J134" t="n">
        <x:v>10</x:v>
      </x:c>
      <x:c r="K134" s="12" t="n">
        <x:v>500000</x:v>
      </x:c>
      <x:c r="L134" s="12" t="n">
        <x:f>J134*K134</x:f>
        <x:v>5000000</x:v>
      </x:c>
      <x:c r="M134" t="str">
        <x:v>Cao</x:v>
      </x:c>
      <x:c r="N134" t="str">
        <x:v>Chờ duyệt</x:v>
      </x:c>
      <x:c r="O134" t="str"/>
    </x:row>
    <x:row r="135">
      <x:c r="A135" t="str">
        <x:v>DT-TS-2026-134</x:v>
      </x:c>
      <x:c r="B135" t="n">
        <x:v>2026</x:v>
      </x:c>
      <x:c r="C135" t="str">
        <x:v>Q1</x:v>
      </x:c>
      <x:c r="D135" t="str">
        <x:v>2026-02</x:v>
      </x:c>
      <x:c r="E135" t="str">
        <x:v>CRM &amp; Admission System</x:v>
      </x:c>
      <x:c r="F135" t="str">
        <x:v>Offline</x:v>
      </x:c>
      <x:c r="G135" t="str">
        <x:v>Chi phí đi lại công tác</x:v>
      </x:c>
      <x:c r="H135" t="str">
        <x:v>Kinh phí cho chi phí đi lại công tác thuộc chương trình crm &amp; admission system</x:v>
      </x:c>
      <x:c r="I135" t="str">
        <x:v>Admissions Manager</x:v>
      </x:c>
      <x:c r="J135" t="n">
        <x:v>200</x:v>
      </x:c>
      <x:c r="K135" s="12" t="n">
        <x:v>50000000</x:v>
      </x:c>
      <x:c r="L135" s="12" t="n">
        <x:f>J135*K135</x:f>
        <x:v>10000000000</x:v>
      </x:c>
      <x:c r="M135" t="str">
        <x:v>Cao</x:v>
      </x:c>
      <x:c r="N135" t="str">
        <x:v>Đã duyệt</x:v>
      </x:c>
      <x:c r="O135" t="str"/>
    </x:row>
    <x:row r="136">
      <x:c r="A136" t="str">
        <x:v>DT-TS-2026-135</x:v>
      </x:c>
      <x:c r="B136" t="n">
        <x:v>2026</x:v>
      </x:c>
      <x:c r="C136" t="str">
        <x:v>Q1</x:v>
      </x:c>
      <x:c r="D136" t="str">
        <x:v>2026-03</x:v>
      </x:c>
      <x:c r="E136" t="str">
        <x:v>Tuyển sinh sau đại học</x:v>
      </x:c>
      <x:c r="F136" t="str">
        <x:v>School Visit</x:v>
      </x:c>
      <x:c r="G136" t="str">
        <x:v>Chi phí diễn giả</x:v>
      </x:c>
      <x:c r="H136" t="str">
        <x:v>Kinh phí cho chi phí diễn giả thuộc chương trình tuyển sinh sau đại học</x:v>
      </x:c>
      <x:c r="I136" t="str">
        <x:v>Scholarship Officer</x:v>
      </x:c>
      <x:c r="J136" t="n">
        <x:v>500</x:v>
      </x:c>
      <x:c r="K136" s="12" t="n">
        <x:v>2500000</x:v>
      </x:c>
      <x:c r="L136" s="12" t="n">
        <x:f>J136*K136</x:f>
        <x:v>1250000000</x:v>
      </x:c>
      <x:c r="M136" t="str">
        <x:v>Cao</x:v>
      </x:c>
      <x:c r="N136" t="str">
        <x:v>Đã duyệt</x:v>
      </x:c>
      <x:c r="O136" t="str"/>
    </x:row>
    <x:row r="137">
      <x:c r="A137" t="str">
        <x:v>DT-TS-2026-136</x:v>
      </x:c>
      <x:c r="B137" t="n">
        <x:v>2026</x:v>
      </x:c>
      <x:c r="C137" t="str">
        <x:v>Q2</x:v>
      </x:c>
      <x:c r="D137" t="str">
        <x:v>2026-04</x:v>
      </x:c>
      <x:c r="E137" t="str">
        <x:v>Học bổng tuyển sinh</x:v>
      </x:c>
      <x:c r="F137" t="str">
        <x:v>Hybrid</x:v>
      </x:c>
      <x:c r="G137" t="str">
        <x:v>Thuê địa điểm sự kiện</x:v>
      </x:c>
      <x:c r="H137" t="str">
        <x:v>Kinh phí cho thuê địa điểm sự kiện thuộc chương trình học bổng tuyển sinh</x:v>
      </x:c>
      <x:c r="I137" t="str">
        <x:v>Scholarship Officer</x:v>
      </x:c>
      <x:c r="J137" t="n">
        <x:v>5</x:v>
      </x:c>
      <x:c r="K137" s="12" t="n">
        <x:v>50000000</x:v>
      </x:c>
      <x:c r="L137" s="12" t="n">
        <x:f>J137*K137</x:f>
        <x:v>250000000</x:v>
      </x:c>
      <x:c r="M137" t="str">
        <x:v>Cao</x:v>
      </x:c>
      <x:c r="N137" t="str">
        <x:v>Đã duyệt</x:v>
      </x:c>
      <x:c r="O137" t="str"/>
    </x:row>
    <x:row r="138">
      <x:c r="A138" t="str">
        <x:v>DT-TS-2026-137</x:v>
      </x:c>
      <x:c r="B138" t="n">
        <x:v>2026</x:v>
      </x:c>
      <x:c r="C138" t="str">
        <x:v>Q2</x:v>
      </x:c>
      <x:c r="D138" t="str">
        <x:v>2026-05</x:v>
      </x:c>
      <x:c r="E138" t="str">
        <x:v>Sự kiện phụ huynh</x:v>
      </x:c>
      <x:c r="F138" t="str">
        <x:v>School Visit</x:v>
      </x:c>
      <x:c r="G138" t="str">
        <x:v>Chi phí diễn giả</x:v>
      </x:c>
      <x:c r="H138" t="str">
        <x:v>Kinh phí cho chi phí diễn giả thuộc chương trình sự kiện phụ huynh</x:v>
      </x:c>
      <x:c r="I138" t="str">
        <x:v>Digital Lead</x:v>
      </x:c>
      <x:c r="J138" t="n">
        <x:v>5</x:v>
      </x:c>
      <x:c r="K138" s="12" t="n">
        <x:v>50000000</x:v>
      </x:c>
      <x:c r="L138" s="12" t="n">
        <x:f>J138*K138</x:f>
        <x:v>250000000</x:v>
      </x:c>
      <x:c r="M138" t="str">
        <x:v>Cao</x:v>
      </x:c>
      <x:c r="N138" t="str">
        <x:v>Đã duyệt</x:v>
      </x:c>
      <x:c r="O138" t="str"/>
    </x:row>
    <x:row r="139">
      <x:c r="A139" t="str">
        <x:v>DT-TS-2026-138</x:v>
      </x:c>
      <x:c r="B139" t="n">
        <x:v>2026</x:v>
      </x:c>
      <x:c r="C139" t="str">
        <x:v>Q2</x:v>
      </x:c>
      <x:c r="D139" t="str">
        <x:v>2026-06</x:v>
      </x:c>
      <x:c r="E139" t="str">
        <x:v>Tuyển sinh sau đại học</x:v>
      </x:c>
      <x:c r="F139" t="str">
        <x:v>Offline</x:v>
      </x:c>
      <x:c r="G139" t="str">
        <x:v>Đào tạo nhân sự</x:v>
      </x:c>
      <x:c r="H139" t="str">
        <x:v>Kinh phí cho đào tạo nhân sự thuộc chương trình tuyển sinh sau đại học</x:v>
      </x:c>
      <x:c r="I139" t="str">
        <x:v>Event Coordinator</x:v>
      </x:c>
      <x:c r="J139" t="n">
        <x:v>50</x:v>
      </x:c>
      <x:c r="K139" s="12" t="n">
        <x:v>1000000</x:v>
      </x:c>
      <x:c r="L139" s="12" t="n">
        <x:f>J139*K139</x:f>
        <x:v>50000000</x:v>
      </x:c>
      <x:c r="M139" t="str">
        <x:v>Trung bình</x:v>
      </x:c>
      <x:c r="N139" t="str">
        <x:v>Đã duyệt</x:v>
      </x:c>
      <x:c r="O139" t="str"/>
    </x:row>
    <x:row r="140">
      <x:c r="A140" t="str">
        <x:v>DT-TS-2026-139</x:v>
      </x:c>
      <x:c r="B140" t="n">
        <x:v>2026</x:v>
      </x:c>
      <x:c r="C140" t="str">
        <x:v>Q3</x:v>
      </x:c>
      <x:c r="D140" t="str">
        <x:v>2026-07</x:v>
      </x:c>
      <x:c r="E140" t="str">
        <x:v>Sản xuất học liệu truyền thông</x:v>
      </x:c>
      <x:c r="F140" t="str">
        <x:v>School Visit</x:v>
      </x:c>
      <x:c r="G140" t="str">
        <x:v>In ấn brochure</x:v>
      </x:c>
      <x:c r="H140" t="str">
        <x:v>Kinh phí cho in ấn brochure thuộc chương trình sản xuất học liệu truyền thông</x:v>
      </x:c>
      <x:c r="I140" t="str">
        <x:v>Digital Lead</x:v>
      </x:c>
      <x:c r="J140" t="n">
        <x:v>1</x:v>
      </x:c>
      <x:c r="K140" s="12" t="n">
        <x:v>50000000</x:v>
      </x:c>
      <x:c r="L140" s="12" t="n">
        <x:f>J140*K140</x:f>
        <x:v>50000000</x:v>
      </x:c>
      <x:c r="M140" t="str">
        <x:v>Cao</x:v>
      </x:c>
      <x:c r="N140" t="str">
        <x:v>Đã duyệt</x:v>
      </x:c>
      <x:c r="O140" t="str"/>
    </x:row>
    <x:row r="141">
      <x:c r="A141" t="str">
        <x:v>DT-TS-2026-140</x:v>
      </x:c>
      <x:c r="B141" t="n">
        <x:v>2026</x:v>
      </x:c>
      <x:c r="C141" t="str">
        <x:v>Q3</x:v>
      </x:c>
      <x:c r="D141" t="str">
        <x:v>2026-08</x:v>
      </x:c>
      <x:c r="E141" t="str">
        <x:v>Sản xuất học liệu truyền thông</x:v>
      </x:c>
      <x:c r="F141" t="str">
        <x:v>Hybrid</x:v>
      </x:c>
      <x:c r="G141" t="str">
        <x:v>Quảng cáo Facebook/Instagram</x:v>
      </x:c>
      <x:c r="H141" t="str">
        <x:v>Kinh phí cho quảng cáo facebook/instagram thuộc chương trình sản xuất học liệu truyền thông</x:v>
      </x:c>
      <x:c r="I141" t="str">
        <x:v>Admissions Manager</x:v>
      </x:c>
      <x:c r="J141" t="n">
        <x:v>200</x:v>
      </x:c>
      <x:c r="K141" s="12" t="n">
        <x:v>15000000</x:v>
      </x:c>
      <x:c r="L141" s="12" t="n">
        <x:f>J141*K141</x:f>
        <x:v>3000000000</x:v>
      </x:c>
      <x:c r="M141" t="str">
        <x:v>Trung bình</x:v>
      </x:c>
      <x:c r="N141" t="str">
        <x:v>Đã duyệt</x:v>
      </x:c>
      <x:c r="O141" t="str"/>
    </x:row>
    <x:row r="142">
      <x:c r="A142" t="str">
        <x:v>DT-TS-2026-141</x:v>
      </x:c>
      <x:c r="B142" t="n">
        <x:v>2026</x:v>
      </x:c>
      <x:c r="C142" t="str">
        <x:v>Q3</x:v>
      </x:c>
      <x:c r="D142" t="str">
        <x:v>2026-09</x:v>
      </x:c>
      <x:c r="E142" t="str">
        <x:v>Ngày hội tuyển sinh</x:v>
      </x:c>
      <x:c r="F142" t="str">
        <x:v>Offline</x:v>
      </x:c>
      <x:c r="G142" t="str">
        <x:v>Thiết kế landing page</x:v>
      </x:c>
      <x:c r="H142" t="str">
        <x:v>Kinh phí cho thiết kế landing page thuộc chương trình ngày hội tuyển sinh</x:v>
      </x:c>
      <x:c r="I142" t="str">
        <x:v>Admissions Officer</x:v>
      </x:c>
      <x:c r="J142" t="n">
        <x:v>200</x:v>
      </x:c>
      <x:c r="K142" s="12" t="n">
        <x:v>5000000</x:v>
      </x:c>
      <x:c r="L142" s="12" t="n">
        <x:f>J142*K142</x:f>
        <x:v>1000000000</x:v>
      </x:c>
      <x:c r="M142" t="str">
        <x:v>Thấp</x:v>
      </x:c>
      <x:c r="N142" t="str">
        <x:v>Đã duyệt</x:v>
      </x:c>
      <x:c r="O142" t="str"/>
    </x:row>
    <x:row r="143">
      <x:c r="A143" t="str">
        <x:v>DT-TS-2026-142</x:v>
      </x:c>
      <x:c r="B143" t="n">
        <x:v>2026</x:v>
      </x:c>
      <x:c r="C143" t="str">
        <x:v>Q4</x:v>
      </x:c>
      <x:c r="D143" t="str">
        <x:v>2026-10</x:v>
      </x:c>
      <x:c r="E143" t="str">
        <x:v>Học bổng tuyển sinh</x:v>
      </x:c>
      <x:c r="F143" t="str">
        <x:v>Online</x:v>
      </x:c>
      <x:c r="G143" t="str">
        <x:v>Chi phí email/SMS</x:v>
      </x:c>
      <x:c r="H143" t="str">
        <x:v>Kinh phí cho chi phí email/sms thuộc chương trình học bổng tuyển sinh</x:v>
      </x:c>
      <x:c r="I143" t="str">
        <x:v>Digital Lead</x:v>
      </x:c>
      <x:c r="J143" t="n">
        <x:v>20</x:v>
      </x:c>
      <x:c r="K143" s="12" t="n">
        <x:v>20000000</x:v>
      </x:c>
      <x:c r="L143" s="12" t="n">
        <x:f>J143*K143</x:f>
        <x:v>400000000</x:v>
      </x:c>
      <x:c r="M143" t="str">
        <x:v>Cao</x:v>
      </x:c>
      <x:c r="N143" t="str">
        <x:v>Đã duyệt</x:v>
      </x:c>
      <x:c r="O143" t="str"/>
    </x:row>
    <x:row r="144">
      <x:c r="A144" t="str">
        <x:v>DT-TS-2026-143</x:v>
      </x:c>
      <x:c r="B144" t="n">
        <x:v>2026</x:v>
      </x:c>
      <x:c r="C144" t="str">
        <x:v>Q4</x:v>
      </x:c>
      <x:c r="D144" t="str">
        <x:v>2026-11</x:v>
      </x:c>
      <x:c r="E144" t="str">
        <x:v>Digital Admission Campaign</x:v>
      </x:c>
      <x:c r="F144" t="str">
        <x:v>Partner Channel</x:v>
      </x:c>
      <x:c r="G144" t="str">
        <x:v>Sản xuất video tuyển sinh</x:v>
      </x:c>
      <x:c r="H144" t="str">
        <x:v>Kinh phí cho sản xuất video tuyển sinh thuộc chương trình digital admission campaign</x:v>
      </x:c>
      <x:c r="I144" t="str">
        <x:v>Scholarship Officer</x:v>
      </x:c>
      <x:c r="J144" t="n">
        <x:v>100</x:v>
      </x:c>
      <x:c r="K144" s="12" t="n">
        <x:v>8000000</x:v>
      </x:c>
      <x:c r="L144" s="12" t="n">
        <x:f>J144*K144</x:f>
        <x:v>800000000</x:v>
      </x:c>
      <x:c r="M144" t="str">
        <x:v>Thấp</x:v>
      </x:c>
      <x:c r="N144" t="str">
        <x:v>Đã duyệt</x:v>
      </x:c>
      <x:c r="O144" t="str"/>
    </x:row>
    <x:row r="145">
      <x:c r="A145" t="str">
        <x:v>DT-TS-2026-144</x:v>
      </x:c>
      <x:c r="B145" t="n">
        <x:v>2026</x:v>
      </x:c>
      <x:c r="C145" t="str">
        <x:v>Q4</x:v>
      </x:c>
      <x:c r="D145" t="str">
        <x:v>2026-12</x:v>
      </x:c>
      <x:c r="E145" t="str">
        <x:v>Học bổng tuyển sinh</x:v>
      </x:c>
      <x:c r="F145" t="str">
        <x:v>School Visit</x:v>
      </x:c>
      <x:c r="G145" t="str">
        <x:v>Livestream tư vấn</x:v>
      </x:c>
      <x:c r="H145" t="str">
        <x:v>Kinh phí cho livestream tư vấn thuộc chương trình học bổng tuyển sinh</x:v>
      </x:c>
      <x:c r="I145" t="str">
        <x:v>Admissions Officer</x:v>
      </x:c>
      <x:c r="J145" t="n">
        <x:v>20</x:v>
      </x:c>
      <x:c r="K145" s="12" t="n">
        <x:v>10000000</x:v>
      </x:c>
      <x:c r="L145" s="12" t="n">
        <x:f>J145*K145</x:f>
        <x:v>200000000</x:v>
      </x:c>
      <x:c r="M145" t="str">
        <x:v>Cao</x:v>
      </x:c>
      <x:c r="N145" t="str">
        <x:v>Tạm dừng</x:v>
      </x:c>
      <x:c r="O145" t="str"/>
    </x:row>
    <x:row r="146">
      <x:c r="A146" t="str">
        <x:v>DT-TS-2026-145</x:v>
      </x:c>
      <x:c r="B146" t="n">
        <x:v>2026</x:v>
      </x:c>
      <x:c r="C146" t="str">
        <x:v>Q1</x:v>
      </x:c>
      <x:c r="D146" t="str">
        <x:v>2026-01</x:v>
      </x:c>
      <x:c r="E146" t="str">
        <x:v>Ngày hội tuyển sinh</x:v>
      </x:c>
      <x:c r="F146" t="str">
        <x:v>School Visit</x:v>
      </x:c>
      <x:c r="G146" t="str">
        <x:v>Học bổng đầu vào</x:v>
      </x:c>
      <x:c r="H146" t="str">
        <x:v>Kinh phí cho học bổng đầu vào thuộc chương trình ngày hội tuyển sinh</x:v>
      </x:c>
      <x:c r="I146" t="str">
        <x:v>Admissions Officer</x:v>
      </x:c>
      <x:c r="J146" t="n">
        <x:v>20</x:v>
      </x:c>
      <x:c r="K146" s="12" t="n">
        <x:v>10000000</x:v>
      </x:c>
      <x:c r="L146" s="12" t="n">
        <x:f>J146*K146</x:f>
        <x:v>200000000</x:v>
      </x:c>
      <x:c r="M146" t="str">
        <x:v>Cao</x:v>
      </x:c>
      <x:c r="N146" t="str">
        <x:v>Chờ duyệt</x:v>
      </x:c>
      <x:c r="O146" t="str"/>
    </x:row>
    <x:row r="147">
      <x:c r="A147" t="str">
        <x:v>DT-TS-2026-146</x:v>
      </x:c>
      <x:c r="B147" t="n">
        <x:v>2026</x:v>
      </x:c>
      <x:c r="C147" t="str">
        <x:v>Q1</x:v>
      </x:c>
      <x:c r="D147" t="str">
        <x:v>2026-02</x:v>
      </x:c>
      <x:c r="E147" t="str">
        <x:v>Sự kiện phụ huynh</x:v>
      </x:c>
      <x:c r="F147" t="str">
        <x:v>Hybrid</x:v>
      </x:c>
      <x:c r="G147" t="str">
        <x:v>Phần mềm CRM</x:v>
      </x:c>
      <x:c r="H147" t="str">
        <x:v>Kinh phí cho phần mềm crm thuộc chương trình sự kiện phụ huynh</x:v>
      </x:c>
      <x:c r="I147" t="str">
        <x:v>Scholarship Officer</x:v>
      </x:c>
      <x:c r="J147" t="n">
        <x:v>1000</x:v>
      </x:c>
      <x:c r="K147" s="12" t="n">
        <x:v>50000000</x:v>
      </x:c>
      <x:c r="L147" s="12" t="n">
        <x:f>J147*K147</x:f>
        <x:v>50000000000</x:v>
      </x:c>
      <x:c r="M147" t="str">
        <x:v>Cao</x:v>
      </x:c>
      <x:c r="N147" t="str">
        <x:v>Đã duyệt</x:v>
      </x:c>
      <x:c r="O147" t="str"/>
    </x:row>
    <x:row r="148">
      <x:c r="A148" t="str">
        <x:v>DT-TS-2026-147</x:v>
      </x:c>
      <x:c r="B148" t="n">
        <x:v>2026</x:v>
      </x:c>
      <x:c r="C148" t="str">
        <x:v>Q1</x:v>
      </x:c>
      <x:c r="D148" t="str">
        <x:v>2026-03</x:v>
      </x:c>
      <x:c r="E148" t="str">
        <x:v>Sự kiện phụ huynh</x:v>
      </x:c>
      <x:c r="F148" t="str">
        <x:v>School Visit</x:v>
      </x:c>
      <x:c r="G148" t="str">
        <x:v>Quảng cáo Google Search</x:v>
      </x:c>
      <x:c r="H148" t="str">
        <x:v>Kinh phí cho quảng cáo google search thuộc chương trình sự kiện phụ huynh</x:v>
      </x:c>
      <x:c r="I148" t="str">
        <x:v>Admissions Officer</x:v>
      </x:c>
      <x:c r="J148" t="n">
        <x:v>500</x:v>
      </x:c>
      <x:c r="K148" s="12" t="n">
        <x:v>2500000</x:v>
      </x:c>
      <x:c r="L148" s="12" t="n">
        <x:f>J148*K148</x:f>
        <x:v>1250000000</x:v>
      </x:c>
      <x:c r="M148" t="str">
        <x:v>Trung bình</x:v>
      </x:c>
      <x:c r="N148" t="str">
        <x:v>Tạm dừng</x:v>
      </x:c>
      <x:c r="O148" t="str"/>
    </x:row>
    <x:row r="149">
      <x:c r="A149" t="str">
        <x:v>DT-TS-2026-148</x:v>
      </x:c>
      <x:c r="B149" t="n">
        <x:v>2026</x:v>
      </x:c>
      <x:c r="C149" t="str">
        <x:v>Q2</x:v>
      </x:c>
      <x:c r="D149" t="str">
        <x:v>2026-04</x:v>
      </x:c>
      <x:c r="E149" t="str">
        <x:v>Sự kiện phụ huynh</x:v>
      </x:c>
      <x:c r="F149" t="str">
        <x:v>Online</x:v>
      </x:c>
      <x:c r="G149" t="str">
        <x:v>Livestream tư vấn</x:v>
      </x:c>
      <x:c r="H149" t="str">
        <x:v>Kinh phí cho livestream tư vấn thuộc chương trình sự kiện phụ huynh</x:v>
      </x:c>
      <x:c r="I149" t="str">
        <x:v>Event Coordinator</x:v>
      </x:c>
      <x:c r="J149" t="n">
        <x:v>200</x:v>
      </x:c>
      <x:c r="K149" s="12" t="n">
        <x:v>2500000</x:v>
      </x:c>
      <x:c r="L149" s="12" t="n">
        <x:f>J149*K149</x:f>
        <x:v>500000000</x:v>
      </x:c>
      <x:c r="M149" t="str">
        <x:v>Thấp</x:v>
      </x:c>
      <x:c r="N149" t="str">
        <x:v>Đã duyệt</x:v>
      </x:c>
      <x:c r="O149" t="str"/>
    </x:row>
    <x:row r="150">
      <x:c r="A150" t="str">
        <x:v>DT-TS-2026-149</x:v>
      </x:c>
      <x:c r="B150" t="n">
        <x:v>2026</x:v>
      </x:c>
      <x:c r="C150" t="str">
        <x:v>Q2</x:v>
      </x:c>
      <x:c r="D150" t="str">
        <x:v>2026-05</x:v>
      </x:c>
      <x:c r="E150" t="str">
        <x:v>Tuyển sinh sau đại học</x:v>
      </x:c>
      <x:c r="F150" t="str">
        <x:v>Online</x:v>
      </x:c>
      <x:c r="G150" t="str">
        <x:v>Quảng cáo Google Search</x:v>
      </x:c>
      <x:c r="H150" t="str">
        <x:v>Kinh phí cho quảng cáo google search thuộc chương trình tuyển sinh sau đại học</x:v>
      </x:c>
      <x:c r="I150" t="str">
        <x:v>Digital Lead</x:v>
      </x:c>
      <x:c r="J150" t="n">
        <x:v>3</x:v>
      </x:c>
      <x:c r="K150" s="12" t="n">
        <x:v>500000</x:v>
      </x:c>
      <x:c r="L150" s="12" t="n">
        <x:f>J150*K150</x:f>
        <x:v>1500000</x:v>
      </x:c>
      <x:c r="M150" t="str">
        <x:v>Thấp</x:v>
      </x:c>
      <x:c r="N150" t="str">
        <x:v>Chờ duyệt</x:v>
      </x:c>
      <x:c r="O150" t="str"/>
    </x:row>
    <x:row r="151">
      <x:c r="A151" t="str">
        <x:v>DT-TS-2026-150</x:v>
      </x:c>
      <x:c r="B151" t="n">
        <x:v>2026</x:v>
      </x:c>
      <x:c r="C151" t="str">
        <x:v>Q2</x:v>
      </x:c>
      <x:c r="D151" t="str">
        <x:v>2026-06</x:v>
      </x:c>
      <x:c r="E151" t="str">
        <x:v>Digital Admission Campaign</x:v>
      </x:c>
      <x:c r="F151" t="str">
        <x:v>School Visit</x:v>
      </x:c>
      <x:c r="G151" t="str">
        <x:v>Livestream tư vấn</x:v>
      </x:c>
      <x:c r="H151" t="str">
        <x:v>Kinh phí cho livestream tư vấn thuộc chương trình digital admission campaign</x:v>
      </x:c>
      <x:c r="I151" t="str">
        <x:v>Event Coordinator</x:v>
      </x:c>
      <x:c r="J151" t="n">
        <x:v>100</x:v>
      </x:c>
      <x:c r="K151" s="12" t="n">
        <x:v>1500000</x:v>
      </x:c>
      <x:c r="L151" s="12" t="n">
        <x:f>J151*K151</x:f>
        <x:v>150000000</x:v>
      </x:c>
      <x:c r="M151" t="str">
        <x:v>Cao</x:v>
      </x:c>
      <x:c r="N151" t="str">
        <x:v>Tạm dừng</x:v>
      </x:c>
      <x:c r="O151" t="str"/>
    </x:row>
  </x:sheetData>
  <x:conditionalFormatting sqref="L2:L151">
    <x:cfRule type="dataBar" priority="1">
      <x:dataBar>
        <x:cfvo type="min"/>
        <x:cfvo type="max"/>
        <x:color rgb="9BC2E6"/>
      </x:dataBar>
      <x:extLst>
        <x:ext xmlns:x14="http://schemas.microsoft.com/office/spreadsheetml/2009/9/main" uri="{B025F937-C7B1-47D3-B67F-A62EFF666E3E}">
          <x14:id>{44C25513-0493-3A95-1EE1-5E3052F79765}</x14:id>
        </x:ext>
      </x:extLst>
    </x:cfRule>
  </x:conditionalFormatting>
  <x:dataValidations count="2">
    <x:dataValidation type="list" sqref="M2:M151">
      <x:formula1>"Cao,Trung bình,Thấp"</x:formula1>
    </x:dataValidation>
    <x:dataValidation type="list" sqref="N2:N151">
      <x:formula1>"Chờ duyệt,Đã duyệt,Tạm dừng"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3e1dd7499e44f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4C25513-0493-3A95-1EE1-5E3052F79765}">
            <x14:dataBar gradient="1">
              <x14:cfvo type="min"/>
              <x14:cfvo type="max"/>
              <x14:fillColor rgb="9BC2E6"/>
            </x14:dataBar>
          </x14:cfRule>
          <xm:sqref>L2:L151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2.789999961853027" hidden="0" customWidth="1"/>
    <x:col min="2" max="2" width="6.590000152587891" hidden="0" customWidth="1"/>
    <x:col min="3" max="3" width="3.2300000190734863" hidden="0" customWidth="1"/>
    <x:col min="4" max="4" width="30" hidden="0" customWidth="1"/>
    <x:col min="5" max="5" width="16.020000457763672" hidden="0" customWidth="1"/>
    <x:col min="6" max="6" width="9.960000038146973" hidden="0" customWidth="1"/>
    <x:col min="7" max="7" width="9.5600004196167" hidden="0" customWidth="1"/>
    <x:col min="8" max="8" width="10.770000457763672" hidden="0" customWidth="1"/>
    <x:col min="9" max="9" width="11.569999694824219" hidden="0" customWidth="1"/>
    <x:col min="10" max="10" width="16.690000534057617" hidden="0" customWidth="1"/>
    <x:col min="11" max="11" width="6.059999942779541" hidden="0" customWidth="1"/>
  </x:cols>
  <x:sheetData>
    <x:row r="1">
      <x:c r="A1" s="6" t="str">
        <x:v>Mã kế hoạch</x:v>
      </x:c>
      <x:c r="B1" s="6" t="str">
        <x:v>Tháng</x:v>
      </x:c>
      <x:c r="C1" s="6" t="str">
        <x:v>Quý</x:v>
      </x:c>
      <x:c r="D1" s="6" t="str">
        <x:v>Chương trình</x:v>
      </x:c>
      <x:c r="E1" s="6" t="str">
        <x:v>Ngân sách kế hoạch</x:v>
      </x:c>
      <x:c r="F1" s="6" t="str">
        <x:v>Thực chi</x:v>
      </x:c>
      <x:c r="G1" s="6" t="str">
        <x:v>Chênh lệch</x:v>
      </x:c>
      <x:c r="H1" s="6" t="str">
        <x:v>Tỷ lệ sử dụng</x:v>
      </x:c>
      <x:c r="I1" s="6" t="str">
        <x:v>Cảnh báo</x:v>
      </x:c>
      <x:c r="J1" s="6" t="str">
        <x:v>Người phụ trách</x:v>
      </x:c>
      <x:c r="K1" s="6" t="str">
        <x:v>Ghi chú</x:v>
      </x:c>
    </x:row>
    <x:row r="2">
      <x:c r="A2" t="str">
        <x:v>KH-TS-2026-001</x:v>
      </x:c>
      <x:c r="B2" t="str">
        <x:v>2026-01</x:v>
      </x:c>
      <x:c r="C2" t="str">
        <x:v>Q1</x:v>
      </x:c>
      <x:c r="D2" t="str">
        <x:v>Tuyển sinh đại học chính quy</x:v>
      </x:c>
      <x:c r="E2" s="12" t="n">
        <x:v>300000000</x:v>
      </x:c>
      <x:c r="F2" s="12" t="n">
        <x:v>347030657</x:v>
      </x:c>
      <x:c r="G2" s="12" t="n">
        <x:f>F2-E2</x:f>
        <x:v>47030657</x:v>
      </x:c>
      <x:c r="H2" s="14" t="n">
        <x:f>IFERROR(F2/E2,0)</x:f>
        <x:v>1.1567688566666667</x:v>
      </x:c>
      <x:c r="I2" t="str">
        <x:f>IF(H2&gt;1.05,"Vượt kế hoạch",IF(H2&lt;0.8,"Giải ngân thấp","Đúng tiến độ"))</x:f>
        <x:v>Vượt kế hoạch</x:v>
      </x:c>
      <x:c r="J2" t="str">
        <x:v>Event Coordinator</x:v>
      </x:c>
      <x:c r="K2" t="str"/>
    </x:row>
    <x:row r="3">
      <x:c r="A3" t="str">
        <x:v>KH-TS-2026-002</x:v>
      </x:c>
      <x:c r="B3" t="str">
        <x:v>2026-01</x:v>
      </x:c>
      <x:c r="C3" t="str">
        <x:v>Q1</x:v>
      </x:c>
      <x:c r="D3" t="str">
        <x:v>Tư vấn tuyển sinh THPT</x:v>
      </x:c>
      <x:c r="E3" s="12" t="n">
        <x:v>200000000</x:v>
      </x:c>
      <x:c r="F3" s="12" t="n">
        <x:v>213835135</x:v>
      </x:c>
      <x:c r="G3" s="12" t="n">
        <x:f>F3-E3</x:f>
        <x:v>13835135</x:v>
      </x:c>
      <x:c r="H3" s="14" t="n">
        <x:f>IFERROR(F3/E3,0)</x:f>
        <x:v>1.069175675</x:v>
      </x:c>
      <x:c r="I3" t="str">
        <x:f>IF(H3&gt;1.05,"Vượt kế hoạch",IF(H3&lt;0.8,"Giải ngân thấp","Đúng tiến độ"))</x:f>
        <x:v>Vượt kế hoạch</x:v>
      </x:c>
      <x:c r="J3" t="str">
        <x:v>Admissions Manager</x:v>
      </x:c>
      <x:c r="K3" t="str"/>
    </x:row>
    <x:row r="4">
      <x:c r="A4" t="str">
        <x:v>KH-TS-2026-003</x:v>
      </x:c>
      <x:c r="B4" t="str">
        <x:v>2026-01</x:v>
      </x:c>
      <x:c r="C4" t="str">
        <x:v>Q1</x:v>
      </x:c>
      <x:c r="D4" t="str">
        <x:v>Open Day / Campus Tour</x:v>
      </x:c>
      <x:c r="E4" s="12" t="n">
        <x:v>150000000</x:v>
      </x:c>
      <x:c r="F4" s="12" t="n">
        <x:v>154742462</x:v>
      </x:c>
      <x:c r="G4" s="12" t="n">
        <x:f>F4-E4</x:f>
        <x:v>4742462</x:v>
      </x:c>
      <x:c r="H4" s="14" t="n">
        <x:f>IFERROR(F4/E4,0)</x:f>
        <x:v>1.0316164133333334</x:v>
      </x:c>
      <x:c r="I4" t="str">
        <x:f>IF(H4&gt;1.05,"Vượt kế hoạch",IF(H4&lt;0.8,"Giải ngân thấp","Đúng tiến độ"))</x:f>
        <x:v>Đúng tiến độ</x:v>
      </x:c>
      <x:c r="J4" t="str">
        <x:v>Event Coordinator</x:v>
      </x:c>
      <x:c r="K4" t="str"/>
    </x:row>
    <x:row r="5">
      <x:c r="A5" t="str">
        <x:v>KH-TS-2026-004</x:v>
      </x:c>
      <x:c r="B5" t="str">
        <x:v>2026-01</x:v>
      </x:c>
      <x:c r="C5" t="str">
        <x:v>Q1</x:v>
      </x:c>
      <x:c r="D5" t="str">
        <x:v>Digital Admission Campaign</x:v>
      </x:c>
      <x:c r="E5" s="12" t="n">
        <x:v>200000000</x:v>
      </x:c>
      <x:c r="F5" s="12" t="n">
        <x:v>185097966</x:v>
      </x:c>
      <x:c r="G5" s="12" t="n">
        <x:f>F5-E5</x:f>
        <x:v>-14902034</x:v>
      </x:c>
      <x:c r="H5" s="14" t="n">
        <x:f>IFERROR(F5/E5,0)</x:f>
        <x:v>0.92548983</x:v>
      </x:c>
      <x:c r="I5" t="str">
        <x:f>IF(H5&gt;1.05,"Vượt kế hoạch",IF(H5&lt;0.8,"Giải ngân thấp","Đúng tiến độ"))</x:f>
        <x:v>Đúng tiến độ</x:v>
      </x:c>
      <x:c r="J5" t="str">
        <x:v>Digital Lead</x:v>
      </x:c>
      <x:c r="K5" t="str"/>
    </x:row>
    <x:row r="6">
      <x:c r="A6" t="str">
        <x:v>KH-TS-2026-005</x:v>
      </x:c>
      <x:c r="B6" t="str">
        <x:v>2026-01</x:v>
      </x:c>
      <x:c r="C6" t="str">
        <x:v>Q1</x:v>
      </x:c>
      <x:c r="D6" t="str">
        <x:v>Học bổng tuyển sinh</x:v>
      </x:c>
      <x:c r="E6" s="12" t="n">
        <x:v>50000000</x:v>
      </x:c>
      <x:c r="F6" s="12" t="n">
        <x:v>52341034</x:v>
      </x:c>
      <x:c r="G6" s="12" t="n">
        <x:f>F6-E6</x:f>
        <x:v>2341034</x:v>
      </x:c>
      <x:c r="H6" s="14" t="n">
        <x:f>IFERROR(F6/E6,0)</x:f>
        <x:v>1.04682068</x:v>
      </x:c>
      <x:c r="I6" t="str">
        <x:f>IF(H6&gt;1.05,"Vượt kế hoạch",IF(H6&lt;0.8,"Giải ngân thấp","Đúng tiến độ"))</x:f>
        <x:v>Đúng tiến độ</x:v>
      </x:c>
      <x:c r="J6" t="str">
        <x:v>Admissions Manager</x:v>
      </x:c>
      <x:c r="K6" t="str"/>
    </x:row>
    <x:row r="7">
      <x:c r="A7" t="str">
        <x:v>KH-TS-2026-006</x:v>
      </x:c>
      <x:c r="B7" t="str">
        <x:v>2026-01</x:v>
      </x:c>
      <x:c r="C7" t="str">
        <x:v>Q1</x:v>
      </x:c>
      <x:c r="D7" t="str">
        <x:v>Sự kiện phụ huynh</x:v>
      </x:c>
      <x:c r="E7" s="12" t="n">
        <x:v>150000000</x:v>
      </x:c>
      <x:c r="F7" s="12" t="n">
        <x:v>141182882</x:v>
      </x:c>
      <x:c r="G7" s="12" t="n">
        <x:f>F7-E7</x:f>
        <x:v>-8817118</x:v>
      </x:c>
      <x:c r="H7" s="14" t="n">
        <x:f>IFERROR(F7/E7,0)</x:f>
        <x:v>0.9412192133333334</x:v>
      </x:c>
      <x:c r="I7" t="str">
        <x:f>IF(H7&gt;1.05,"Vượt kế hoạch",IF(H7&lt;0.8,"Giải ngân thấp","Đúng tiến độ"))</x:f>
        <x:v>Đúng tiến độ</x:v>
      </x:c>
      <x:c r="J7" t="str">
        <x:v>Admissions Manager</x:v>
      </x:c>
      <x:c r="K7" t="str"/>
    </x:row>
    <x:row r="8">
      <x:c r="A8" t="str">
        <x:v>KH-TS-2026-007</x:v>
      </x:c>
      <x:c r="B8" t="str">
        <x:v>2026-01</x:v>
      </x:c>
      <x:c r="C8" t="str">
        <x:v>Q1</x:v>
      </x:c>
      <x:c r="D8" t="str">
        <x:v>Tuyển sinh sau đại học</x:v>
      </x:c>
      <x:c r="E8" s="12" t="n">
        <x:v>100000000</x:v>
      </x:c>
      <x:c r="F8" s="12" t="n">
        <x:v>79272248</x:v>
      </x:c>
      <x:c r="G8" s="12" t="n">
        <x:f>F8-E8</x:f>
        <x:v>-20727752</x:v>
      </x:c>
      <x:c r="H8" s="14" t="n">
        <x:f>IFERROR(F8/E8,0)</x:f>
        <x:v>0.79272248</x:v>
      </x:c>
      <x:c r="I8" t="str">
        <x:f>IF(H8&gt;1.05,"Vượt kế hoạch",IF(H8&lt;0.8,"Giải ngân thấp","Đúng tiến độ"))</x:f>
        <x:v>Giải ngân thấp</x:v>
      </x:c>
      <x:c r="J8" t="str">
        <x:v>Digital Lead</x:v>
      </x:c>
      <x:c r="K8" t="str"/>
    </x:row>
    <x:row r="9">
      <x:c r="A9" t="str">
        <x:v>KH-TS-2026-008</x:v>
      </x:c>
      <x:c r="B9" t="str">
        <x:v>2026-01</x:v>
      </x:c>
      <x:c r="C9" t="str">
        <x:v>Q1</x:v>
      </x:c>
      <x:c r="D9" t="str">
        <x:v>International Recruitment</x:v>
      </x:c>
      <x:c r="E9" s="12" t="n">
        <x:v>200000000</x:v>
      </x:c>
      <x:c r="F9" s="12" t="n">
        <x:v>227545874</x:v>
      </x:c>
      <x:c r="G9" s="12" t="n">
        <x:f>F9-E9</x:f>
        <x:v>27545874</x:v>
      </x:c>
      <x:c r="H9" s="14" t="n">
        <x:f>IFERROR(F9/E9,0)</x:f>
        <x:v>1.13772937</x:v>
      </x:c>
      <x:c r="I9" t="str">
        <x:f>IF(H9&gt;1.05,"Vượt kế hoạch",IF(H9&lt;0.8,"Giải ngân thấp","Đúng tiến độ"))</x:f>
        <x:v>Vượt kế hoạch</x:v>
      </x:c>
      <x:c r="J9" t="str">
        <x:v>Digital Lead</x:v>
      </x:c>
      <x:c r="K9" t="str"/>
    </x:row>
    <x:row r="10">
      <x:c r="A10" t="str">
        <x:v>KH-TS-2026-009</x:v>
      </x:c>
      <x:c r="B10" t="str">
        <x:v>2026-01</x:v>
      </x:c>
      <x:c r="C10" t="str">
        <x:v>Q1</x:v>
      </x:c>
      <x:c r="D10" t="str">
        <x:v>CRM &amp; Admission System</x:v>
      </x:c>
      <x:c r="E10" s="12" t="n">
        <x:v>50000000</x:v>
      </x:c>
      <x:c r="F10" s="12" t="n">
        <x:v>46060002</x:v>
      </x:c>
      <x:c r="G10" s="12" t="n">
        <x:f>F10-E10</x:f>
        <x:v>-3939998</x:v>
      </x:c>
      <x:c r="H10" s="14" t="n">
        <x:f>IFERROR(F10/E10,0)</x:f>
        <x:v>0.92120004</x:v>
      </x:c>
      <x:c r="I10" t="str">
        <x:f>IF(H10&gt;1.05,"Vượt kế hoạch",IF(H10&lt;0.8,"Giải ngân thấp","Đúng tiến độ"))</x:f>
        <x:v>Đúng tiến độ</x:v>
      </x:c>
      <x:c r="J10" t="str">
        <x:v>Admissions Manager</x:v>
      </x:c>
      <x:c r="K10" t="str"/>
    </x:row>
    <x:row r="11">
      <x:c r="A11" t="str">
        <x:v>KH-TS-2026-010</x:v>
      </x:c>
      <x:c r="B11" t="str">
        <x:v>2026-01</x:v>
      </x:c>
      <x:c r="C11" t="str">
        <x:v>Q1</x:v>
      </x:c>
      <x:c r="D11" t="str">
        <x:v>Đào tạo cộng tác viên tuyển sinh</x:v>
      </x:c>
      <x:c r="E11" s="12" t="n">
        <x:v>50000000</x:v>
      </x:c>
      <x:c r="F11" s="12" t="n">
        <x:v>57903731</x:v>
      </x:c>
      <x:c r="G11" s="12" t="n">
        <x:f>F11-E11</x:f>
        <x:v>7903731</x:v>
      </x:c>
      <x:c r="H11" s="14" t="n">
        <x:f>IFERROR(F11/E11,0)</x:f>
        <x:v>1.15807462</x:v>
      </x:c>
      <x:c r="I11" t="str">
        <x:f>IF(H11&gt;1.05,"Vượt kế hoạch",IF(H11&lt;0.8,"Giải ngân thấp","Đúng tiến độ"))</x:f>
        <x:v>Vượt kế hoạch</x:v>
      </x:c>
      <x:c r="J11" t="str">
        <x:v>Event Coordinator</x:v>
      </x:c>
      <x:c r="K11" t="str"/>
    </x:row>
    <x:row r="12">
      <x:c r="A12" t="str">
        <x:v>KH-TS-2026-011</x:v>
      </x:c>
      <x:c r="B12" t="str">
        <x:v>2026-02</x:v>
      </x:c>
      <x:c r="C12" t="str">
        <x:v>Q1</x:v>
      </x:c>
      <x:c r="D12" t="str">
        <x:v>Tuyển sinh đại học chính quy</x:v>
      </x:c>
      <x:c r="E12" s="12" t="n">
        <x:v>50000000</x:v>
      </x:c>
      <x:c r="F12" s="12" t="n">
        <x:v>51749527</x:v>
      </x:c>
      <x:c r="G12" s="12" t="n">
        <x:f>F12-E12</x:f>
        <x:v>1749527</x:v>
      </x:c>
      <x:c r="H12" s="14" t="n">
        <x:f>IFERROR(F12/E12,0)</x:f>
        <x:v>1.03499054</x:v>
      </x:c>
      <x:c r="I12" t="str">
        <x:f>IF(H12&gt;1.05,"Vượt kế hoạch",IF(H12&lt;0.8,"Giải ngân thấp","Đúng tiến độ"))</x:f>
        <x:v>Đúng tiến độ</x:v>
      </x:c>
      <x:c r="J12" t="str">
        <x:v>Scholarship Officer</x:v>
      </x:c>
      <x:c r="K12" t="str"/>
    </x:row>
    <x:row r="13">
      <x:c r="A13" t="str">
        <x:v>KH-TS-2026-012</x:v>
      </x:c>
      <x:c r="B13" t="str">
        <x:v>2026-02</x:v>
      </x:c>
      <x:c r="C13" t="str">
        <x:v>Q1</x:v>
      </x:c>
      <x:c r="D13" t="str">
        <x:v>Tư vấn tuyển sinh THPT</x:v>
      </x:c>
      <x:c r="E13" s="12" t="n">
        <x:v>50000000</x:v>
      </x:c>
      <x:c r="F13" s="12" t="n">
        <x:v>38587437</x:v>
      </x:c>
      <x:c r="G13" s="12" t="n">
        <x:f>F13-E13</x:f>
        <x:v>-11412563</x:v>
      </x:c>
      <x:c r="H13" s="14" t="n">
        <x:f>IFERROR(F13/E13,0)</x:f>
        <x:v>0.77174874</x:v>
      </x:c>
      <x:c r="I13" t="str">
        <x:f>IF(H13&gt;1.05,"Vượt kế hoạch",IF(H13&lt;0.8,"Giải ngân thấp","Đúng tiến độ"))</x:f>
        <x:v>Giải ngân thấp</x:v>
      </x:c>
      <x:c r="J13" t="str">
        <x:v>Digital Lead</x:v>
      </x:c>
      <x:c r="K13" t="str"/>
    </x:row>
    <x:row r="14">
      <x:c r="A14" t="str">
        <x:v>KH-TS-2026-013</x:v>
      </x:c>
      <x:c r="B14" t="str">
        <x:v>2026-02</x:v>
      </x:c>
      <x:c r="C14" t="str">
        <x:v>Q1</x:v>
      </x:c>
      <x:c r="D14" t="str">
        <x:v>Open Day / Campus Tour</x:v>
      </x:c>
      <x:c r="E14" s="12" t="n">
        <x:v>80000000</x:v>
      </x:c>
      <x:c r="F14" s="12" t="n">
        <x:v>94015439</x:v>
      </x:c>
      <x:c r="G14" s="12" t="n">
        <x:f>F14-E14</x:f>
        <x:v>14015439</x:v>
      </x:c>
      <x:c r="H14" s="14" t="n">
        <x:f>IFERROR(F14/E14,0)</x:f>
        <x:v>1.1751929875</x:v>
      </x:c>
      <x:c r="I14" t="str">
        <x:f>IF(H14&gt;1.05,"Vượt kế hoạch",IF(H14&lt;0.8,"Giải ngân thấp","Đúng tiến độ"))</x:f>
        <x:v>Vượt kế hoạch</x:v>
      </x:c>
      <x:c r="J14" t="str">
        <x:v>Scholarship Officer</x:v>
      </x:c>
      <x:c r="K14" t="str"/>
    </x:row>
    <x:row r="15">
      <x:c r="A15" t="str">
        <x:v>KH-TS-2026-014</x:v>
      </x:c>
      <x:c r="B15" t="str">
        <x:v>2026-02</x:v>
      </x:c>
      <x:c r="C15" t="str">
        <x:v>Q1</x:v>
      </x:c>
      <x:c r="D15" t="str">
        <x:v>Digital Admission Campaign</x:v>
      </x:c>
      <x:c r="E15" s="12" t="n">
        <x:v>80000000</x:v>
      </x:c>
      <x:c r="F15" s="12" t="n">
        <x:v>62360189</x:v>
      </x:c>
      <x:c r="G15" s="12" t="n">
        <x:f>F15-E15</x:f>
        <x:v>-17639811</x:v>
      </x:c>
      <x:c r="H15" s="14" t="n">
        <x:f>IFERROR(F15/E15,0)</x:f>
        <x:v>0.7795023625</x:v>
      </x:c>
      <x:c r="I15" t="str">
        <x:f>IF(H15&gt;1.05,"Vượt kế hoạch",IF(H15&lt;0.8,"Giải ngân thấp","Đúng tiến độ"))</x:f>
        <x:v>Giải ngân thấp</x:v>
      </x:c>
      <x:c r="J15" t="str">
        <x:v>Scholarship Officer</x:v>
      </x:c>
      <x:c r="K15" t="str"/>
    </x:row>
    <x:row r="16">
      <x:c r="A16" t="str">
        <x:v>KH-TS-2026-015</x:v>
      </x:c>
      <x:c r="B16" t="str">
        <x:v>2026-02</x:v>
      </x:c>
      <x:c r="C16" t="str">
        <x:v>Q1</x:v>
      </x:c>
      <x:c r="D16" t="str">
        <x:v>Học bổng tuyển sinh</x:v>
      </x:c>
      <x:c r="E16" s="12" t="n">
        <x:v>80000000</x:v>
      </x:c>
      <x:c r="F16" s="12" t="n">
        <x:v>80171578</x:v>
      </x:c>
      <x:c r="G16" s="12" t="n">
        <x:f>F16-E16</x:f>
        <x:v>171578</x:v>
      </x:c>
      <x:c r="H16" s="14" t="n">
        <x:f>IFERROR(F16/E16,0)</x:f>
        <x:v>1.002144725</x:v>
      </x:c>
      <x:c r="I16" t="str">
        <x:f>IF(H16&gt;1.05,"Vượt kế hoạch",IF(H16&lt;0.8,"Giải ngân thấp","Đúng tiến độ"))</x:f>
        <x:v>Đúng tiến độ</x:v>
      </x:c>
      <x:c r="J16" t="str">
        <x:v>Admissions Manager</x:v>
      </x:c>
      <x:c r="K16" t="str"/>
    </x:row>
    <x:row r="17">
      <x:c r="A17" t="str">
        <x:v>KH-TS-2026-016</x:v>
      </x:c>
      <x:c r="B17" t="str">
        <x:v>2026-02</x:v>
      </x:c>
      <x:c r="C17" t="str">
        <x:v>Q1</x:v>
      </x:c>
      <x:c r="D17" t="str">
        <x:v>Sự kiện phụ huynh</x:v>
      </x:c>
      <x:c r="E17" s="12" t="n">
        <x:v>100000000</x:v>
      </x:c>
      <x:c r="F17" s="12" t="n">
        <x:v>108297848</x:v>
      </x:c>
      <x:c r="G17" s="12" t="n">
        <x:f>F17-E17</x:f>
        <x:v>8297848</x:v>
      </x:c>
      <x:c r="H17" s="14" t="n">
        <x:f>IFERROR(F17/E17,0)</x:f>
        <x:v>1.08297848</x:v>
      </x:c>
      <x:c r="I17" t="str">
        <x:f>IF(H17&gt;1.05,"Vượt kế hoạch",IF(H17&lt;0.8,"Giải ngân thấp","Đúng tiến độ"))</x:f>
        <x:v>Vượt kế hoạch</x:v>
      </x:c>
      <x:c r="J17" t="str">
        <x:v>Scholarship Officer</x:v>
      </x:c>
      <x:c r="K17" t="str"/>
    </x:row>
    <x:row r="18">
      <x:c r="A18" t="str">
        <x:v>KH-TS-2026-017</x:v>
      </x:c>
      <x:c r="B18" t="str">
        <x:v>2026-02</x:v>
      </x:c>
      <x:c r="C18" t="str">
        <x:v>Q1</x:v>
      </x:c>
      <x:c r="D18" t="str">
        <x:v>Tuyển sinh sau đại học</x:v>
      </x:c>
      <x:c r="E18" s="12" t="n">
        <x:v>50000000</x:v>
      </x:c>
      <x:c r="F18" s="12" t="n">
        <x:v>43461409</x:v>
      </x:c>
      <x:c r="G18" s="12" t="n">
        <x:f>F18-E18</x:f>
        <x:v>-6538591</x:v>
      </x:c>
      <x:c r="H18" s="14" t="n">
        <x:f>IFERROR(F18/E18,0)</x:f>
        <x:v>0.86922818</x:v>
      </x:c>
      <x:c r="I18" t="str">
        <x:f>IF(H18&gt;1.05,"Vượt kế hoạch",IF(H18&lt;0.8,"Giải ngân thấp","Đúng tiến độ"))</x:f>
        <x:v>Đúng tiến độ</x:v>
      </x:c>
      <x:c r="J18" t="str">
        <x:v>Admissions Manager</x:v>
      </x:c>
      <x:c r="K18" t="str"/>
    </x:row>
    <x:row r="19">
      <x:c r="A19" t="str">
        <x:v>KH-TS-2026-018</x:v>
      </x:c>
      <x:c r="B19" t="str">
        <x:v>2026-02</x:v>
      </x:c>
      <x:c r="C19" t="str">
        <x:v>Q1</x:v>
      </x:c>
      <x:c r="D19" t="str">
        <x:v>International Recruitment</x:v>
      </x:c>
      <x:c r="E19" s="12" t="n">
        <x:v>80000000</x:v>
      </x:c>
      <x:c r="F19" s="12" t="n">
        <x:v>78583411</x:v>
      </x:c>
      <x:c r="G19" s="12" t="n">
        <x:f>F19-E19</x:f>
        <x:v>-1416589</x:v>
      </x:c>
      <x:c r="H19" s="14" t="n">
        <x:f>IFERROR(F19/E19,0)</x:f>
        <x:v>0.9822926375</x:v>
      </x:c>
      <x:c r="I19" t="str">
        <x:f>IF(H19&gt;1.05,"Vượt kế hoạch",IF(H19&lt;0.8,"Giải ngân thấp","Đúng tiến độ"))</x:f>
        <x:v>Đúng tiến độ</x:v>
      </x:c>
      <x:c r="J19" t="str">
        <x:v>Admissions Manager</x:v>
      </x:c>
      <x:c r="K19" t="str"/>
    </x:row>
    <x:row r="20">
      <x:c r="A20" t="str">
        <x:v>KH-TS-2026-019</x:v>
      </x:c>
      <x:c r="B20" t="str">
        <x:v>2026-02</x:v>
      </x:c>
      <x:c r="C20" t="str">
        <x:v>Q1</x:v>
      </x:c>
      <x:c r="D20" t="str">
        <x:v>CRM &amp; Admission System</x:v>
      </x:c>
      <x:c r="E20" s="12" t="n">
        <x:v>50000000</x:v>
      </x:c>
      <x:c r="F20" s="12" t="n">
        <x:v>51712739</x:v>
      </x:c>
      <x:c r="G20" s="12" t="n">
        <x:f>F20-E20</x:f>
        <x:v>1712739</x:v>
      </x:c>
      <x:c r="H20" s="14" t="n">
        <x:f>IFERROR(F20/E20,0)</x:f>
        <x:v>1.03425478</x:v>
      </x:c>
      <x:c r="I20" t="str">
        <x:f>IF(H20&gt;1.05,"Vượt kế hoạch",IF(H20&lt;0.8,"Giải ngân thấp","Đúng tiến độ"))</x:f>
        <x:v>Đúng tiến độ</x:v>
      </x:c>
      <x:c r="J20" t="str">
        <x:v>Admissions Officer</x:v>
      </x:c>
      <x:c r="K20" t="str"/>
    </x:row>
    <x:row r="21">
      <x:c r="A21" t="str">
        <x:v>KH-TS-2026-020</x:v>
      </x:c>
      <x:c r="B21" t="str">
        <x:v>2026-02</x:v>
      </x:c>
      <x:c r="C21" t="str">
        <x:v>Q1</x:v>
      </x:c>
      <x:c r="D21" t="str">
        <x:v>Đào tạo cộng tác viên tuyển sinh</x:v>
      </x:c>
      <x:c r="E21" s="12" t="n">
        <x:v>80000000</x:v>
      </x:c>
      <x:c r="F21" s="12" t="n">
        <x:v>60511195</x:v>
      </x:c>
      <x:c r="G21" s="12" t="n">
        <x:f>F21-E21</x:f>
        <x:v>-19488805</x:v>
      </x:c>
      <x:c r="H21" s="14" t="n">
        <x:f>IFERROR(F21/E21,0)</x:f>
        <x:v>0.7563899375</x:v>
      </x:c>
      <x:c r="I21" t="str">
        <x:f>IF(H21&gt;1.05,"Vượt kế hoạch",IF(H21&lt;0.8,"Giải ngân thấp","Đúng tiến độ"))</x:f>
        <x:v>Giải ngân thấp</x:v>
      </x:c>
      <x:c r="J21" t="str">
        <x:v>Admissions Manager</x:v>
      </x:c>
      <x:c r="K21" t="str"/>
    </x:row>
    <x:row r="22">
      <x:c r="A22" t="str">
        <x:v>KH-TS-2026-021</x:v>
      </x:c>
      <x:c r="B22" t="str">
        <x:v>2026-03</x:v>
      </x:c>
      <x:c r="C22" t="str">
        <x:v>Q1</x:v>
      </x:c>
      <x:c r="D22" t="str">
        <x:v>Tuyển sinh đại học chính quy</x:v>
      </x:c>
      <x:c r="E22" s="12" t="n">
        <x:v>200000000</x:v>
      </x:c>
      <x:c r="F22" s="12" t="n">
        <x:v>177844345</x:v>
      </x:c>
      <x:c r="G22" s="12" t="n">
        <x:f>F22-E22</x:f>
        <x:v>-22155655</x:v>
      </x:c>
      <x:c r="H22" s="14" t="n">
        <x:f>IFERROR(F22/E22,0)</x:f>
        <x:v>0.889221725</x:v>
      </x:c>
      <x:c r="I22" t="str">
        <x:f>IF(H22&gt;1.05,"Vượt kế hoạch",IF(H22&lt;0.8,"Giải ngân thấp","Đúng tiến độ"))</x:f>
        <x:v>Đúng tiến độ</x:v>
      </x:c>
      <x:c r="J22" t="str">
        <x:v>Admissions Manager</x:v>
      </x:c>
      <x:c r="K22" t="str"/>
    </x:row>
    <x:row r="23">
      <x:c r="A23" t="str">
        <x:v>KH-TS-2026-022</x:v>
      </x:c>
      <x:c r="B23" t="str">
        <x:v>2026-03</x:v>
      </x:c>
      <x:c r="C23" t="str">
        <x:v>Q1</x:v>
      </x:c>
      <x:c r="D23" t="str">
        <x:v>Tư vấn tuyển sinh THPT</x:v>
      </x:c>
      <x:c r="E23" s="12" t="n">
        <x:v>100000000</x:v>
      </x:c>
      <x:c r="F23" s="12" t="n">
        <x:v>77253157</x:v>
      </x:c>
      <x:c r="G23" s="12" t="n">
        <x:f>F23-E23</x:f>
        <x:v>-22746843</x:v>
      </x:c>
      <x:c r="H23" s="14" t="n">
        <x:f>IFERROR(F23/E23,0)</x:f>
        <x:v>0.77253157</x:v>
      </x:c>
      <x:c r="I23" t="str">
        <x:f>IF(H23&gt;1.05,"Vượt kế hoạch",IF(H23&lt;0.8,"Giải ngân thấp","Đúng tiến độ"))</x:f>
        <x:v>Giải ngân thấp</x:v>
      </x:c>
      <x:c r="J23" t="str">
        <x:v>Event Coordinator</x:v>
      </x:c>
      <x:c r="K23" t="str"/>
    </x:row>
    <x:row r="24">
      <x:c r="A24" t="str">
        <x:v>KH-TS-2026-023</x:v>
      </x:c>
      <x:c r="B24" t="str">
        <x:v>2026-03</x:v>
      </x:c>
      <x:c r="C24" t="str">
        <x:v>Q1</x:v>
      </x:c>
      <x:c r="D24" t="str">
        <x:v>Open Day / Campus Tour</x:v>
      </x:c>
      <x:c r="E24" s="12" t="n">
        <x:v>200000000</x:v>
      </x:c>
      <x:c r="F24" s="12" t="n">
        <x:v>159773840</x:v>
      </x:c>
      <x:c r="G24" s="12" t="n">
        <x:f>F24-E24</x:f>
        <x:v>-40226160</x:v>
      </x:c>
      <x:c r="H24" s="14" t="n">
        <x:f>IFERROR(F24/E24,0)</x:f>
        <x:v>0.7988692</x:v>
      </x:c>
      <x:c r="I24" t="str">
        <x:f>IF(H24&gt;1.05,"Vượt kế hoạch",IF(H24&lt;0.8,"Giải ngân thấp","Đúng tiến độ"))</x:f>
        <x:v>Giải ngân thấp</x:v>
      </x:c>
      <x:c r="J24" t="str">
        <x:v>Admissions Officer</x:v>
      </x:c>
      <x:c r="K24" t="str"/>
    </x:row>
    <x:row r="25">
      <x:c r="A25" t="str">
        <x:v>KH-TS-2026-024</x:v>
      </x:c>
      <x:c r="B25" t="str">
        <x:v>2026-03</x:v>
      </x:c>
      <x:c r="C25" t="str">
        <x:v>Q1</x:v>
      </x:c>
      <x:c r="D25" t="str">
        <x:v>Digital Admission Campaign</x:v>
      </x:c>
      <x:c r="E25" s="12" t="n">
        <x:v>150000000</x:v>
      </x:c>
      <x:c r="F25" s="12" t="n">
        <x:v>141413751</x:v>
      </x:c>
      <x:c r="G25" s="12" t="n">
        <x:f>F25-E25</x:f>
        <x:v>-8586249</x:v>
      </x:c>
      <x:c r="H25" s="14" t="n">
        <x:f>IFERROR(F25/E25,0)</x:f>
        <x:v>0.94275834</x:v>
      </x:c>
      <x:c r="I25" t="str">
        <x:f>IF(H25&gt;1.05,"Vượt kế hoạch",IF(H25&lt;0.8,"Giải ngân thấp","Đúng tiến độ"))</x:f>
        <x:v>Đúng tiến độ</x:v>
      </x:c>
      <x:c r="J25" t="str">
        <x:v>Digital Lead</x:v>
      </x:c>
      <x:c r="K25" t="str"/>
    </x:row>
    <x:row r="26">
      <x:c r="A26" t="str">
        <x:v>KH-TS-2026-025</x:v>
      </x:c>
      <x:c r="B26" t="str">
        <x:v>2026-03</x:v>
      </x:c>
      <x:c r="C26" t="str">
        <x:v>Q1</x:v>
      </x:c>
      <x:c r="D26" t="str">
        <x:v>Học bổng tuyển sinh</x:v>
      </x:c>
      <x:c r="E26" s="12" t="n">
        <x:v>200000000</x:v>
      </x:c>
      <x:c r="F26" s="12" t="n">
        <x:v>201055277</x:v>
      </x:c>
      <x:c r="G26" s="12" t="n">
        <x:f>F26-E26</x:f>
        <x:v>1055277</x:v>
      </x:c>
      <x:c r="H26" s="14" t="n">
        <x:f>IFERROR(F26/E26,0)</x:f>
        <x:v>1.005276385</x:v>
      </x:c>
      <x:c r="I26" t="str">
        <x:f>IF(H26&gt;1.05,"Vượt kế hoạch",IF(H26&lt;0.8,"Giải ngân thấp","Đúng tiến độ"))</x:f>
        <x:v>Đúng tiến độ</x:v>
      </x:c>
      <x:c r="J26" t="str">
        <x:v>Event Coordinator</x:v>
      </x:c>
      <x:c r="K26" t="str"/>
    </x:row>
    <x:row r="27">
      <x:c r="A27" t="str">
        <x:v>KH-TS-2026-026</x:v>
      </x:c>
      <x:c r="B27" t="str">
        <x:v>2026-03</x:v>
      </x:c>
      <x:c r="C27" t="str">
        <x:v>Q1</x:v>
      </x:c>
      <x:c r="D27" t="str">
        <x:v>Sự kiện phụ huynh</x:v>
      </x:c>
      <x:c r="E27" s="12" t="n">
        <x:v>200000000</x:v>
      </x:c>
      <x:c r="F27" s="12" t="n">
        <x:v>169053279</x:v>
      </x:c>
      <x:c r="G27" s="12" t="n">
        <x:f>F27-E27</x:f>
        <x:v>-30946721</x:v>
      </x:c>
      <x:c r="H27" s="14" t="n">
        <x:f>IFERROR(F27/E27,0)</x:f>
        <x:v>0.845266395</x:v>
      </x:c>
      <x:c r="I27" t="str">
        <x:f>IF(H27&gt;1.05,"Vượt kế hoạch",IF(H27&lt;0.8,"Giải ngân thấp","Đúng tiến độ"))</x:f>
        <x:v>Đúng tiến độ</x:v>
      </x:c>
      <x:c r="J27" t="str">
        <x:v>Scholarship Officer</x:v>
      </x:c>
      <x:c r="K27" t="str"/>
    </x:row>
    <x:row r="28">
      <x:c r="A28" t="str">
        <x:v>KH-TS-2026-027</x:v>
      </x:c>
      <x:c r="B28" t="str">
        <x:v>2026-03</x:v>
      </x:c>
      <x:c r="C28" t="str">
        <x:v>Q1</x:v>
      </x:c>
      <x:c r="D28" t="str">
        <x:v>Tuyển sinh sau đại học</x:v>
      </x:c>
      <x:c r="E28" s="12" t="n">
        <x:v>50000000</x:v>
      </x:c>
      <x:c r="F28" s="12" t="n">
        <x:v>53135724</x:v>
      </x:c>
      <x:c r="G28" s="12" t="n">
        <x:f>F28-E28</x:f>
        <x:v>3135724</x:v>
      </x:c>
      <x:c r="H28" s="14" t="n">
        <x:f>IFERROR(F28/E28,0)</x:f>
        <x:v>1.06271448</x:v>
      </x:c>
      <x:c r="I28" t="str">
        <x:f>IF(H28&gt;1.05,"Vượt kế hoạch",IF(H28&lt;0.8,"Giải ngân thấp","Đúng tiến độ"))</x:f>
        <x:v>Vượt kế hoạch</x:v>
      </x:c>
      <x:c r="J28" t="str">
        <x:v>Scholarship Officer</x:v>
      </x:c>
      <x:c r="K28" t="str"/>
    </x:row>
    <x:row r="29">
      <x:c r="A29" t="str">
        <x:v>KH-TS-2026-028</x:v>
      </x:c>
      <x:c r="B29" t="str">
        <x:v>2026-03</x:v>
      </x:c>
      <x:c r="C29" t="str">
        <x:v>Q1</x:v>
      </x:c>
      <x:c r="D29" t="str">
        <x:v>International Recruitment</x:v>
      </x:c>
      <x:c r="E29" s="12" t="n">
        <x:v>100000000</x:v>
      </x:c>
      <x:c r="F29" s="12" t="n">
        <x:v>94695828</x:v>
      </x:c>
      <x:c r="G29" s="12" t="n">
        <x:f>F29-E29</x:f>
        <x:v>-5304172</x:v>
      </x:c>
      <x:c r="H29" s="14" t="n">
        <x:f>IFERROR(F29/E29,0)</x:f>
        <x:v>0.94695828</x:v>
      </x:c>
      <x:c r="I29" t="str">
        <x:f>IF(H29&gt;1.05,"Vượt kế hoạch",IF(H29&lt;0.8,"Giải ngân thấp","Đúng tiến độ"))</x:f>
        <x:v>Đúng tiến độ</x:v>
      </x:c>
      <x:c r="J29" t="str">
        <x:v>Admissions Officer</x:v>
      </x:c>
      <x:c r="K29" t="str"/>
    </x:row>
    <x:row r="30">
      <x:c r="A30" t="str">
        <x:v>KH-TS-2026-029</x:v>
      </x:c>
      <x:c r="B30" t="str">
        <x:v>2026-03</x:v>
      </x:c>
      <x:c r="C30" t="str">
        <x:v>Q1</x:v>
      </x:c>
      <x:c r="D30" t="str">
        <x:v>CRM &amp; Admission System</x:v>
      </x:c>
      <x:c r="E30" s="12" t="n">
        <x:v>50000000</x:v>
      </x:c>
      <x:c r="F30" s="12" t="n">
        <x:v>58969615</x:v>
      </x:c>
      <x:c r="G30" s="12" t="n">
        <x:f>F30-E30</x:f>
        <x:v>8969615</x:v>
      </x:c>
      <x:c r="H30" s="14" t="n">
        <x:f>IFERROR(F30/E30,0)</x:f>
        <x:v>1.1793923</x:v>
      </x:c>
      <x:c r="I30" t="str">
        <x:f>IF(H30&gt;1.05,"Vượt kế hoạch",IF(H30&lt;0.8,"Giải ngân thấp","Đúng tiến độ"))</x:f>
        <x:v>Vượt kế hoạch</x:v>
      </x:c>
      <x:c r="J30" t="str">
        <x:v>Event Coordinator</x:v>
      </x:c>
      <x:c r="K30" t="str"/>
    </x:row>
    <x:row r="31">
      <x:c r="A31" t="str">
        <x:v>KH-TS-2026-030</x:v>
      </x:c>
      <x:c r="B31" t="str">
        <x:v>2026-03</x:v>
      </x:c>
      <x:c r="C31" t="str">
        <x:v>Q1</x:v>
      </x:c>
      <x:c r="D31" t="str">
        <x:v>Đào tạo cộng tác viên tuyển sinh</x:v>
      </x:c>
      <x:c r="E31" s="12" t="n">
        <x:v>150000000</x:v>
      </x:c>
      <x:c r="F31" s="12" t="n">
        <x:v>156753288</x:v>
      </x:c>
      <x:c r="G31" s="12" t="n">
        <x:f>F31-E31</x:f>
        <x:v>6753288</x:v>
      </x:c>
      <x:c r="H31" s="14" t="n">
        <x:f>IFERROR(F31/E31,0)</x:f>
        <x:v>1.04502192</x:v>
      </x:c>
      <x:c r="I31" t="str">
        <x:f>IF(H31&gt;1.05,"Vượt kế hoạch",IF(H31&lt;0.8,"Giải ngân thấp","Đúng tiến độ"))</x:f>
        <x:v>Đúng tiến độ</x:v>
      </x:c>
      <x:c r="J31" t="str">
        <x:v>Event Coordinator</x:v>
      </x:c>
      <x:c r="K31" t="str"/>
    </x:row>
    <x:row r="32">
      <x:c r="A32" t="str">
        <x:v>KH-TS-2026-031</x:v>
      </x:c>
      <x:c r="B32" t="str">
        <x:v>2026-04</x:v>
      </x:c>
      <x:c r="C32" t="str">
        <x:v>Q2</x:v>
      </x:c>
      <x:c r="D32" t="str">
        <x:v>Tuyển sinh đại học chính quy</x:v>
      </x:c>
      <x:c r="E32" s="12" t="n">
        <x:v>300000000</x:v>
      </x:c>
      <x:c r="F32" s="12" t="n">
        <x:v>342351406</x:v>
      </x:c>
      <x:c r="G32" s="12" t="n">
        <x:f>F32-E32</x:f>
        <x:v>42351406</x:v>
      </x:c>
      <x:c r="H32" s="14" t="n">
        <x:f>IFERROR(F32/E32,0)</x:f>
        <x:v>1.1411713533333334</x:v>
      </x:c>
      <x:c r="I32" t="str">
        <x:f>IF(H32&gt;1.05,"Vượt kế hoạch",IF(H32&lt;0.8,"Giải ngân thấp","Đúng tiến độ"))</x:f>
        <x:v>Vượt kế hoạch</x:v>
      </x:c>
      <x:c r="J32" t="str">
        <x:v>Admissions Officer</x:v>
      </x:c>
      <x:c r="K32" t="str"/>
    </x:row>
    <x:row r="33">
      <x:c r="A33" t="str">
        <x:v>KH-TS-2026-032</x:v>
      </x:c>
      <x:c r="B33" t="str">
        <x:v>2026-04</x:v>
      </x:c>
      <x:c r="C33" t="str">
        <x:v>Q2</x:v>
      </x:c>
      <x:c r="D33" t="str">
        <x:v>Tư vấn tuyển sinh THPT</x:v>
      </x:c>
      <x:c r="E33" s="12" t="n">
        <x:v>50000000</x:v>
      </x:c>
      <x:c r="F33" s="12" t="n">
        <x:v>44425404</x:v>
      </x:c>
      <x:c r="G33" s="12" t="n">
        <x:f>F33-E33</x:f>
        <x:v>-5574596</x:v>
      </x:c>
      <x:c r="H33" s="14" t="n">
        <x:f>IFERROR(F33/E33,0)</x:f>
        <x:v>0.88850808</x:v>
      </x:c>
      <x:c r="I33" t="str">
        <x:f>IF(H33&gt;1.05,"Vượt kế hoạch",IF(H33&lt;0.8,"Giải ngân thấp","Đúng tiến độ"))</x:f>
        <x:v>Đúng tiến độ</x:v>
      </x:c>
      <x:c r="J33" t="str">
        <x:v>Admissions Manager</x:v>
      </x:c>
      <x:c r="K33" t="str"/>
    </x:row>
    <x:row r="34">
      <x:c r="A34" t="str">
        <x:v>KH-TS-2026-033</x:v>
      </x:c>
      <x:c r="B34" t="str">
        <x:v>2026-04</x:v>
      </x:c>
      <x:c r="C34" t="str">
        <x:v>Q2</x:v>
      </x:c>
      <x:c r="D34" t="str">
        <x:v>Open Day / Campus Tour</x:v>
      </x:c>
      <x:c r="E34" s="12" t="n">
        <x:v>50000000</x:v>
      </x:c>
      <x:c r="F34" s="12" t="n">
        <x:v>40213119</x:v>
      </x:c>
      <x:c r="G34" s="12" t="n">
        <x:f>F34-E34</x:f>
        <x:v>-9786881</x:v>
      </x:c>
      <x:c r="H34" s="14" t="n">
        <x:f>IFERROR(F34/E34,0)</x:f>
        <x:v>0.80426238</x:v>
      </x:c>
      <x:c r="I34" t="str">
        <x:f>IF(H34&gt;1.05,"Vượt kế hoạch",IF(H34&lt;0.8,"Giải ngân thấp","Đúng tiến độ"))</x:f>
        <x:v>Đúng tiến độ</x:v>
      </x:c>
      <x:c r="J34" t="str">
        <x:v>Scholarship Officer</x:v>
      </x:c>
      <x:c r="K34" t="str"/>
    </x:row>
    <x:row r="35">
      <x:c r="A35" t="str">
        <x:v>KH-TS-2026-034</x:v>
      </x:c>
      <x:c r="B35" t="str">
        <x:v>2026-04</x:v>
      </x:c>
      <x:c r="C35" t="str">
        <x:v>Q2</x:v>
      </x:c>
      <x:c r="D35" t="str">
        <x:v>Digital Admission Campaign</x:v>
      </x:c>
      <x:c r="E35" s="12" t="n">
        <x:v>300000000</x:v>
      </x:c>
      <x:c r="F35" s="12" t="n">
        <x:v>300512044</x:v>
      </x:c>
      <x:c r="G35" s="12" t="n">
        <x:f>F35-E35</x:f>
        <x:v>512044</x:v>
      </x:c>
      <x:c r="H35" s="14" t="n">
        <x:f>IFERROR(F35/E35,0)</x:f>
        <x:v>1.0017068133333333</x:v>
      </x:c>
      <x:c r="I35" t="str">
        <x:f>IF(H35&gt;1.05,"Vượt kế hoạch",IF(H35&lt;0.8,"Giải ngân thấp","Đúng tiến độ"))</x:f>
        <x:v>Đúng tiến độ</x:v>
      </x:c>
      <x:c r="J35" t="str">
        <x:v>Digital Lead</x:v>
      </x:c>
      <x:c r="K35" t="str"/>
    </x:row>
    <x:row r="36">
      <x:c r="A36" t="str">
        <x:v>KH-TS-2026-035</x:v>
      </x:c>
      <x:c r="B36" t="str">
        <x:v>2026-04</x:v>
      </x:c>
      <x:c r="C36" t="str">
        <x:v>Q2</x:v>
      </x:c>
      <x:c r="D36" t="str">
        <x:v>Học bổng tuyển sinh</x:v>
      </x:c>
      <x:c r="E36" s="12" t="n">
        <x:v>150000000</x:v>
      </x:c>
      <x:c r="F36" s="12" t="n">
        <x:v>176653490</x:v>
      </x:c>
      <x:c r="G36" s="12" t="n">
        <x:f>F36-E36</x:f>
        <x:v>26653490</x:v>
      </x:c>
      <x:c r="H36" s="14" t="n">
        <x:f>IFERROR(F36/E36,0)</x:f>
        <x:v>1.1776899333333333</x:v>
      </x:c>
      <x:c r="I36" t="str">
        <x:f>IF(H36&gt;1.05,"Vượt kế hoạch",IF(H36&lt;0.8,"Giải ngân thấp","Đúng tiến độ"))</x:f>
        <x:v>Vượt kế hoạch</x:v>
      </x:c>
      <x:c r="J36" t="str">
        <x:v>Scholarship Officer</x:v>
      </x:c>
      <x:c r="K36" t="str"/>
    </x:row>
    <x:row r="37">
      <x:c r="A37" t="str">
        <x:v>KH-TS-2026-036</x:v>
      </x:c>
      <x:c r="B37" t="str">
        <x:v>2026-04</x:v>
      </x:c>
      <x:c r="C37" t="str">
        <x:v>Q2</x:v>
      </x:c>
      <x:c r="D37" t="str">
        <x:v>Sự kiện phụ huynh</x:v>
      </x:c>
      <x:c r="E37" s="12" t="n">
        <x:v>100000000</x:v>
      </x:c>
      <x:c r="F37" s="12" t="n">
        <x:v>94509762</x:v>
      </x:c>
      <x:c r="G37" s="12" t="n">
        <x:f>F37-E37</x:f>
        <x:v>-5490238</x:v>
      </x:c>
      <x:c r="H37" s="14" t="n">
        <x:f>IFERROR(F37/E37,0)</x:f>
        <x:v>0.94509762</x:v>
      </x:c>
      <x:c r="I37" t="str">
        <x:f>IF(H37&gt;1.05,"Vượt kế hoạch",IF(H37&lt;0.8,"Giải ngân thấp","Đúng tiến độ"))</x:f>
        <x:v>Đúng tiến độ</x:v>
      </x:c>
      <x:c r="J37" t="str">
        <x:v>Scholarship Officer</x:v>
      </x:c>
      <x:c r="K37" t="str"/>
    </x:row>
    <x:row r="38">
      <x:c r="A38" t="str">
        <x:v>KH-TS-2026-037</x:v>
      </x:c>
      <x:c r="B38" t="str">
        <x:v>2026-04</x:v>
      </x:c>
      <x:c r="C38" t="str">
        <x:v>Q2</x:v>
      </x:c>
      <x:c r="D38" t="str">
        <x:v>Tuyển sinh sau đại học</x:v>
      </x:c>
      <x:c r="E38" s="12" t="n">
        <x:v>150000000</x:v>
      </x:c>
      <x:c r="F38" s="12" t="n">
        <x:v>118897010</x:v>
      </x:c>
      <x:c r="G38" s="12" t="n">
        <x:f>F38-E38</x:f>
        <x:v>-31102990</x:v>
      </x:c>
      <x:c r="H38" s="14" t="n">
        <x:f>IFERROR(F38/E38,0)</x:f>
        <x:v>0.7926467333333334</x:v>
      </x:c>
      <x:c r="I38" t="str">
        <x:f>IF(H38&gt;1.05,"Vượt kế hoạch",IF(H38&lt;0.8,"Giải ngân thấp","Đúng tiến độ"))</x:f>
        <x:v>Giải ngân thấp</x:v>
      </x:c>
      <x:c r="J38" t="str">
        <x:v>Admissions Officer</x:v>
      </x:c>
      <x:c r="K38" t="str"/>
    </x:row>
    <x:row r="39">
      <x:c r="A39" t="str">
        <x:v>KH-TS-2026-038</x:v>
      </x:c>
      <x:c r="B39" t="str">
        <x:v>2026-04</x:v>
      </x:c>
      <x:c r="C39" t="str">
        <x:v>Q2</x:v>
      </x:c>
      <x:c r="D39" t="str">
        <x:v>International Recruitment</x:v>
      </x:c>
      <x:c r="E39" s="12" t="n">
        <x:v>300000000</x:v>
      </x:c>
      <x:c r="F39" s="12" t="n">
        <x:v>308968249</x:v>
      </x:c>
      <x:c r="G39" s="12" t="n">
        <x:f>F39-E39</x:f>
        <x:v>8968249</x:v>
      </x:c>
      <x:c r="H39" s="14" t="n">
        <x:f>IFERROR(F39/E39,0)</x:f>
        <x:v>1.0298941633333334</x:v>
      </x:c>
      <x:c r="I39" t="str">
        <x:f>IF(H39&gt;1.05,"Vượt kế hoạch",IF(H39&lt;0.8,"Giải ngân thấp","Đúng tiến độ"))</x:f>
        <x:v>Đúng tiến độ</x:v>
      </x:c>
      <x:c r="J39" t="str">
        <x:v>Scholarship Officer</x:v>
      </x:c>
      <x:c r="K39" t="str"/>
    </x:row>
    <x:row r="40">
      <x:c r="A40" t="str">
        <x:v>KH-TS-2026-039</x:v>
      </x:c>
      <x:c r="B40" t="str">
        <x:v>2026-04</x:v>
      </x:c>
      <x:c r="C40" t="str">
        <x:v>Q2</x:v>
      </x:c>
      <x:c r="D40" t="str">
        <x:v>CRM &amp; Admission System</x:v>
      </x:c>
      <x:c r="E40" s="12" t="n">
        <x:v>300000000</x:v>
      </x:c>
      <x:c r="F40" s="12" t="n">
        <x:v>336648508</x:v>
      </x:c>
      <x:c r="G40" s="12" t="n">
        <x:f>F40-E40</x:f>
        <x:v>36648508</x:v>
      </x:c>
      <x:c r="H40" s="14" t="n">
        <x:f>IFERROR(F40/E40,0)</x:f>
        <x:v>1.1221616933333334</x:v>
      </x:c>
      <x:c r="I40" t="str">
        <x:f>IF(H40&gt;1.05,"Vượt kế hoạch",IF(H40&lt;0.8,"Giải ngân thấp","Đúng tiến độ"))</x:f>
        <x:v>Vượt kế hoạch</x:v>
      </x:c>
      <x:c r="J40" t="str">
        <x:v>Event Coordinator</x:v>
      </x:c>
      <x:c r="K40" t="str"/>
    </x:row>
    <x:row r="41">
      <x:c r="A41" t="str">
        <x:v>KH-TS-2026-040</x:v>
      </x:c>
      <x:c r="B41" t="str">
        <x:v>2026-04</x:v>
      </x:c>
      <x:c r="C41" t="str">
        <x:v>Q2</x:v>
      </x:c>
      <x:c r="D41" t="str">
        <x:v>Đào tạo cộng tác viên tuyển sinh</x:v>
      </x:c>
      <x:c r="E41" s="12" t="n">
        <x:v>150000000</x:v>
      </x:c>
      <x:c r="F41" s="12" t="n">
        <x:v>169781870</x:v>
      </x:c>
      <x:c r="G41" s="12" t="n">
        <x:f>F41-E41</x:f>
        <x:v>19781870</x:v>
      </x:c>
      <x:c r="H41" s="14" t="n">
        <x:f>IFERROR(F41/E41,0)</x:f>
        <x:v>1.1318791333333333</x:v>
      </x:c>
      <x:c r="I41" t="str">
        <x:f>IF(H41&gt;1.05,"Vượt kế hoạch",IF(H41&lt;0.8,"Giải ngân thấp","Đúng tiến độ"))</x:f>
        <x:v>Vượt kế hoạch</x:v>
      </x:c>
      <x:c r="J41" t="str">
        <x:v>Event Coordinator</x:v>
      </x:c>
      <x:c r="K41" t="str"/>
    </x:row>
    <x:row r="42">
      <x:c r="A42" t="str">
        <x:v>KH-TS-2026-041</x:v>
      </x:c>
      <x:c r="B42" t="str">
        <x:v>2026-05</x:v>
      </x:c>
      <x:c r="C42" t="str">
        <x:v>Q2</x:v>
      </x:c>
      <x:c r="D42" t="str">
        <x:v>Tuyển sinh đại học chính quy</x:v>
      </x:c>
      <x:c r="E42" s="12" t="n">
        <x:v>100000000</x:v>
      </x:c>
      <x:c r="F42" s="12" t="n">
        <x:v>110579026</x:v>
      </x:c>
      <x:c r="G42" s="12" t="n">
        <x:f>F42-E42</x:f>
        <x:v>10579026</x:v>
      </x:c>
      <x:c r="H42" s="14" t="n">
        <x:f>IFERROR(F42/E42,0)</x:f>
        <x:v>1.10579026</x:v>
      </x:c>
      <x:c r="I42" t="str">
        <x:f>IF(H42&gt;1.05,"Vượt kế hoạch",IF(H42&lt;0.8,"Giải ngân thấp","Đúng tiến độ"))</x:f>
        <x:v>Vượt kế hoạch</x:v>
      </x:c>
      <x:c r="J42" t="str">
        <x:v>Event Coordinator</x:v>
      </x:c>
      <x:c r="K42" t="str"/>
    </x:row>
    <x:row r="43">
      <x:c r="A43" t="str">
        <x:v>KH-TS-2026-042</x:v>
      </x:c>
      <x:c r="B43" t="str">
        <x:v>2026-05</x:v>
      </x:c>
      <x:c r="C43" t="str">
        <x:v>Q2</x:v>
      </x:c>
      <x:c r="D43" t="str">
        <x:v>Tư vấn tuyển sinh THPT</x:v>
      </x:c>
      <x:c r="E43" s="12" t="n">
        <x:v>150000000</x:v>
      </x:c>
      <x:c r="F43" s="12" t="n">
        <x:v>159560006</x:v>
      </x:c>
      <x:c r="G43" s="12" t="n">
        <x:f>F43-E43</x:f>
        <x:v>9560006</x:v>
      </x:c>
      <x:c r="H43" s="14" t="n">
        <x:f>IFERROR(F43/E43,0)</x:f>
        <x:v>1.0637333733333334</x:v>
      </x:c>
      <x:c r="I43" t="str">
        <x:f>IF(H43&gt;1.05,"Vượt kế hoạch",IF(H43&lt;0.8,"Giải ngân thấp","Đúng tiến độ"))</x:f>
        <x:v>Vượt kế hoạch</x:v>
      </x:c>
      <x:c r="J43" t="str">
        <x:v>Digital Lead</x:v>
      </x:c>
      <x:c r="K43" t="str"/>
    </x:row>
    <x:row r="44">
      <x:c r="A44" t="str">
        <x:v>KH-TS-2026-043</x:v>
      </x:c>
      <x:c r="B44" t="str">
        <x:v>2026-05</x:v>
      </x:c>
      <x:c r="C44" t="str">
        <x:v>Q2</x:v>
      </x:c>
      <x:c r="D44" t="str">
        <x:v>Open Day / Campus Tour</x:v>
      </x:c>
      <x:c r="E44" s="12" t="n">
        <x:v>150000000</x:v>
      </x:c>
      <x:c r="F44" s="12" t="n">
        <x:v>132657770</x:v>
      </x:c>
      <x:c r="G44" s="12" t="n">
        <x:f>F44-E44</x:f>
        <x:v>-17342230</x:v>
      </x:c>
      <x:c r="H44" s="14" t="n">
        <x:f>IFERROR(F44/E44,0)</x:f>
        <x:v>0.8843851333333334</x:v>
      </x:c>
      <x:c r="I44" t="str">
        <x:f>IF(H44&gt;1.05,"Vượt kế hoạch",IF(H44&lt;0.8,"Giải ngân thấp","Đúng tiến độ"))</x:f>
        <x:v>Đúng tiến độ</x:v>
      </x:c>
      <x:c r="J44" t="str">
        <x:v>Digital Lead</x:v>
      </x:c>
      <x:c r="K44" t="str"/>
    </x:row>
    <x:row r="45">
      <x:c r="A45" t="str">
        <x:v>KH-TS-2026-044</x:v>
      </x:c>
      <x:c r="B45" t="str">
        <x:v>2026-05</x:v>
      </x:c>
      <x:c r="C45" t="str">
        <x:v>Q2</x:v>
      </x:c>
      <x:c r="D45" t="str">
        <x:v>Digital Admission Campaign</x:v>
      </x:c>
      <x:c r="E45" s="12" t="n">
        <x:v>100000000</x:v>
      </x:c>
      <x:c r="F45" s="12" t="n">
        <x:v>116004478</x:v>
      </x:c>
      <x:c r="G45" s="12" t="n">
        <x:f>F45-E45</x:f>
        <x:v>16004478</x:v>
      </x:c>
      <x:c r="H45" s="14" t="n">
        <x:f>IFERROR(F45/E45,0)</x:f>
        <x:v>1.16004478</x:v>
      </x:c>
      <x:c r="I45" t="str">
        <x:f>IF(H45&gt;1.05,"Vượt kế hoạch",IF(H45&lt;0.8,"Giải ngân thấp","Đúng tiến độ"))</x:f>
        <x:v>Vượt kế hoạch</x:v>
      </x:c>
      <x:c r="J45" t="str">
        <x:v>Event Coordinator</x:v>
      </x:c>
      <x:c r="K45" t="str"/>
    </x:row>
    <x:row r="46">
      <x:c r="A46" t="str">
        <x:v>KH-TS-2026-045</x:v>
      </x:c>
      <x:c r="B46" t="str">
        <x:v>2026-05</x:v>
      </x:c>
      <x:c r="C46" t="str">
        <x:v>Q2</x:v>
      </x:c>
      <x:c r="D46" t="str">
        <x:v>Học bổng tuyển sinh</x:v>
      </x:c>
      <x:c r="E46" s="12" t="n">
        <x:v>50000000</x:v>
      </x:c>
      <x:c r="F46" s="12" t="n">
        <x:v>39461332</x:v>
      </x:c>
      <x:c r="G46" s="12" t="n">
        <x:f>F46-E46</x:f>
        <x:v>-10538668</x:v>
      </x:c>
      <x:c r="H46" s="14" t="n">
        <x:f>IFERROR(F46/E46,0)</x:f>
        <x:v>0.78922664</x:v>
      </x:c>
      <x:c r="I46" t="str">
        <x:f>IF(H46&gt;1.05,"Vượt kế hoạch",IF(H46&lt;0.8,"Giải ngân thấp","Đúng tiến độ"))</x:f>
        <x:v>Giải ngân thấp</x:v>
      </x:c>
      <x:c r="J46" t="str">
        <x:v>Admissions Officer</x:v>
      </x:c>
      <x:c r="K46" t="str"/>
    </x:row>
    <x:row r="47">
      <x:c r="A47" t="str">
        <x:v>KH-TS-2026-046</x:v>
      </x:c>
      <x:c r="B47" t="str">
        <x:v>2026-05</x:v>
      </x:c>
      <x:c r="C47" t="str">
        <x:v>Q2</x:v>
      </x:c>
      <x:c r="D47" t="str">
        <x:v>Sự kiện phụ huynh</x:v>
      </x:c>
      <x:c r="E47" s="12" t="n">
        <x:v>50000000</x:v>
      </x:c>
      <x:c r="F47" s="12" t="n">
        <x:v>46785345</x:v>
      </x:c>
      <x:c r="G47" s="12" t="n">
        <x:f>F47-E47</x:f>
        <x:v>-3214655</x:v>
      </x:c>
      <x:c r="H47" s="14" t="n">
        <x:f>IFERROR(F47/E47,0)</x:f>
        <x:v>0.9357069</x:v>
      </x:c>
      <x:c r="I47" t="str">
        <x:f>IF(H47&gt;1.05,"Vượt kế hoạch",IF(H47&lt;0.8,"Giải ngân thấp","Đúng tiến độ"))</x:f>
        <x:v>Đúng tiến độ</x:v>
      </x:c>
      <x:c r="J47" t="str">
        <x:v>Digital Lead</x:v>
      </x:c>
      <x:c r="K47" t="str"/>
    </x:row>
    <x:row r="48">
      <x:c r="A48" t="str">
        <x:v>KH-TS-2026-047</x:v>
      </x:c>
      <x:c r="B48" t="str">
        <x:v>2026-05</x:v>
      </x:c>
      <x:c r="C48" t="str">
        <x:v>Q2</x:v>
      </x:c>
      <x:c r="D48" t="str">
        <x:v>Tuyển sinh sau đại học</x:v>
      </x:c>
      <x:c r="E48" s="12" t="n">
        <x:v>80000000</x:v>
      </x:c>
      <x:c r="F48" s="12" t="n">
        <x:v>79139153</x:v>
      </x:c>
      <x:c r="G48" s="12" t="n">
        <x:f>F48-E48</x:f>
        <x:v>-860847</x:v>
      </x:c>
      <x:c r="H48" s="14" t="n">
        <x:f>IFERROR(F48/E48,0)</x:f>
        <x:v>0.9892394125</x:v>
      </x:c>
      <x:c r="I48" t="str">
        <x:f>IF(H48&gt;1.05,"Vượt kế hoạch",IF(H48&lt;0.8,"Giải ngân thấp","Đúng tiến độ"))</x:f>
        <x:v>Đúng tiến độ</x:v>
      </x:c>
      <x:c r="J48" t="str">
        <x:v>Scholarship Officer</x:v>
      </x:c>
      <x:c r="K48" t="str"/>
    </x:row>
    <x:row r="49">
      <x:c r="A49" t="str">
        <x:v>KH-TS-2026-048</x:v>
      </x:c>
      <x:c r="B49" t="str">
        <x:v>2026-05</x:v>
      </x:c>
      <x:c r="C49" t="str">
        <x:v>Q2</x:v>
      </x:c>
      <x:c r="D49" t="str">
        <x:v>International Recruitment</x:v>
      </x:c>
      <x:c r="E49" s="12" t="n">
        <x:v>200000000</x:v>
      </x:c>
      <x:c r="F49" s="12" t="n">
        <x:v>198304770</x:v>
      </x:c>
      <x:c r="G49" s="12" t="n">
        <x:f>F49-E49</x:f>
        <x:v>-1695230</x:v>
      </x:c>
      <x:c r="H49" s="14" t="n">
        <x:f>IFERROR(F49/E49,0)</x:f>
        <x:v>0.99152385</x:v>
      </x:c>
      <x:c r="I49" t="str">
        <x:f>IF(H49&gt;1.05,"Vượt kế hoạch",IF(H49&lt;0.8,"Giải ngân thấp","Đúng tiến độ"))</x:f>
        <x:v>Đúng tiến độ</x:v>
      </x:c>
      <x:c r="J49" t="str">
        <x:v>Admissions Officer</x:v>
      </x:c>
      <x:c r="K49" t="str"/>
    </x:row>
    <x:row r="50">
      <x:c r="A50" t="str">
        <x:v>KH-TS-2026-049</x:v>
      </x:c>
      <x:c r="B50" t="str">
        <x:v>2026-05</x:v>
      </x:c>
      <x:c r="C50" t="str">
        <x:v>Q2</x:v>
      </x:c>
      <x:c r="D50" t="str">
        <x:v>CRM &amp; Admission System</x:v>
      </x:c>
      <x:c r="E50" s="12" t="n">
        <x:v>150000000</x:v>
      </x:c>
      <x:c r="F50" s="12" t="n">
        <x:v>135307076</x:v>
      </x:c>
      <x:c r="G50" s="12" t="n">
        <x:f>F50-E50</x:f>
        <x:v>-14692924</x:v>
      </x:c>
      <x:c r="H50" s="14" t="n">
        <x:f>IFERROR(F50/E50,0)</x:f>
        <x:v>0.9020471733333333</x:v>
      </x:c>
      <x:c r="I50" t="str">
        <x:f>IF(H50&gt;1.05,"Vượt kế hoạch",IF(H50&lt;0.8,"Giải ngân thấp","Đúng tiến độ"))</x:f>
        <x:v>Đúng tiến độ</x:v>
      </x:c>
      <x:c r="J50" t="str">
        <x:v>Event Coordinator</x:v>
      </x:c>
      <x:c r="K50" t="str"/>
    </x:row>
    <x:row r="51">
      <x:c r="A51" t="str">
        <x:v>KH-TS-2026-050</x:v>
      </x:c>
      <x:c r="B51" t="str">
        <x:v>2026-05</x:v>
      </x:c>
      <x:c r="C51" t="str">
        <x:v>Q2</x:v>
      </x:c>
      <x:c r="D51" t="str">
        <x:v>Đào tạo cộng tác viên tuyển sinh</x:v>
      </x:c>
      <x:c r="E51" s="12" t="n">
        <x:v>300000000</x:v>
      </x:c>
      <x:c r="F51" s="12" t="n">
        <x:v>231636544</x:v>
      </x:c>
      <x:c r="G51" s="12" t="n">
        <x:f>F51-E51</x:f>
        <x:v>-68363456</x:v>
      </x:c>
      <x:c r="H51" s="14" t="n">
        <x:f>IFERROR(F51/E51,0)</x:f>
        <x:v>0.7721218133333333</x:v>
      </x:c>
      <x:c r="I51" t="str">
        <x:f>IF(H51&gt;1.05,"Vượt kế hoạch",IF(H51&lt;0.8,"Giải ngân thấp","Đúng tiến độ"))</x:f>
        <x:v>Giải ngân thấp</x:v>
      </x:c>
      <x:c r="J51" t="str">
        <x:v>Digital Lead</x:v>
      </x:c>
      <x:c r="K51" t="str"/>
    </x:row>
    <x:row r="52">
      <x:c r="A52" t="str">
        <x:v>KH-TS-2026-051</x:v>
      </x:c>
      <x:c r="B52" t="str">
        <x:v>2026-06</x:v>
      </x:c>
      <x:c r="C52" t="str">
        <x:v>Q2</x:v>
      </x:c>
      <x:c r="D52" t="str">
        <x:v>Tuyển sinh đại học chính quy</x:v>
      </x:c>
      <x:c r="E52" s="12" t="n">
        <x:v>200000000</x:v>
      </x:c>
      <x:c r="F52" s="12" t="n">
        <x:v>176870605</x:v>
      </x:c>
      <x:c r="G52" s="12" t="n">
        <x:f>F52-E52</x:f>
        <x:v>-23129395</x:v>
      </x:c>
      <x:c r="H52" s="14" t="n">
        <x:f>IFERROR(F52/E52,0)</x:f>
        <x:v>0.884353025</x:v>
      </x:c>
      <x:c r="I52" t="str">
        <x:f>IF(H52&gt;1.05,"Vượt kế hoạch",IF(H52&lt;0.8,"Giải ngân thấp","Đúng tiến độ"))</x:f>
        <x:v>Đúng tiến độ</x:v>
      </x:c>
      <x:c r="J52" t="str">
        <x:v>Admissions Officer</x:v>
      </x:c>
      <x:c r="K52" t="str"/>
    </x:row>
    <x:row r="53">
      <x:c r="A53" t="str">
        <x:v>KH-TS-2026-052</x:v>
      </x:c>
      <x:c r="B53" t="str">
        <x:v>2026-06</x:v>
      </x:c>
      <x:c r="C53" t="str">
        <x:v>Q2</x:v>
      </x:c>
      <x:c r="D53" t="str">
        <x:v>Tư vấn tuyển sinh THPT</x:v>
      </x:c>
      <x:c r="E53" s="12" t="n">
        <x:v>200000000</x:v>
      </x:c>
      <x:c r="F53" s="12" t="n">
        <x:v>193637479</x:v>
      </x:c>
      <x:c r="G53" s="12" t="n">
        <x:f>F53-E53</x:f>
        <x:v>-6362521</x:v>
      </x:c>
      <x:c r="H53" s="14" t="n">
        <x:f>IFERROR(F53/E53,0)</x:f>
        <x:v>0.968187395</x:v>
      </x:c>
      <x:c r="I53" t="str">
        <x:f>IF(H53&gt;1.05,"Vượt kế hoạch",IF(H53&lt;0.8,"Giải ngân thấp","Đúng tiến độ"))</x:f>
        <x:v>Đúng tiến độ</x:v>
      </x:c>
      <x:c r="J53" t="str">
        <x:v>Admissions Manager</x:v>
      </x:c>
      <x:c r="K53" t="str"/>
    </x:row>
    <x:row r="54">
      <x:c r="A54" t="str">
        <x:v>KH-TS-2026-053</x:v>
      </x:c>
      <x:c r="B54" t="str">
        <x:v>2026-06</x:v>
      </x:c>
      <x:c r="C54" t="str">
        <x:v>Q2</x:v>
      </x:c>
      <x:c r="D54" t="str">
        <x:v>Open Day / Campus Tour</x:v>
      </x:c>
      <x:c r="E54" s="12" t="n">
        <x:v>300000000</x:v>
      </x:c>
      <x:c r="F54" s="12" t="n">
        <x:v>287202432</x:v>
      </x:c>
      <x:c r="G54" s="12" t="n">
        <x:f>F54-E54</x:f>
        <x:v>-12797568</x:v>
      </x:c>
      <x:c r="H54" s="14" t="n">
        <x:f>IFERROR(F54/E54,0)</x:f>
        <x:v>0.95734144</x:v>
      </x:c>
      <x:c r="I54" t="str">
        <x:f>IF(H54&gt;1.05,"Vượt kế hoạch",IF(H54&lt;0.8,"Giải ngân thấp","Đúng tiến độ"))</x:f>
        <x:v>Đúng tiến độ</x:v>
      </x:c>
      <x:c r="J54" t="str">
        <x:v>Admissions Officer</x:v>
      </x:c>
      <x:c r="K54" t="str"/>
    </x:row>
    <x:row r="55">
      <x:c r="A55" t="str">
        <x:v>KH-TS-2026-054</x:v>
      </x:c>
      <x:c r="B55" t="str">
        <x:v>2026-06</x:v>
      </x:c>
      <x:c r="C55" t="str">
        <x:v>Q2</x:v>
      </x:c>
      <x:c r="D55" t="str">
        <x:v>Digital Admission Campaign</x:v>
      </x:c>
      <x:c r="E55" s="12" t="n">
        <x:v>100000000</x:v>
      </x:c>
      <x:c r="F55" s="12" t="n">
        <x:v>111351056</x:v>
      </x:c>
      <x:c r="G55" s="12" t="n">
        <x:f>F55-E55</x:f>
        <x:v>11351056</x:v>
      </x:c>
      <x:c r="H55" s="14" t="n">
        <x:f>IFERROR(F55/E55,0)</x:f>
        <x:v>1.11351056</x:v>
      </x:c>
      <x:c r="I55" t="str">
        <x:f>IF(H55&gt;1.05,"Vượt kế hoạch",IF(H55&lt;0.8,"Giải ngân thấp","Đúng tiến độ"))</x:f>
        <x:v>Vượt kế hoạch</x:v>
      </x:c>
      <x:c r="J55" t="str">
        <x:v>Digital Lead</x:v>
      </x:c>
      <x:c r="K55" t="str"/>
    </x:row>
    <x:row r="56">
      <x:c r="A56" t="str">
        <x:v>KH-TS-2026-055</x:v>
      </x:c>
      <x:c r="B56" t="str">
        <x:v>2026-06</x:v>
      </x:c>
      <x:c r="C56" t="str">
        <x:v>Q2</x:v>
      </x:c>
      <x:c r="D56" t="str">
        <x:v>Học bổng tuyển sinh</x:v>
      </x:c>
      <x:c r="E56" s="12" t="n">
        <x:v>50000000</x:v>
      </x:c>
      <x:c r="F56" s="12" t="n">
        <x:v>53896021</x:v>
      </x:c>
      <x:c r="G56" s="12" t="n">
        <x:f>F56-E56</x:f>
        <x:v>3896021</x:v>
      </x:c>
      <x:c r="H56" s="14" t="n">
        <x:f>IFERROR(F56/E56,0)</x:f>
        <x:v>1.07792042</x:v>
      </x:c>
      <x:c r="I56" t="str">
        <x:f>IF(H56&gt;1.05,"Vượt kế hoạch",IF(H56&lt;0.8,"Giải ngân thấp","Đúng tiến độ"))</x:f>
        <x:v>Vượt kế hoạch</x:v>
      </x:c>
      <x:c r="J56" t="str">
        <x:v>Scholarship Officer</x:v>
      </x:c>
      <x:c r="K56" t="str"/>
    </x:row>
    <x:row r="57">
      <x:c r="A57" t="str">
        <x:v>KH-TS-2026-056</x:v>
      </x:c>
      <x:c r="B57" t="str">
        <x:v>2026-06</x:v>
      </x:c>
      <x:c r="C57" t="str">
        <x:v>Q2</x:v>
      </x:c>
      <x:c r="D57" t="str">
        <x:v>Sự kiện phụ huynh</x:v>
      </x:c>
      <x:c r="E57" s="12" t="n">
        <x:v>80000000</x:v>
      </x:c>
      <x:c r="F57" s="12" t="n">
        <x:v>87768415</x:v>
      </x:c>
      <x:c r="G57" s="12" t="n">
        <x:f>F57-E57</x:f>
        <x:v>7768415</x:v>
      </x:c>
      <x:c r="H57" s="14" t="n">
        <x:f>IFERROR(F57/E57,0)</x:f>
        <x:v>1.0971051875</x:v>
      </x:c>
      <x:c r="I57" t="str">
        <x:f>IF(H57&gt;1.05,"Vượt kế hoạch",IF(H57&lt;0.8,"Giải ngân thấp","Đúng tiến độ"))</x:f>
        <x:v>Vượt kế hoạch</x:v>
      </x:c>
      <x:c r="J57" t="str">
        <x:v>Scholarship Officer</x:v>
      </x:c>
      <x:c r="K57" t="str"/>
    </x:row>
    <x:row r="58">
      <x:c r="A58" t="str">
        <x:v>KH-TS-2026-057</x:v>
      </x:c>
      <x:c r="B58" t="str">
        <x:v>2026-06</x:v>
      </x:c>
      <x:c r="C58" t="str">
        <x:v>Q2</x:v>
      </x:c>
      <x:c r="D58" t="str">
        <x:v>Tuyển sinh sau đại học</x:v>
      </x:c>
      <x:c r="E58" s="12" t="n">
        <x:v>200000000</x:v>
      </x:c>
      <x:c r="F58" s="12" t="n">
        <x:v>202767302</x:v>
      </x:c>
      <x:c r="G58" s="12" t="n">
        <x:f>F58-E58</x:f>
        <x:v>2767302</x:v>
      </x:c>
      <x:c r="H58" s="14" t="n">
        <x:f>IFERROR(F58/E58,0)</x:f>
        <x:v>1.01383651</x:v>
      </x:c>
      <x:c r="I58" t="str">
        <x:f>IF(H58&gt;1.05,"Vượt kế hoạch",IF(H58&lt;0.8,"Giải ngân thấp","Đúng tiến độ"))</x:f>
        <x:v>Đúng tiến độ</x:v>
      </x:c>
      <x:c r="J58" t="str">
        <x:v>Scholarship Officer</x:v>
      </x:c>
      <x:c r="K58" t="str"/>
    </x:row>
    <x:row r="59">
      <x:c r="A59" t="str">
        <x:v>KH-TS-2026-058</x:v>
      </x:c>
      <x:c r="B59" t="str">
        <x:v>2026-06</x:v>
      </x:c>
      <x:c r="C59" t="str">
        <x:v>Q2</x:v>
      </x:c>
      <x:c r="D59" t="str">
        <x:v>International Recruitment</x:v>
      </x:c>
      <x:c r="E59" s="12" t="n">
        <x:v>50000000</x:v>
      </x:c>
      <x:c r="F59" s="12" t="n">
        <x:v>50593390</x:v>
      </x:c>
      <x:c r="G59" s="12" t="n">
        <x:f>F59-E59</x:f>
        <x:v>593390</x:v>
      </x:c>
      <x:c r="H59" s="14" t="n">
        <x:f>IFERROR(F59/E59,0)</x:f>
        <x:v>1.0118678</x:v>
      </x:c>
      <x:c r="I59" t="str">
        <x:f>IF(H59&gt;1.05,"Vượt kế hoạch",IF(H59&lt;0.8,"Giải ngân thấp","Đúng tiến độ"))</x:f>
        <x:v>Đúng tiến độ</x:v>
      </x:c>
      <x:c r="J59" t="str">
        <x:v>Digital Lead</x:v>
      </x:c>
      <x:c r="K59" t="str"/>
    </x:row>
    <x:row r="60">
      <x:c r="A60" t="str">
        <x:v>KH-TS-2026-059</x:v>
      </x:c>
      <x:c r="B60" t="str">
        <x:v>2026-06</x:v>
      </x:c>
      <x:c r="C60" t="str">
        <x:v>Q2</x:v>
      </x:c>
      <x:c r="D60" t="str">
        <x:v>CRM &amp; Admission System</x:v>
      </x:c>
      <x:c r="E60" s="12" t="n">
        <x:v>50000000</x:v>
      </x:c>
      <x:c r="F60" s="12" t="n">
        <x:v>41378945</x:v>
      </x:c>
      <x:c r="G60" s="12" t="n">
        <x:f>F60-E60</x:f>
        <x:v>-8621055</x:v>
      </x:c>
      <x:c r="H60" s="14" t="n">
        <x:f>IFERROR(F60/E60,0)</x:f>
        <x:v>0.8275789</x:v>
      </x:c>
      <x:c r="I60" t="str">
        <x:f>IF(H60&gt;1.05,"Vượt kế hoạch",IF(H60&lt;0.8,"Giải ngân thấp","Đúng tiến độ"))</x:f>
        <x:v>Đúng tiến độ</x:v>
      </x:c>
      <x:c r="J60" t="str">
        <x:v>Digital Lead</x:v>
      </x:c>
      <x:c r="K60" t="str"/>
    </x:row>
    <x:row r="61">
      <x:c r="A61" t="str">
        <x:v>KH-TS-2026-060</x:v>
      </x:c>
      <x:c r="B61" t="str">
        <x:v>2026-06</x:v>
      </x:c>
      <x:c r="C61" t="str">
        <x:v>Q2</x:v>
      </x:c>
      <x:c r="D61" t="str">
        <x:v>Đào tạo cộng tác viên tuyển sinh</x:v>
      </x:c>
      <x:c r="E61" s="12" t="n">
        <x:v>100000000</x:v>
      </x:c>
      <x:c r="F61" s="12" t="n">
        <x:v>90094007</x:v>
      </x:c>
      <x:c r="G61" s="12" t="n">
        <x:f>F61-E61</x:f>
        <x:v>-9905993</x:v>
      </x:c>
      <x:c r="H61" s="14" t="n">
        <x:f>IFERROR(F61/E61,0)</x:f>
        <x:v>0.90094007</x:v>
      </x:c>
      <x:c r="I61" t="str">
        <x:f>IF(H61&gt;1.05,"Vượt kế hoạch",IF(H61&lt;0.8,"Giải ngân thấp","Đúng tiến độ"))</x:f>
        <x:v>Đúng tiến độ</x:v>
      </x:c>
      <x:c r="J61" t="str">
        <x:v>Admissions Manager</x:v>
      </x:c>
      <x:c r="K61" t="str"/>
    </x:row>
    <x:row r="62">
      <x:c r="A62" t="str">
        <x:v>KH-TS-2026-061</x:v>
      </x:c>
      <x:c r="B62" t="str">
        <x:v>2026-07</x:v>
      </x:c>
      <x:c r="C62" t="str">
        <x:v>Q3</x:v>
      </x:c>
      <x:c r="D62" t="str">
        <x:v>Tuyển sinh đại học chính quy</x:v>
      </x:c>
      <x:c r="E62" s="12" t="n">
        <x:v>80000000</x:v>
      </x:c>
      <x:c r="F62" s="12" t="n">
        <x:v>79481445</x:v>
      </x:c>
      <x:c r="G62" s="12" t="n">
        <x:f>F62-E62</x:f>
        <x:v>-518555</x:v>
      </x:c>
      <x:c r="H62" s="14" t="n">
        <x:f>IFERROR(F62/E62,0)</x:f>
        <x:v>0.9935180625</x:v>
      </x:c>
      <x:c r="I62" t="str">
        <x:f>IF(H62&gt;1.05,"Vượt kế hoạch",IF(H62&lt;0.8,"Giải ngân thấp","Đúng tiến độ"))</x:f>
        <x:v>Đúng tiến độ</x:v>
      </x:c>
      <x:c r="J62" t="str">
        <x:v>Event Coordinator</x:v>
      </x:c>
      <x:c r="K62" t="str"/>
    </x:row>
    <x:row r="63">
      <x:c r="A63" t="str">
        <x:v>KH-TS-2026-062</x:v>
      </x:c>
      <x:c r="B63" t="str">
        <x:v>2026-07</x:v>
      </x:c>
      <x:c r="C63" t="str">
        <x:v>Q3</x:v>
      </x:c>
      <x:c r="D63" t="str">
        <x:v>Tư vấn tuyển sinh THPT</x:v>
      </x:c>
      <x:c r="E63" s="12" t="n">
        <x:v>50000000</x:v>
      </x:c>
      <x:c r="F63" s="12" t="n">
        <x:v>40550305</x:v>
      </x:c>
      <x:c r="G63" s="12" t="n">
        <x:f>F63-E63</x:f>
        <x:v>-9449695</x:v>
      </x:c>
      <x:c r="H63" s="14" t="n">
        <x:f>IFERROR(F63/E63,0)</x:f>
        <x:v>0.8110061</x:v>
      </x:c>
      <x:c r="I63" t="str">
        <x:f>IF(H63&gt;1.05,"Vượt kế hoạch",IF(H63&lt;0.8,"Giải ngân thấp","Đúng tiến độ"))</x:f>
        <x:v>Đúng tiến độ</x:v>
      </x:c>
      <x:c r="J63" t="str">
        <x:v>Admissions Officer</x:v>
      </x:c>
      <x:c r="K63" t="str"/>
    </x:row>
    <x:row r="64">
      <x:c r="A64" t="str">
        <x:v>KH-TS-2026-063</x:v>
      </x:c>
      <x:c r="B64" t="str">
        <x:v>2026-07</x:v>
      </x:c>
      <x:c r="C64" t="str">
        <x:v>Q3</x:v>
      </x:c>
      <x:c r="D64" t="str">
        <x:v>Open Day / Campus Tour</x:v>
      </x:c>
      <x:c r="E64" s="12" t="n">
        <x:v>50000000</x:v>
      </x:c>
      <x:c r="F64" s="12" t="n">
        <x:v>53541402</x:v>
      </x:c>
      <x:c r="G64" s="12" t="n">
        <x:f>F64-E64</x:f>
        <x:v>3541402</x:v>
      </x:c>
      <x:c r="H64" s="14" t="n">
        <x:f>IFERROR(F64/E64,0)</x:f>
        <x:v>1.07082804</x:v>
      </x:c>
      <x:c r="I64" t="str">
        <x:f>IF(H64&gt;1.05,"Vượt kế hoạch",IF(H64&lt;0.8,"Giải ngân thấp","Đúng tiến độ"))</x:f>
        <x:v>Vượt kế hoạch</x:v>
      </x:c>
      <x:c r="J64" t="str">
        <x:v>Admissions Manager</x:v>
      </x:c>
      <x:c r="K64" t="str"/>
    </x:row>
    <x:row r="65">
      <x:c r="A65" t="str">
        <x:v>KH-TS-2026-064</x:v>
      </x:c>
      <x:c r="B65" t="str">
        <x:v>2026-07</x:v>
      </x:c>
      <x:c r="C65" t="str">
        <x:v>Q3</x:v>
      </x:c>
      <x:c r="D65" t="str">
        <x:v>Digital Admission Campaign</x:v>
      </x:c>
      <x:c r="E65" s="12" t="n">
        <x:v>150000000</x:v>
      </x:c>
      <x:c r="F65" s="12" t="n">
        <x:v>139579195</x:v>
      </x:c>
      <x:c r="G65" s="12" t="n">
        <x:f>F65-E65</x:f>
        <x:v>-10420805</x:v>
      </x:c>
      <x:c r="H65" s="14" t="n">
        <x:f>IFERROR(F65/E65,0)</x:f>
        <x:v>0.9305279666666667</x:v>
      </x:c>
      <x:c r="I65" t="str">
        <x:f>IF(H65&gt;1.05,"Vượt kế hoạch",IF(H65&lt;0.8,"Giải ngân thấp","Đúng tiến độ"))</x:f>
        <x:v>Đúng tiến độ</x:v>
      </x:c>
      <x:c r="J65" t="str">
        <x:v>Digital Lead</x:v>
      </x:c>
      <x:c r="K65" t="str"/>
    </x:row>
    <x:row r="66">
      <x:c r="A66" t="str">
        <x:v>KH-TS-2026-065</x:v>
      </x:c>
      <x:c r="B66" t="str">
        <x:v>2026-07</x:v>
      </x:c>
      <x:c r="C66" t="str">
        <x:v>Q3</x:v>
      </x:c>
      <x:c r="D66" t="str">
        <x:v>Học bổng tuyển sinh</x:v>
      </x:c>
      <x:c r="E66" s="12" t="n">
        <x:v>80000000</x:v>
      </x:c>
      <x:c r="F66" s="12" t="n">
        <x:v>72729826</x:v>
      </x:c>
      <x:c r="G66" s="12" t="n">
        <x:f>F66-E66</x:f>
        <x:v>-7270174</x:v>
      </x:c>
      <x:c r="H66" s="14" t="n">
        <x:f>IFERROR(F66/E66,0)</x:f>
        <x:v>0.909122825</x:v>
      </x:c>
      <x:c r="I66" t="str">
        <x:f>IF(H66&gt;1.05,"Vượt kế hoạch",IF(H66&lt;0.8,"Giải ngân thấp","Đúng tiến độ"))</x:f>
        <x:v>Đúng tiến độ</x:v>
      </x:c>
      <x:c r="J66" t="str">
        <x:v>Digital Lead</x:v>
      </x:c>
      <x:c r="K66" t="str"/>
    </x:row>
    <x:row r="67">
      <x:c r="A67" t="str">
        <x:v>KH-TS-2026-066</x:v>
      </x:c>
      <x:c r="B67" t="str">
        <x:v>2026-07</x:v>
      </x:c>
      <x:c r="C67" t="str">
        <x:v>Q3</x:v>
      </x:c>
      <x:c r="D67" t="str">
        <x:v>Sự kiện phụ huynh</x:v>
      </x:c>
      <x:c r="E67" s="12" t="n">
        <x:v>200000000</x:v>
      </x:c>
      <x:c r="F67" s="12" t="n">
        <x:v>201275244</x:v>
      </x:c>
      <x:c r="G67" s="12" t="n">
        <x:f>F67-E67</x:f>
        <x:v>1275244</x:v>
      </x:c>
      <x:c r="H67" s="14" t="n">
        <x:f>IFERROR(F67/E67,0)</x:f>
        <x:v>1.00637622</x:v>
      </x:c>
      <x:c r="I67" t="str">
        <x:f>IF(H67&gt;1.05,"Vượt kế hoạch",IF(H67&lt;0.8,"Giải ngân thấp","Đúng tiến độ"))</x:f>
        <x:v>Đúng tiến độ</x:v>
      </x:c>
      <x:c r="J67" t="str">
        <x:v>Admissions Officer</x:v>
      </x:c>
      <x:c r="K67" t="str"/>
    </x:row>
    <x:row r="68">
      <x:c r="A68" t="str">
        <x:v>KH-TS-2026-067</x:v>
      </x:c>
      <x:c r="B68" t="str">
        <x:v>2026-07</x:v>
      </x:c>
      <x:c r="C68" t="str">
        <x:v>Q3</x:v>
      </x:c>
      <x:c r="D68" t="str">
        <x:v>Tuyển sinh sau đại học</x:v>
      </x:c>
      <x:c r="E68" s="12" t="n">
        <x:v>80000000</x:v>
      </x:c>
      <x:c r="F68" s="12" t="n">
        <x:v>65414900</x:v>
      </x:c>
      <x:c r="G68" s="12" t="n">
        <x:f>F68-E68</x:f>
        <x:v>-14585100</x:v>
      </x:c>
      <x:c r="H68" s="14" t="n">
        <x:f>IFERROR(F68/E68,0)</x:f>
        <x:v>0.81768625</x:v>
      </x:c>
      <x:c r="I68" t="str">
        <x:f>IF(H68&gt;1.05,"Vượt kế hoạch",IF(H68&lt;0.8,"Giải ngân thấp","Đúng tiến độ"))</x:f>
        <x:v>Đúng tiến độ</x:v>
      </x:c>
      <x:c r="J68" t="str">
        <x:v>Scholarship Officer</x:v>
      </x:c>
      <x:c r="K68" t="str"/>
    </x:row>
    <x:row r="69">
      <x:c r="A69" t="str">
        <x:v>KH-TS-2026-068</x:v>
      </x:c>
      <x:c r="B69" t="str">
        <x:v>2026-07</x:v>
      </x:c>
      <x:c r="C69" t="str">
        <x:v>Q3</x:v>
      </x:c>
      <x:c r="D69" t="str">
        <x:v>International Recruitment</x:v>
      </x:c>
      <x:c r="E69" s="12" t="n">
        <x:v>50000000</x:v>
      </x:c>
      <x:c r="F69" s="12" t="n">
        <x:v>51990327</x:v>
      </x:c>
      <x:c r="G69" s="12" t="n">
        <x:f>F69-E69</x:f>
        <x:v>1990327</x:v>
      </x:c>
      <x:c r="H69" s="14" t="n">
        <x:f>IFERROR(F69/E69,0)</x:f>
        <x:v>1.03980654</x:v>
      </x:c>
      <x:c r="I69" t="str">
        <x:f>IF(H69&gt;1.05,"Vượt kế hoạch",IF(H69&lt;0.8,"Giải ngân thấp","Đúng tiến độ"))</x:f>
        <x:v>Đúng tiến độ</x:v>
      </x:c>
      <x:c r="J69" t="str">
        <x:v>Digital Lead</x:v>
      </x:c>
      <x:c r="K69" t="str"/>
    </x:row>
    <x:row r="70">
      <x:c r="A70" t="str">
        <x:v>KH-TS-2026-069</x:v>
      </x:c>
      <x:c r="B70" t="str">
        <x:v>2026-07</x:v>
      </x:c>
      <x:c r="C70" t="str">
        <x:v>Q3</x:v>
      </x:c>
      <x:c r="D70" t="str">
        <x:v>CRM &amp; Admission System</x:v>
      </x:c>
      <x:c r="E70" s="12" t="n">
        <x:v>150000000</x:v>
      </x:c>
      <x:c r="F70" s="12" t="n">
        <x:v>155195045</x:v>
      </x:c>
      <x:c r="G70" s="12" t="n">
        <x:f>F70-E70</x:f>
        <x:v>5195045</x:v>
      </x:c>
      <x:c r="H70" s="14" t="n">
        <x:f>IFERROR(F70/E70,0)</x:f>
        <x:v>1.0346336333333332</x:v>
      </x:c>
      <x:c r="I70" t="str">
        <x:f>IF(H70&gt;1.05,"Vượt kế hoạch",IF(H70&lt;0.8,"Giải ngân thấp","Đúng tiến độ"))</x:f>
        <x:v>Đúng tiến độ</x:v>
      </x:c>
      <x:c r="J70" t="str">
        <x:v>Event Coordinator</x:v>
      </x:c>
      <x:c r="K70" t="str"/>
    </x:row>
    <x:row r="71">
      <x:c r="A71" t="str">
        <x:v>KH-TS-2026-070</x:v>
      </x:c>
      <x:c r="B71" t="str">
        <x:v>2026-07</x:v>
      </x:c>
      <x:c r="C71" t="str">
        <x:v>Q3</x:v>
      </x:c>
      <x:c r="D71" t="str">
        <x:v>Đào tạo cộng tác viên tuyển sinh</x:v>
      </x:c>
      <x:c r="E71" s="12" t="n">
        <x:v>200000000</x:v>
      </x:c>
      <x:c r="F71" s="12" t="n">
        <x:v>188015800</x:v>
      </x:c>
      <x:c r="G71" s="12" t="n">
        <x:f>F71-E71</x:f>
        <x:v>-11984200</x:v>
      </x:c>
      <x:c r="H71" s="14" t="n">
        <x:f>IFERROR(F71/E71,0)</x:f>
        <x:v>0.940079</x:v>
      </x:c>
      <x:c r="I71" t="str">
        <x:f>IF(H71&gt;1.05,"Vượt kế hoạch",IF(H71&lt;0.8,"Giải ngân thấp","Đúng tiến độ"))</x:f>
        <x:v>Đúng tiến độ</x:v>
      </x:c>
      <x:c r="J71" t="str">
        <x:v>Digital Lead</x:v>
      </x:c>
      <x:c r="K71" t="str"/>
    </x:row>
    <x:row r="72">
      <x:c r="A72" t="str">
        <x:v>KH-TS-2026-071</x:v>
      </x:c>
      <x:c r="B72" t="str">
        <x:v>2026-08</x:v>
      </x:c>
      <x:c r="C72" t="str">
        <x:v>Q3</x:v>
      </x:c>
      <x:c r="D72" t="str">
        <x:v>Tuyển sinh đại học chính quy</x:v>
      </x:c>
      <x:c r="E72" s="12" t="n">
        <x:v>80000000</x:v>
      </x:c>
      <x:c r="F72" s="12" t="n">
        <x:v>85970044</x:v>
      </x:c>
      <x:c r="G72" s="12" t="n">
        <x:f>F72-E72</x:f>
        <x:v>5970044</x:v>
      </x:c>
      <x:c r="H72" s="14" t="n">
        <x:f>IFERROR(F72/E72,0)</x:f>
        <x:v>1.07462555</x:v>
      </x:c>
      <x:c r="I72" t="str">
        <x:f>IF(H72&gt;1.05,"Vượt kế hoạch",IF(H72&lt;0.8,"Giải ngân thấp","Đúng tiến độ"))</x:f>
        <x:v>Vượt kế hoạch</x:v>
      </x:c>
      <x:c r="J72" t="str">
        <x:v>Admissions Officer</x:v>
      </x:c>
      <x:c r="K72" t="str"/>
    </x:row>
    <x:row r="73">
      <x:c r="A73" t="str">
        <x:v>KH-TS-2026-072</x:v>
      </x:c>
      <x:c r="B73" t="str">
        <x:v>2026-08</x:v>
      </x:c>
      <x:c r="C73" t="str">
        <x:v>Q3</x:v>
      </x:c>
      <x:c r="D73" t="str">
        <x:v>Tư vấn tuyển sinh THPT</x:v>
      </x:c>
      <x:c r="E73" s="12" t="n">
        <x:v>100000000</x:v>
      </x:c>
      <x:c r="F73" s="12" t="n">
        <x:v>93486286</x:v>
      </x:c>
      <x:c r="G73" s="12" t="n">
        <x:f>F73-E73</x:f>
        <x:v>-6513714</x:v>
      </x:c>
      <x:c r="H73" s="14" t="n">
        <x:f>IFERROR(F73/E73,0)</x:f>
        <x:v>0.93486286</x:v>
      </x:c>
      <x:c r="I73" t="str">
        <x:f>IF(H73&gt;1.05,"Vượt kế hoạch",IF(H73&lt;0.8,"Giải ngân thấp","Đúng tiến độ"))</x:f>
        <x:v>Đúng tiến độ</x:v>
      </x:c>
      <x:c r="J73" t="str">
        <x:v>Digital Lead</x:v>
      </x:c>
      <x:c r="K73" t="str"/>
    </x:row>
    <x:row r="74">
      <x:c r="A74" t="str">
        <x:v>KH-TS-2026-073</x:v>
      </x:c>
      <x:c r="B74" t="str">
        <x:v>2026-08</x:v>
      </x:c>
      <x:c r="C74" t="str">
        <x:v>Q3</x:v>
      </x:c>
      <x:c r="D74" t="str">
        <x:v>Open Day / Campus Tour</x:v>
      </x:c>
      <x:c r="E74" s="12" t="n">
        <x:v>300000000</x:v>
      </x:c>
      <x:c r="F74" s="12" t="n">
        <x:v>312524726</x:v>
      </x:c>
      <x:c r="G74" s="12" t="n">
        <x:f>F74-E74</x:f>
        <x:v>12524726</x:v>
      </x:c>
      <x:c r="H74" s="14" t="n">
        <x:f>IFERROR(F74/E74,0)</x:f>
        <x:v>1.0417490866666668</x:v>
      </x:c>
      <x:c r="I74" t="str">
        <x:f>IF(H74&gt;1.05,"Vượt kế hoạch",IF(H74&lt;0.8,"Giải ngân thấp","Đúng tiến độ"))</x:f>
        <x:v>Đúng tiến độ</x:v>
      </x:c>
      <x:c r="J74" t="str">
        <x:v>Event Coordinator</x:v>
      </x:c>
      <x:c r="K74" t="str"/>
    </x:row>
    <x:row r="75">
      <x:c r="A75" t="str">
        <x:v>KH-TS-2026-074</x:v>
      </x:c>
      <x:c r="B75" t="str">
        <x:v>2026-08</x:v>
      </x:c>
      <x:c r="C75" t="str">
        <x:v>Q3</x:v>
      </x:c>
      <x:c r="D75" t="str">
        <x:v>Digital Admission Campaign</x:v>
      </x:c>
      <x:c r="E75" s="12" t="n">
        <x:v>200000000</x:v>
      </x:c>
      <x:c r="F75" s="12" t="n">
        <x:v>207373400</x:v>
      </x:c>
      <x:c r="G75" s="12" t="n">
        <x:f>F75-E75</x:f>
        <x:v>7373400</x:v>
      </x:c>
      <x:c r="H75" s="14" t="n">
        <x:f>IFERROR(F75/E75,0)</x:f>
        <x:v>1.036867</x:v>
      </x:c>
      <x:c r="I75" t="str">
        <x:f>IF(H75&gt;1.05,"Vượt kế hoạch",IF(H75&lt;0.8,"Giải ngân thấp","Đúng tiến độ"))</x:f>
        <x:v>Đúng tiến độ</x:v>
      </x:c>
      <x:c r="J75" t="str">
        <x:v>Admissions Officer</x:v>
      </x:c>
      <x:c r="K75" t="str"/>
    </x:row>
    <x:row r="76">
      <x:c r="A76" t="str">
        <x:v>KH-TS-2026-075</x:v>
      </x:c>
      <x:c r="B76" t="str">
        <x:v>2026-08</x:v>
      </x:c>
      <x:c r="C76" t="str">
        <x:v>Q3</x:v>
      </x:c>
      <x:c r="D76" t="str">
        <x:v>Học bổng tuyển sinh</x:v>
      </x:c>
      <x:c r="E76" s="12" t="n">
        <x:v>80000000</x:v>
      </x:c>
      <x:c r="F76" s="12" t="n">
        <x:v>73597060</x:v>
      </x:c>
      <x:c r="G76" s="12" t="n">
        <x:f>F76-E76</x:f>
        <x:v>-6402940</x:v>
      </x:c>
      <x:c r="H76" s="14" t="n">
        <x:f>IFERROR(F76/E76,0)</x:f>
        <x:v>0.91996325</x:v>
      </x:c>
      <x:c r="I76" t="str">
        <x:f>IF(H76&gt;1.05,"Vượt kế hoạch",IF(H76&lt;0.8,"Giải ngân thấp","Đúng tiến độ"))</x:f>
        <x:v>Đúng tiến độ</x:v>
      </x:c>
      <x:c r="J76" t="str">
        <x:v>Scholarship Officer</x:v>
      </x:c>
      <x:c r="K76" t="str"/>
    </x:row>
    <x:row r="77">
      <x:c r="A77" t="str">
        <x:v>KH-TS-2026-076</x:v>
      </x:c>
      <x:c r="B77" t="str">
        <x:v>2026-08</x:v>
      </x:c>
      <x:c r="C77" t="str">
        <x:v>Q3</x:v>
      </x:c>
      <x:c r="D77" t="str">
        <x:v>Sự kiện phụ huynh</x:v>
      </x:c>
      <x:c r="E77" s="12" t="n">
        <x:v>50000000</x:v>
      </x:c>
      <x:c r="F77" s="12" t="n">
        <x:v>37665272</x:v>
      </x:c>
      <x:c r="G77" s="12" t="n">
        <x:f>F77-E77</x:f>
        <x:v>-12334728</x:v>
      </x:c>
      <x:c r="H77" s="14" t="n">
        <x:f>IFERROR(F77/E77,0)</x:f>
        <x:v>0.75330544</x:v>
      </x:c>
      <x:c r="I77" t="str">
        <x:f>IF(H77&gt;1.05,"Vượt kế hoạch",IF(H77&lt;0.8,"Giải ngân thấp","Đúng tiến độ"))</x:f>
        <x:v>Giải ngân thấp</x:v>
      </x:c>
      <x:c r="J77" t="str">
        <x:v>Digital Lead</x:v>
      </x:c>
      <x:c r="K77" t="str"/>
    </x:row>
    <x:row r="78">
      <x:c r="A78" t="str">
        <x:v>KH-TS-2026-077</x:v>
      </x:c>
      <x:c r="B78" t="str">
        <x:v>2026-08</x:v>
      </x:c>
      <x:c r="C78" t="str">
        <x:v>Q3</x:v>
      </x:c>
      <x:c r="D78" t="str">
        <x:v>Tuyển sinh sau đại học</x:v>
      </x:c>
      <x:c r="E78" s="12" t="n">
        <x:v>80000000</x:v>
      </x:c>
      <x:c r="F78" s="12" t="n">
        <x:v>86396823</x:v>
      </x:c>
      <x:c r="G78" s="12" t="n">
        <x:f>F78-E78</x:f>
        <x:v>6396823</x:v>
      </x:c>
      <x:c r="H78" s="14" t="n">
        <x:f>IFERROR(F78/E78,0)</x:f>
        <x:v>1.0799602875</x:v>
      </x:c>
      <x:c r="I78" t="str">
        <x:f>IF(H78&gt;1.05,"Vượt kế hoạch",IF(H78&lt;0.8,"Giải ngân thấp","Đúng tiến độ"))</x:f>
        <x:v>Vượt kế hoạch</x:v>
      </x:c>
      <x:c r="J78" t="str">
        <x:v>Digital Lead</x:v>
      </x:c>
      <x:c r="K78" t="str"/>
    </x:row>
    <x:row r="79">
      <x:c r="A79" t="str">
        <x:v>KH-TS-2026-078</x:v>
      </x:c>
      <x:c r="B79" t="str">
        <x:v>2026-08</x:v>
      </x:c>
      <x:c r="C79" t="str">
        <x:v>Q3</x:v>
      </x:c>
      <x:c r="D79" t="str">
        <x:v>International Recruitment</x:v>
      </x:c>
      <x:c r="E79" s="12" t="n">
        <x:v>100000000</x:v>
      </x:c>
      <x:c r="F79" s="12" t="n">
        <x:v>89109261</x:v>
      </x:c>
      <x:c r="G79" s="12" t="n">
        <x:f>F79-E79</x:f>
        <x:v>-10890739</x:v>
      </x:c>
      <x:c r="H79" s="14" t="n">
        <x:f>IFERROR(F79/E79,0)</x:f>
        <x:v>0.89109261</x:v>
      </x:c>
      <x:c r="I79" t="str">
        <x:f>IF(H79&gt;1.05,"Vượt kế hoạch",IF(H79&lt;0.8,"Giải ngân thấp","Đúng tiến độ"))</x:f>
        <x:v>Đúng tiến độ</x:v>
      </x:c>
      <x:c r="J79" t="str">
        <x:v>Admissions Officer</x:v>
      </x:c>
      <x:c r="K79" t="str"/>
    </x:row>
    <x:row r="80">
      <x:c r="A80" t="str">
        <x:v>KH-TS-2026-079</x:v>
      </x:c>
      <x:c r="B80" t="str">
        <x:v>2026-08</x:v>
      </x:c>
      <x:c r="C80" t="str">
        <x:v>Q3</x:v>
      </x:c>
      <x:c r="D80" t="str">
        <x:v>CRM &amp; Admission System</x:v>
      </x:c>
      <x:c r="E80" s="12" t="n">
        <x:v>150000000</x:v>
      </x:c>
      <x:c r="F80" s="12" t="n">
        <x:v>160682410</x:v>
      </x:c>
      <x:c r="G80" s="12" t="n">
        <x:f>F80-E80</x:f>
        <x:v>10682410</x:v>
      </x:c>
      <x:c r="H80" s="14" t="n">
        <x:f>IFERROR(F80/E80,0)</x:f>
        <x:v>1.0712160666666666</x:v>
      </x:c>
      <x:c r="I80" t="str">
        <x:f>IF(H80&gt;1.05,"Vượt kế hoạch",IF(H80&lt;0.8,"Giải ngân thấp","Đúng tiến độ"))</x:f>
        <x:v>Vượt kế hoạch</x:v>
      </x:c>
      <x:c r="J80" t="str">
        <x:v>Admissions Manager</x:v>
      </x:c>
      <x:c r="K80" t="str"/>
    </x:row>
    <x:row r="81">
      <x:c r="A81" t="str">
        <x:v>KH-TS-2026-080</x:v>
      </x:c>
      <x:c r="B81" t="str">
        <x:v>2026-08</x:v>
      </x:c>
      <x:c r="C81" t="str">
        <x:v>Q3</x:v>
      </x:c>
      <x:c r="D81" t="str">
        <x:v>Đào tạo cộng tác viên tuyển sinh</x:v>
      </x:c>
      <x:c r="E81" s="12" t="n">
        <x:v>80000000</x:v>
      </x:c>
      <x:c r="F81" s="12" t="n">
        <x:v>73079136</x:v>
      </x:c>
      <x:c r="G81" s="12" t="n">
        <x:f>F81-E81</x:f>
        <x:v>-6920864</x:v>
      </x:c>
      <x:c r="H81" s="14" t="n">
        <x:f>IFERROR(F81/E81,0)</x:f>
        <x:v>0.9134892</x:v>
      </x:c>
      <x:c r="I81" t="str">
        <x:f>IF(H81&gt;1.05,"Vượt kế hoạch",IF(H81&lt;0.8,"Giải ngân thấp","Đúng tiến độ"))</x:f>
        <x:v>Đúng tiến độ</x:v>
      </x:c>
      <x:c r="J81" t="str">
        <x:v>Admissions Manager</x:v>
      </x:c>
      <x:c r="K81" t="str"/>
    </x:row>
    <x:row r="82">
      <x:c r="A82" t="str">
        <x:v>KH-TS-2026-081</x:v>
      </x:c>
      <x:c r="B82" t="str">
        <x:v>2026-09</x:v>
      </x:c>
      <x:c r="C82" t="str">
        <x:v>Q3</x:v>
      </x:c>
      <x:c r="D82" t="str">
        <x:v>Tuyển sinh đại học chính quy</x:v>
      </x:c>
      <x:c r="E82" s="12" t="n">
        <x:v>200000000</x:v>
      </x:c>
      <x:c r="F82" s="12" t="n">
        <x:v>198050226</x:v>
      </x:c>
      <x:c r="G82" s="12" t="n">
        <x:f>F82-E82</x:f>
        <x:v>-1949774</x:v>
      </x:c>
      <x:c r="H82" s="14" t="n">
        <x:f>IFERROR(F82/E82,0)</x:f>
        <x:v>0.99025113</x:v>
      </x:c>
      <x:c r="I82" t="str">
        <x:f>IF(H82&gt;1.05,"Vượt kế hoạch",IF(H82&lt;0.8,"Giải ngân thấp","Đúng tiến độ"))</x:f>
        <x:v>Đúng tiến độ</x:v>
      </x:c>
      <x:c r="J82" t="str">
        <x:v>Digital Lead</x:v>
      </x:c>
      <x:c r="K82" t="str"/>
    </x:row>
    <x:row r="83">
      <x:c r="A83" t="str">
        <x:v>KH-TS-2026-082</x:v>
      </x:c>
      <x:c r="B83" t="str">
        <x:v>2026-09</x:v>
      </x:c>
      <x:c r="C83" t="str">
        <x:v>Q3</x:v>
      </x:c>
      <x:c r="D83" t="str">
        <x:v>Tư vấn tuyển sinh THPT</x:v>
      </x:c>
      <x:c r="E83" s="12" t="n">
        <x:v>50000000</x:v>
      </x:c>
      <x:c r="F83" s="12" t="n">
        <x:v>46037030</x:v>
      </x:c>
      <x:c r="G83" s="12" t="n">
        <x:f>F83-E83</x:f>
        <x:v>-3962970</x:v>
      </x:c>
      <x:c r="H83" s="14" t="n">
        <x:f>IFERROR(F83/E83,0)</x:f>
        <x:v>0.9207406</x:v>
      </x:c>
      <x:c r="I83" t="str">
        <x:f>IF(H83&gt;1.05,"Vượt kế hoạch",IF(H83&lt;0.8,"Giải ngân thấp","Đúng tiến độ"))</x:f>
        <x:v>Đúng tiến độ</x:v>
      </x:c>
      <x:c r="J83" t="str">
        <x:v>Admissions Officer</x:v>
      </x:c>
      <x:c r="K83" t="str"/>
    </x:row>
    <x:row r="84">
      <x:c r="A84" t="str">
        <x:v>KH-TS-2026-083</x:v>
      </x:c>
      <x:c r="B84" t="str">
        <x:v>2026-09</x:v>
      </x:c>
      <x:c r="C84" t="str">
        <x:v>Q3</x:v>
      </x:c>
      <x:c r="D84" t="str">
        <x:v>Open Day / Campus Tour</x:v>
      </x:c>
      <x:c r="E84" s="12" t="n">
        <x:v>150000000</x:v>
      </x:c>
      <x:c r="F84" s="12" t="n">
        <x:v>113708829</x:v>
      </x:c>
      <x:c r="G84" s="12" t="n">
        <x:f>F84-E84</x:f>
        <x:v>-36291171</x:v>
      </x:c>
      <x:c r="H84" s="14" t="n">
        <x:f>IFERROR(F84/E84,0)</x:f>
        <x:v>0.75805886</x:v>
      </x:c>
      <x:c r="I84" t="str">
        <x:f>IF(H84&gt;1.05,"Vượt kế hoạch",IF(H84&lt;0.8,"Giải ngân thấp","Đúng tiến độ"))</x:f>
        <x:v>Giải ngân thấp</x:v>
      </x:c>
      <x:c r="J84" t="str">
        <x:v>Admissions Officer</x:v>
      </x:c>
      <x:c r="K84" t="str"/>
    </x:row>
    <x:row r="85">
      <x:c r="A85" t="str">
        <x:v>KH-TS-2026-084</x:v>
      </x:c>
      <x:c r="B85" t="str">
        <x:v>2026-09</x:v>
      </x:c>
      <x:c r="C85" t="str">
        <x:v>Q3</x:v>
      </x:c>
      <x:c r="D85" t="str">
        <x:v>Digital Admission Campaign</x:v>
      </x:c>
      <x:c r="E85" s="12" t="n">
        <x:v>100000000</x:v>
      </x:c>
      <x:c r="F85" s="12" t="n">
        <x:v>99757643</x:v>
      </x:c>
      <x:c r="G85" s="12" t="n">
        <x:f>F85-E85</x:f>
        <x:v>-242357</x:v>
      </x:c>
      <x:c r="H85" s="14" t="n">
        <x:f>IFERROR(F85/E85,0)</x:f>
        <x:v>0.99757643</x:v>
      </x:c>
      <x:c r="I85" t="str">
        <x:f>IF(H85&gt;1.05,"Vượt kế hoạch",IF(H85&lt;0.8,"Giải ngân thấp","Đúng tiến độ"))</x:f>
        <x:v>Đúng tiến độ</x:v>
      </x:c>
      <x:c r="J85" t="str">
        <x:v>Scholarship Officer</x:v>
      </x:c>
      <x:c r="K85" t="str"/>
    </x:row>
    <x:row r="86">
      <x:c r="A86" t="str">
        <x:v>KH-TS-2026-085</x:v>
      </x:c>
      <x:c r="B86" t="str">
        <x:v>2026-09</x:v>
      </x:c>
      <x:c r="C86" t="str">
        <x:v>Q3</x:v>
      </x:c>
      <x:c r="D86" t="str">
        <x:v>Học bổng tuyển sinh</x:v>
      </x:c>
      <x:c r="E86" s="12" t="n">
        <x:v>150000000</x:v>
      </x:c>
      <x:c r="F86" s="12" t="n">
        <x:v>158262683</x:v>
      </x:c>
      <x:c r="G86" s="12" t="n">
        <x:f>F86-E86</x:f>
        <x:v>8262683</x:v>
      </x:c>
      <x:c r="H86" s="14" t="n">
        <x:f>IFERROR(F86/E86,0)</x:f>
        <x:v>1.0550845533333333</x:v>
      </x:c>
      <x:c r="I86" t="str">
        <x:f>IF(H86&gt;1.05,"Vượt kế hoạch",IF(H86&lt;0.8,"Giải ngân thấp","Đúng tiến độ"))</x:f>
        <x:v>Vượt kế hoạch</x:v>
      </x:c>
      <x:c r="J86" t="str">
        <x:v>Event Coordinator</x:v>
      </x:c>
      <x:c r="K86" t="str"/>
    </x:row>
    <x:row r="87">
      <x:c r="A87" t="str">
        <x:v>KH-TS-2026-086</x:v>
      </x:c>
      <x:c r="B87" t="str">
        <x:v>2026-09</x:v>
      </x:c>
      <x:c r="C87" t="str">
        <x:v>Q3</x:v>
      </x:c>
      <x:c r="D87" t="str">
        <x:v>Sự kiện phụ huynh</x:v>
      </x:c>
      <x:c r="E87" s="12" t="n">
        <x:v>100000000</x:v>
      </x:c>
      <x:c r="F87" s="12" t="n">
        <x:v>79952455</x:v>
      </x:c>
      <x:c r="G87" s="12" t="n">
        <x:f>F87-E87</x:f>
        <x:v>-20047545</x:v>
      </x:c>
      <x:c r="H87" s="14" t="n">
        <x:f>IFERROR(F87/E87,0)</x:f>
        <x:v>0.79952455</x:v>
      </x:c>
      <x:c r="I87" t="str">
        <x:f>IF(H87&gt;1.05,"Vượt kế hoạch",IF(H87&lt;0.8,"Giải ngân thấp","Đúng tiến độ"))</x:f>
        <x:v>Giải ngân thấp</x:v>
      </x:c>
      <x:c r="J87" t="str">
        <x:v>Admissions Officer</x:v>
      </x:c>
      <x:c r="K87" t="str"/>
    </x:row>
    <x:row r="88">
      <x:c r="A88" t="str">
        <x:v>KH-TS-2026-087</x:v>
      </x:c>
      <x:c r="B88" t="str">
        <x:v>2026-09</x:v>
      </x:c>
      <x:c r="C88" t="str">
        <x:v>Q3</x:v>
      </x:c>
      <x:c r="D88" t="str">
        <x:v>Tuyển sinh sau đại học</x:v>
      </x:c>
      <x:c r="E88" s="12" t="n">
        <x:v>100000000</x:v>
      </x:c>
      <x:c r="F88" s="12" t="n">
        <x:v>82390546</x:v>
      </x:c>
      <x:c r="G88" s="12" t="n">
        <x:f>F88-E88</x:f>
        <x:v>-17609454</x:v>
      </x:c>
      <x:c r="H88" s="14" t="n">
        <x:f>IFERROR(F88/E88,0)</x:f>
        <x:v>0.82390546</x:v>
      </x:c>
      <x:c r="I88" t="str">
        <x:f>IF(H88&gt;1.05,"Vượt kế hoạch",IF(H88&lt;0.8,"Giải ngân thấp","Đúng tiến độ"))</x:f>
        <x:v>Đúng tiến độ</x:v>
      </x:c>
      <x:c r="J88" t="str">
        <x:v>Scholarship Officer</x:v>
      </x:c>
      <x:c r="K88" t="str"/>
    </x:row>
    <x:row r="89">
      <x:c r="A89" t="str">
        <x:v>KH-TS-2026-088</x:v>
      </x:c>
      <x:c r="B89" t="str">
        <x:v>2026-09</x:v>
      </x:c>
      <x:c r="C89" t="str">
        <x:v>Q3</x:v>
      </x:c>
      <x:c r="D89" t="str">
        <x:v>International Recruitment</x:v>
      </x:c>
      <x:c r="E89" s="12" t="n">
        <x:v>150000000</x:v>
      </x:c>
      <x:c r="F89" s="12" t="n">
        <x:v>166165671</x:v>
      </x:c>
      <x:c r="G89" s="12" t="n">
        <x:f>F89-E89</x:f>
        <x:v>16165671</x:v>
      </x:c>
      <x:c r="H89" s="14" t="n">
        <x:f>IFERROR(F89/E89,0)</x:f>
        <x:v>1.10777114</x:v>
      </x:c>
      <x:c r="I89" t="str">
        <x:f>IF(H89&gt;1.05,"Vượt kế hoạch",IF(H89&lt;0.8,"Giải ngân thấp","Đúng tiến độ"))</x:f>
        <x:v>Vượt kế hoạch</x:v>
      </x:c>
      <x:c r="J89" t="str">
        <x:v>Digital Lead</x:v>
      </x:c>
      <x:c r="K89" t="str"/>
    </x:row>
    <x:row r="90">
      <x:c r="A90" t="str">
        <x:v>KH-TS-2026-089</x:v>
      </x:c>
      <x:c r="B90" t="str">
        <x:v>2026-09</x:v>
      </x:c>
      <x:c r="C90" t="str">
        <x:v>Q3</x:v>
      </x:c>
      <x:c r="D90" t="str">
        <x:v>CRM &amp; Admission System</x:v>
      </x:c>
      <x:c r="E90" s="12" t="n">
        <x:v>50000000</x:v>
      </x:c>
      <x:c r="F90" s="12" t="n">
        <x:v>46889303</x:v>
      </x:c>
      <x:c r="G90" s="12" t="n">
        <x:f>F90-E90</x:f>
        <x:v>-3110697</x:v>
      </x:c>
      <x:c r="H90" s="14" t="n">
        <x:f>IFERROR(F90/E90,0)</x:f>
        <x:v>0.93778606</x:v>
      </x:c>
      <x:c r="I90" t="str">
        <x:f>IF(H90&gt;1.05,"Vượt kế hoạch",IF(H90&lt;0.8,"Giải ngân thấp","Đúng tiến độ"))</x:f>
        <x:v>Đúng tiến độ</x:v>
      </x:c>
      <x:c r="J90" t="str">
        <x:v>Admissions Officer</x:v>
      </x:c>
      <x:c r="K90" t="str"/>
    </x:row>
    <x:row r="91">
      <x:c r="A91" t="str">
        <x:v>KH-TS-2026-090</x:v>
      </x:c>
      <x:c r="B91" t="str">
        <x:v>2026-09</x:v>
      </x:c>
      <x:c r="C91" t="str">
        <x:v>Q3</x:v>
      </x:c>
      <x:c r="D91" t="str">
        <x:v>Đào tạo cộng tác viên tuyển sinh</x:v>
      </x:c>
      <x:c r="E91" s="12" t="n">
        <x:v>80000000</x:v>
      </x:c>
      <x:c r="F91" s="12" t="n">
        <x:v>74987272</x:v>
      </x:c>
      <x:c r="G91" s="12" t="n">
        <x:f>F91-E91</x:f>
        <x:v>-5012728</x:v>
      </x:c>
      <x:c r="H91" s="14" t="n">
        <x:f>IFERROR(F91/E91,0)</x:f>
        <x:v>0.9373409</x:v>
      </x:c>
      <x:c r="I91" t="str">
        <x:f>IF(H91&gt;1.05,"Vượt kế hoạch",IF(H91&lt;0.8,"Giải ngân thấp","Đúng tiến độ"))</x:f>
        <x:v>Đúng tiến độ</x:v>
      </x:c>
      <x:c r="J91" t="str">
        <x:v>Event Coordinator</x:v>
      </x:c>
      <x:c r="K91" t="str"/>
    </x:row>
    <x:row r="92">
      <x:c r="A92" t="str">
        <x:v>KH-TS-2026-091</x:v>
      </x:c>
      <x:c r="B92" t="str">
        <x:v>2026-10</x:v>
      </x:c>
      <x:c r="C92" t="str">
        <x:v>Q4</x:v>
      </x:c>
      <x:c r="D92" t="str">
        <x:v>Tuyển sinh đại học chính quy</x:v>
      </x:c>
      <x:c r="E92" s="12" t="n">
        <x:v>200000000</x:v>
      </x:c>
      <x:c r="F92" s="12" t="n">
        <x:v>156763649</x:v>
      </x:c>
      <x:c r="G92" s="12" t="n">
        <x:f>F92-E92</x:f>
        <x:v>-43236351</x:v>
      </x:c>
      <x:c r="H92" s="14" t="n">
        <x:f>IFERROR(F92/E92,0)</x:f>
        <x:v>0.783818245</x:v>
      </x:c>
      <x:c r="I92" t="str">
        <x:f>IF(H92&gt;1.05,"Vượt kế hoạch",IF(H92&lt;0.8,"Giải ngân thấp","Đúng tiến độ"))</x:f>
        <x:v>Giải ngân thấp</x:v>
      </x:c>
      <x:c r="J92" t="str">
        <x:v>Digital Lead</x:v>
      </x:c>
      <x:c r="K92" t="str"/>
    </x:row>
    <x:row r="93">
      <x:c r="A93" t="str">
        <x:v>KH-TS-2026-092</x:v>
      </x:c>
      <x:c r="B93" t="str">
        <x:v>2026-10</x:v>
      </x:c>
      <x:c r="C93" t="str">
        <x:v>Q4</x:v>
      </x:c>
      <x:c r="D93" t="str">
        <x:v>Tư vấn tuyển sinh THPT</x:v>
      </x:c>
      <x:c r="E93" s="12" t="n">
        <x:v>300000000</x:v>
      </x:c>
      <x:c r="F93" s="12" t="n">
        <x:v>268797213</x:v>
      </x:c>
      <x:c r="G93" s="12" t="n">
        <x:f>F93-E93</x:f>
        <x:v>-31202787</x:v>
      </x:c>
      <x:c r="H93" s="14" t="n">
        <x:f>IFERROR(F93/E93,0)</x:f>
        <x:v>0.89599071</x:v>
      </x:c>
      <x:c r="I93" t="str">
        <x:f>IF(H93&gt;1.05,"Vượt kế hoạch",IF(H93&lt;0.8,"Giải ngân thấp","Đúng tiến độ"))</x:f>
        <x:v>Đúng tiến độ</x:v>
      </x:c>
      <x:c r="J93" t="str">
        <x:v>Digital Lead</x:v>
      </x:c>
      <x:c r="K93" t="str"/>
    </x:row>
    <x:row r="94">
      <x:c r="A94" t="str">
        <x:v>KH-TS-2026-093</x:v>
      </x:c>
      <x:c r="B94" t="str">
        <x:v>2026-10</x:v>
      </x:c>
      <x:c r="C94" t="str">
        <x:v>Q4</x:v>
      </x:c>
      <x:c r="D94" t="str">
        <x:v>Open Day / Campus Tour</x:v>
      </x:c>
      <x:c r="E94" s="12" t="n">
        <x:v>80000000</x:v>
      </x:c>
      <x:c r="F94" s="12" t="n">
        <x:v>62627450</x:v>
      </x:c>
      <x:c r="G94" s="12" t="n">
        <x:f>F94-E94</x:f>
        <x:v>-17372550</x:v>
      </x:c>
      <x:c r="H94" s="14" t="n">
        <x:f>IFERROR(F94/E94,0)</x:f>
        <x:v>0.782843125</x:v>
      </x:c>
      <x:c r="I94" t="str">
        <x:f>IF(H94&gt;1.05,"Vượt kế hoạch",IF(H94&lt;0.8,"Giải ngân thấp","Đúng tiến độ"))</x:f>
        <x:v>Giải ngân thấp</x:v>
      </x:c>
      <x:c r="J94" t="str">
        <x:v>Admissions Officer</x:v>
      </x:c>
      <x:c r="K94" t="str"/>
    </x:row>
    <x:row r="95">
      <x:c r="A95" t="str">
        <x:v>KH-TS-2026-094</x:v>
      </x:c>
      <x:c r="B95" t="str">
        <x:v>2026-10</x:v>
      </x:c>
      <x:c r="C95" t="str">
        <x:v>Q4</x:v>
      </x:c>
      <x:c r="D95" t="str">
        <x:v>Digital Admission Campaign</x:v>
      </x:c>
      <x:c r="E95" s="12" t="n">
        <x:v>200000000</x:v>
      </x:c>
      <x:c r="F95" s="12" t="n">
        <x:v>193855877</x:v>
      </x:c>
      <x:c r="G95" s="12" t="n">
        <x:f>F95-E95</x:f>
        <x:v>-6144123</x:v>
      </x:c>
      <x:c r="H95" s="14" t="n">
        <x:f>IFERROR(F95/E95,0)</x:f>
        <x:v>0.969279385</x:v>
      </x:c>
      <x:c r="I95" t="str">
        <x:f>IF(H95&gt;1.05,"Vượt kế hoạch",IF(H95&lt;0.8,"Giải ngân thấp","Đúng tiến độ"))</x:f>
        <x:v>Đúng tiến độ</x:v>
      </x:c>
      <x:c r="J95" t="str">
        <x:v>Digital Lead</x:v>
      </x:c>
      <x:c r="K95" t="str"/>
    </x:row>
    <x:row r="96">
      <x:c r="A96" t="str">
        <x:v>KH-TS-2026-095</x:v>
      </x:c>
      <x:c r="B96" t="str">
        <x:v>2026-10</x:v>
      </x:c>
      <x:c r="C96" t="str">
        <x:v>Q4</x:v>
      </x:c>
      <x:c r="D96" t="str">
        <x:v>Học bổng tuyển sinh</x:v>
      </x:c>
      <x:c r="E96" s="12" t="n">
        <x:v>100000000</x:v>
      </x:c>
      <x:c r="F96" s="12" t="n">
        <x:v>106277301</x:v>
      </x:c>
      <x:c r="G96" s="12" t="n">
        <x:f>F96-E96</x:f>
        <x:v>6277301</x:v>
      </x:c>
      <x:c r="H96" s="14" t="n">
        <x:f>IFERROR(F96/E96,0)</x:f>
        <x:v>1.06277301</x:v>
      </x:c>
      <x:c r="I96" t="str">
        <x:f>IF(H96&gt;1.05,"Vượt kế hoạch",IF(H96&lt;0.8,"Giải ngân thấp","Đúng tiến độ"))</x:f>
        <x:v>Vượt kế hoạch</x:v>
      </x:c>
      <x:c r="J96" t="str">
        <x:v>Admissions Manager</x:v>
      </x:c>
      <x:c r="K96" t="str"/>
    </x:row>
    <x:row r="97">
      <x:c r="A97" t="str">
        <x:v>KH-TS-2026-096</x:v>
      </x:c>
      <x:c r="B97" t="str">
        <x:v>2026-10</x:v>
      </x:c>
      <x:c r="C97" t="str">
        <x:v>Q4</x:v>
      </x:c>
      <x:c r="D97" t="str">
        <x:v>Sự kiện phụ huynh</x:v>
      </x:c>
      <x:c r="E97" s="12" t="n">
        <x:v>80000000</x:v>
      </x:c>
      <x:c r="F97" s="12" t="n">
        <x:v>63536475</x:v>
      </x:c>
      <x:c r="G97" s="12" t="n">
        <x:f>F97-E97</x:f>
        <x:v>-16463525</x:v>
      </x:c>
      <x:c r="H97" s="14" t="n">
        <x:f>IFERROR(F97/E97,0)</x:f>
        <x:v>0.7942059375</x:v>
      </x:c>
      <x:c r="I97" t="str">
        <x:f>IF(H97&gt;1.05,"Vượt kế hoạch",IF(H97&lt;0.8,"Giải ngân thấp","Đúng tiến độ"))</x:f>
        <x:v>Giải ngân thấp</x:v>
      </x:c>
      <x:c r="J97" t="str">
        <x:v>Digital Lead</x:v>
      </x:c>
      <x:c r="K97" t="str"/>
    </x:row>
    <x:row r="98">
      <x:c r="A98" t="str">
        <x:v>KH-TS-2026-097</x:v>
      </x:c>
      <x:c r="B98" t="str">
        <x:v>2026-10</x:v>
      </x:c>
      <x:c r="C98" t="str">
        <x:v>Q4</x:v>
      </x:c>
      <x:c r="D98" t="str">
        <x:v>Tuyển sinh sau đại học</x:v>
      </x:c>
      <x:c r="E98" s="12" t="n">
        <x:v>80000000</x:v>
      </x:c>
      <x:c r="F98" s="12" t="n">
        <x:v>65968366</x:v>
      </x:c>
      <x:c r="G98" s="12" t="n">
        <x:f>F98-E98</x:f>
        <x:v>-14031634</x:v>
      </x:c>
      <x:c r="H98" s="14" t="n">
        <x:f>IFERROR(F98/E98,0)</x:f>
        <x:v>0.824604575</x:v>
      </x:c>
      <x:c r="I98" t="str">
        <x:f>IF(H98&gt;1.05,"Vượt kế hoạch",IF(H98&lt;0.8,"Giải ngân thấp","Đúng tiến độ"))</x:f>
        <x:v>Đúng tiến độ</x:v>
      </x:c>
      <x:c r="J98" t="str">
        <x:v>Admissions Manager</x:v>
      </x:c>
      <x:c r="K98" t="str"/>
    </x:row>
    <x:row r="99">
      <x:c r="A99" t="str">
        <x:v>KH-TS-2026-098</x:v>
      </x:c>
      <x:c r="B99" t="str">
        <x:v>2026-10</x:v>
      </x:c>
      <x:c r="C99" t="str">
        <x:v>Q4</x:v>
      </x:c>
      <x:c r="D99" t="str">
        <x:v>International Recruitment</x:v>
      </x:c>
      <x:c r="E99" s="12" t="n">
        <x:v>300000000</x:v>
      </x:c>
      <x:c r="F99" s="12" t="n">
        <x:v>234720572</x:v>
      </x:c>
      <x:c r="G99" s="12" t="n">
        <x:f>F99-E99</x:f>
        <x:v>-65279428</x:v>
      </x:c>
      <x:c r="H99" s="14" t="n">
        <x:f>IFERROR(F99/E99,0)</x:f>
        <x:v>0.7824019066666666</x:v>
      </x:c>
      <x:c r="I99" t="str">
        <x:f>IF(H99&gt;1.05,"Vượt kế hoạch",IF(H99&lt;0.8,"Giải ngân thấp","Đúng tiến độ"))</x:f>
        <x:v>Giải ngân thấp</x:v>
      </x:c>
      <x:c r="J99" t="str">
        <x:v>Event Coordinator</x:v>
      </x:c>
      <x:c r="K99" t="str"/>
    </x:row>
    <x:row r="100">
      <x:c r="A100" t="str">
        <x:v>KH-TS-2026-099</x:v>
      </x:c>
      <x:c r="B100" t="str">
        <x:v>2026-10</x:v>
      </x:c>
      <x:c r="C100" t="str">
        <x:v>Q4</x:v>
      </x:c>
      <x:c r="D100" t="str">
        <x:v>CRM &amp; Admission System</x:v>
      </x:c>
      <x:c r="E100" s="12" t="n">
        <x:v>150000000</x:v>
      </x:c>
      <x:c r="F100" s="12" t="n">
        <x:v>161161755</x:v>
      </x:c>
      <x:c r="G100" s="12" t="n">
        <x:f>F100-E100</x:f>
        <x:v>11161755</x:v>
      </x:c>
      <x:c r="H100" s="14" t="n">
        <x:f>IFERROR(F100/E100,0)</x:f>
        <x:v>1.0744117</x:v>
      </x:c>
      <x:c r="I100" t="str">
        <x:f>IF(H100&gt;1.05,"Vượt kế hoạch",IF(H100&lt;0.8,"Giải ngân thấp","Đúng tiến độ"))</x:f>
        <x:v>Vượt kế hoạch</x:v>
      </x:c>
      <x:c r="J100" t="str">
        <x:v>Scholarship Officer</x:v>
      </x:c>
      <x:c r="K100" t="str"/>
    </x:row>
    <x:row r="101">
      <x:c r="A101" t="str">
        <x:v>KH-TS-2026-100</x:v>
      </x:c>
      <x:c r="B101" t="str">
        <x:v>2026-10</x:v>
      </x:c>
      <x:c r="C101" t="str">
        <x:v>Q4</x:v>
      </x:c>
      <x:c r="D101" t="str">
        <x:v>Đào tạo cộng tác viên tuyển sinh</x:v>
      </x:c>
      <x:c r="E101" s="12" t="n">
        <x:v>150000000</x:v>
      </x:c>
      <x:c r="F101" s="12" t="n">
        <x:v>156433109</x:v>
      </x:c>
      <x:c r="G101" s="12" t="n">
        <x:f>F101-E101</x:f>
        <x:v>6433109</x:v>
      </x:c>
      <x:c r="H101" s="14" t="n">
        <x:f>IFERROR(F101/E101,0)</x:f>
        <x:v>1.0428873933333334</x:v>
      </x:c>
      <x:c r="I101" t="str">
        <x:f>IF(H101&gt;1.05,"Vượt kế hoạch",IF(H101&lt;0.8,"Giải ngân thấp","Đúng tiến độ"))</x:f>
        <x:v>Đúng tiến độ</x:v>
      </x:c>
      <x:c r="J101" t="str">
        <x:v>Scholarship Officer</x:v>
      </x:c>
      <x:c r="K101" t="str"/>
    </x:row>
    <x:row r="102">
      <x:c r="A102" t="str">
        <x:v>KH-TS-2026-101</x:v>
      </x:c>
      <x:c r="B102" t="str">
        <x:v>2026-11</x:v>
      </x:c>
      <x:c r="C102" t="str">
        <x:v>Q4</x:v>
      </x:c>
      <x:c r="D102" t="str">
        <x:v>Tuyển sinh đại học chính quy</x:v>
      </x:c>
      <x:c r="E102" s="12" t="n">
        <x:v>300000000</x:v>
      </x:c>
      <x:c r="F102" s="12" t="n">
        <x:v>306953483</x:v>
      </x:c>
      <x:c r="G102" s="12" t="n">
        <x:f>F102-E102</x:f>
        <x:v>6953483</x:v>
      </x:c>
      <x:c r="H102" s="14" t="n">
        <x:f>IFERROR(F102/E102,0)</x:f>
        <x:v>1.0231782766666666</x:v>
      </x:c>
      <x:c r="I102" t="str">
        <x:f>IF(H102&gt;1.05,"Vượt kế hoạch",IF(H102&lt;0.8,"Giải ngân thấp","Đúng tiến độ"))</x:f>
        <x:v>Đúng tiến độ</x:v>
      </x:c>
      <x:c r="J102" t="str">
        <x:v>Scholarship Officer</x:v>
      </x:c>
      <x:c r="K102" t="str"/>
    </x:row>
    <x:row r="103">
      <x:c r="A103" t="str">
        <x:v>KH-TS-2026-102</x:v>
      </x:c>
      <x:c r="B103" t="str">
        <x:v>2026-11</x:v>
      </x:c>
      <x:c r="C103" t="str">
        <x:v>Q4</x:v>
      </x:c>
      <x:c r="D103" t="str">
        <x:v>Tư vấn tuyển sinh THPT</x:v>
      </x:c>
      <x:c r="E103" s="12" t="n">
        <x:v>100000000</x:v>
      </x:c>
      <x:c r="F103" s="12" t="n">
        <x:v>112162615</x:v>
      </x:c>
      <x:c r="G103" s="12" t="n">
        <x:f>F103-E103</x:f>
        <x:v>12162615</x:v>
      </x:c>
      <x:c r="H103" s="14" t="n">
        <x:f>IFERROR(F103/E103,0)</x:f>
        <x:v>1.12162615</x:v>
      </x:c>
      <x:c r="I103" t="str">
        <x:f>IF(H103&gt;1.05,"Vượt kế hoạch",IF(H103&lt;0.8,"Giải ngân thấp","Đúng tiến độ"))</x:f>
        <x:v>Vượt kế hoạch</x:v>
      </x:c>
      <x:c r="J103" t="str">
        <x:v>Digital Lead</x:v>
      </x:c>
      <x:c r="K103" t="str"/>
    </x:row>
    <x:row r="104">
      <x:c r="A104" t="str">
        <x:v>KH-TS-2026-103</x:v>
      </x:c>
      <x:c r="B104" t="str">
        <x:v>2026-11</x:v>
      </x:c>
      <x:c r="C104" t="str">
        <x:v>Q4</x:v>
      </x:c>
      <x:c r="D104" t="str">
        <x:v>Open Day / Campus Tour</x:v>
      </x:c>
      <x:c r="E104" s="12" t="n">
        <x:v>80000000</x:v>
      </x:c>
      <x:c r="F104" s="12" t="n">
        <x:v>75127840</x:v>
      </x:c>
      <x:c r="G104" s="12" t="n">
        <x:f>F104-E104</x:f>
        <x:v>-4872160</x:v>
      </x:c>
      <x:c r="H104" s="14" t="n">
        <x:f>IFERROR(F104/E104,0)</x:f>
        <x:v>0.939098</x:v>
      </x:c>
      <x:c r="I104" t="str">
        <x:f>IF(H104&gt;1.05,"Vượt kế hoạch",IF(H104&lt;0.8,"Giải ngân thấp","Đúng tiến độ"))</x:f>
        <x:v>Đúng tiến độ</x:v>
      </x:c>
      <x:c r="J104" t="str">
        <x:v>Event Coordinator</x:v>
      </x:c>
      <x:c r="K104" t="str"/>
    </x:row>
    <x:row r="105">
      <x:c r="A105" t="str">
        <x:v>KH-TS-2026-104</x:v>
      </x:c>
      <x:c r="B105" t="str">
        <x:v>2026-11</x:v>
      </x:c>
      <x:c r="C105" t="str">
        <x:v>Q4</x:v>
      </x:c>
      <x:c r="D105" t="str">
        <x:v>Digital Admission Campaign</x:v>
      </x:c>
      <x:c r="E105" s="12" t="n">
        <x:v>150000000</x:v>
      </x:c>
      <x:c r="F105" s="12" t="n">
        <x:v>153224340</x:v>
      </x:c>
      <x:c r="G105" s="12" t="n">
        <x:f>F105-E105</x:f>
        <x:v>3224340</x:v>
      </x:c>
      <x:c r="H105" s="14" t="n">
        <x:f>IFERROR(F105/E105,0)</x:f>
        <x:v>1.0214956</x:v>
      </x:c>
      <x:c r="I105" t="str">
        <x:f>IF(H105&gt;1.05,"Vượt kế hoạch",IF(H105&lt;0.8,"Giải ngân thấp","Đúng tiến độ"))</x:f>
        <x:v>Đúng tiến độ</x:v>
      </x:c>
      <x:c r="J105" t="str">
        <x:v>Digital Lead</x:v>
      </x:c>
      <x:c r="K105" t="str"/>
    </x:row>
    <x:row r="106">
      <x:c r="A106" t="str">
        <x:v>KH-TS-2026-105</x:v>
      </x:c>
      <x:c r="B106" t="str">
        <x:v>2026-11</x:v>
      </x:c>
      <x:c r="C106" t="str">
        <x:v>Q4</x:v>
      </x:c>
      <x:c r="D106" t="str">
        <x:v>Học bổng tuyển sinh</x:v>
      </x:c>
      <x:c r="E106" s="12" t="n">
        <x:v>200000000</x:v>
      </x:c>
      <x:c r="F106" s="12" t="n">
        <x:v>154830802</x:v>
      </x:c>
      <x:c r="G106" s="12" t="n">
        <x:f>F106-E106</x:f>
        <x:v>-45169198</x:v>
      </x:c>
      <x:c r="H106" s="14" t="n">
        <x:f>IFERROR(F106/E106,0)</x:f>
        <x:v>0.77415401</x:v>
      </x:c>
      <x:c r="I106" t="str">
        <x:f>IF(H106&gt;1.05,"Vượt kế hoạch",IF(H106&lt;0.8,"Giải ngân thấp","Đúng tiến độ"))</x:f>
        <x:v>Giải ngân thấp</x:v>
      </x:c>
      <x:c r="J106" t="str">
        <x:v>Scholarship Officer</x:v>
      </x:c>
      <x:c r="K106" t="str"/>
    </x:row>
    <x:row r="107">
      <x:c r="A107" t="str">
        <x:v>KH-TS-2026-106</x:v>
      </x:c>
      <x:c r="B107" t="str">
        <x:v>2026-11</x:v>
      </x:c>
      <x:c r="C107" t="str">
        <x:v>Q4</x:v>
      </x:c>
      <x:c r="D107" t="str">
        <x:v>Sự kiện phụ huynh</x:v>
      </x:c>
      <x:c r="E107" s="12" t="n">
        <x:v>50000000</x:v>
      </x:c>
      <x:c r="F107" s="12" t="n">
        <x:v>44173768</x:v>
      </x:c>
      <x:c r="G107" s="12" t="n">
        <x:f>F107-E107</x:f>
        <x:v>-5826232</x:v>
      </x:c>
      <x:c r="H107" s="14" t="n">
        <x:f>IFERROR(F107/E107,0)</x:f>
        <x:v>0.88347536</x:v>
      </x:c>
      <x:c r="I107" t="str">
        <x:f>IF(H107&gt;1.05,"Vượt kế hoạch",IF(H107&lt;0.8,"Giải ngân thấp","Đúng tiến độ"))</x:f>
        <x:v>Đúng tiến độ</x:v>
      </x:c>
      <x:c r="J107" t="str">
        <x:v>Event Coordinator</x:v>
      </x:c>
      <x:c r="K107" t="str"/>
    </x:row>
    <x:row r="108">
      <x:c r="A108" t="str">
        <x:v>KH-TS-2026-107</x:v>
      </x:c>
      <x:c r="B108" t="str">
        <x:v>2026-11</x:v>
      </x:c>
      <x:c r="C108" t="str">
        <x:v>Q4</x:v>
      </x:c>
      <x:c r="D108" t="str">
        <x:v>Tuyển sinh sau đại học</x:v>
      </x:c>
      <x:c r="E108" s="12" t="n">
        <x:v>50000000</x:v>
      </x:c>
      <x:c r="F108" s="12" t="n">
        <x:v>38723136</x:v>
      </x:c>
      <x:c r="G108" s="12" t="n">
        <x:f>F108-E108</x:f>
        <x:v>-11276864</x:v>
      </x:c>
      <x:c r="H108" s="14" t="n">
        <x:f>IFERROR(F108/E108,0)</x:f>
        <x:v>0.77446272</x:v>
      </x:c>
      <x:c r="I108" t="str">
        <x:f>IF(H108&gt;1.05,"Vượt kế hoạch",IF(H108&lt;0.8,"Giải ngân thấp","Đúng tiến độ"))</x:f>
        <x:v>Giải ngân thấp</x:v>
      </x:c>
      <x:c r="J108" t="str">
        <x:v>Digital Lead</x:v>
      </x:c>
      <x:c r="K108" t="str"/>
    </x:row>
    <x:row r="109">
      <x:c r="A109" t="str">
        <x:v>KH-TS-2026-108</x:v>
      </x:c>
      <x:c r="B109" t="str">
        <x:v>2026-11</x:v>
      </x:c>
      <x:c r="C109" t="str">
        <x:v>Q4</x:v>
      </x:c>
      <x:c r="D109" t="str">
        <x:v>International Recruitment</x:v>
      </x:c>
      <x:c r="E109" s="12" t="n">
        <x:v>50000000</x:v>
      </x:c>
      <x:c r="F109" s="12" t="n">
        <x:v>51360329</x:v>
      </x:c>
      <x:c r="G109" s="12" t="n">
        <x:f>F109-E109</x:f>
        <x:v>1360329</x:v>
      </x:c>
      <x:c r="H109" s="14" t="n">
        <x:f>IFERROR(F109/E109,0)</x:f>
        <x:v>1.02720658</x:v>
      </x:c>
      <x:c r="I109" t="str">
        <x:f>IF(H109&gt;1.05,"Vượt kế hoạch",IF(H109&lt;0.8,"Giải ngân thấp","Đúng tiến độ"))</x:f>
        <x:v>Đúng tiến độ</x:v>
      </x:c>
      <x:c r="J109" t="str">
        <x:v>Admissions Officer</x:v>
      </x:c>
      <x:c r="K109" t="str"/>
    </x:row>
    <x:row r="110">
      <x:c r="A110" t="str">
        <x:v>KH-TS-2026-109</x:v>
      </x:c>
      <x:c r="B110" t="str">
        <x:v>2026-11</x:v>
      </x:c>
      <x:c r="C110" t="str">
        <x:v>Q4</x:v>
      </x:c>
      <x:c r="D110" t="str">
        <x:v>CRM &amp; Admission System</x:v>
      </x:c>
      <x:c r="E110" s="12" t="n">
        <x:v>200000000</x:v>
      </x:c>
      <x:c r="F110" s="12" t="n">
        <x:v>201090864</x:v>
      </x:c>
      <x:c r="G110" s="12" t="n">
        <x:f>F110-E110</x:f>
        <x:v>1090864</x:v>
      </x:c>
      <x:c r="H110" s="14" t="n">
        <x:f>IFERROR(F110/E110,0)</x:f>
        <x:v>1.00545432</x:v>
      </x:c>
      <x:c r="I110" t="str">
        <x:f>IF(H110&gt;1.05,"Vượt kế hoạch",IF(H110&lt;0.8,"Giải ngân thấp","Đúng tiến độ"))</x:f>
        <x:v>Đúng tiến độ</x:v>
      </x:c>
      <x:c r="J110" t="str">
        <x:v>Event Coordinator</x:v>
      </x:c>
      <x:c r="K110" t="str"/>
    </x:row>
    <x:row r="111">
      <x:c r="A111" t="str">
        <x:v>KH-TS-2026-110</x:v>
      </x:c>
      <x:c r="B111" t="str">
        <x:v>2026-11</x:v>
      </x:c>
      <x:c r="C111" t="str">
        <x:v>Q4</x:v>
      </x:c>
      <x:c r="D111" t="str">
        <x:v>Đào tạo cộng tác viên tuyển sinh</x:v>
      </x:c>
      <x:c r="E111" s="12" t="n">
        <x:v>150000000</x:v>
      </x:c>
      <x:c r="F111" s="12" t="n">
        <x:v>149931246</x:v>
      </x:c>
      <x:c r="G111" s="12" t="n">
        <x:f>F111-E111</x:f>
        <x:v>-68754</x:v>
      </x:c>
      <x:c r="H111" s="14" t="n">
        <x:f>IFERROR(F111/E111,0)</x:f>
        <x:v>0.99954164</x:v>
      </x:c>
      <x:c r="I111" t="str">
        <x:f>IF(H111&gt;1.05,"Vượt kế hoạch",IF(H111&lt;0.8,"Giải ngân thấp","Đúng tiến độ"))</x:f>
        <x:v>Đúng tiến độ</x:v>
      </x:c>
      <x:c r="J111" t="str">
        <x:v>Admissions Officer</x:v>
      </x:c>
      <x:c r="K111" t="str"/>
    </x:row>
    <x:row r="112">
      <x:c r="A112" t="str">
        <x:v>KH-TS-2026-111</x:v>
      </x:c>
      <x:c r="B112" t="str">
        <x:v>2026-12</x:v>
      </x:c>
      <x:c r="C112" t="str">
        <x:v>Q4</x:v>
      </x:c>
      <x:c r="D112" t="str">
        <x:v>Tuyển sinh đại học chính quy</x:v>
      </x:c>
      <x:c r="E112" s="12" t="n">
        <x:v>150000000</x:v>
      </x:c>
      <x:c r="F112" s="12" t="n">
        <x:v>171133722</x:v>
      </x:c>
      <x:c r="G112" s="12" t="n">
        <x:f>F112-E112</x:f>
        <x:v>21133722</x:v>
      </x:c>
      <x:c r="H112" s="14" t="n">
        <x:f>IFERROR(F112/E112,0)</x:f>
        <x:v>1.14089148</x:v>
      </x:c>
      <x:c r="I112" t="str">
        <x:f>IF(H112&gt;1.05,"Vượt kế hoạch",IF(H112&lt;0.8,"Giải ngân thấp","Đúng tiến độ"))</x:f>
        <x:v>Vượt kế hoạch</x:v>
      </x:c>
      <x:c r="J112" t="str">
        <x:v>Scholarship Officer</x:v>
      </x:c>
      <x:c r="K112" t="str"/>
    </x:row>
    <x:row r="113">
      <x:c r="A113" t="str">
        <x:v>KH-TS-2026-112</x:v>
      </x:c>
      <x:c r="B113" t="str">
        <x:v>2026-12</x:v>
      </x:c>
      <x:c r="C113" t="str">
        <x:v>Q4</x:v>
      </x:c>
      <x:c r="D113" t="str">
        <x:v>Tư vấn tuyển sinh THPT</x:v>
      </x:c>
      <x:c r="E113" s="12" t="n">
        <x:v>300000000</x:v>
      </x:c>
      <x:c r="F113" s="12" t="n">
        <x:v>249282890</x:v>
      </x:c>
      <x:c r="G113" s="12" t="n">
        <x:f>F113-E113</x:f>
        <x:v>-50717110</x:v>
      </x:c>
      <x:c r="H113" s="14" t="n">
        <x:f>IFERROR(F113/E113,0)</x:f>
        <x:v>0.8309429666666667</x:v>
      </x:c>
      <x:c r="I113" t="str">
        <x:f>IF(H113&gt;1.05,"Vượt kế hoạch",IF(H113&lt;0.8,"Giải ngân thấp","Đúng tiến độ"))</x:f>
        <x:v>Đúng tiến độ</x:v>
      </x:c>
      <x:c r="J113" t="str">
        <x:v>Scholarship Officer</x:v>
      </x:c>
      <x:c r="K113" t="str"/>
    </x:row>
    <x:row r="114">
      <x:c r="A114" t="str">
        <x:v>KH-TS-2026-113</x:v>
      </x:c>
      <x:c r="B114" t="str">
        <x:v>2026-12</x:v>
      </x:c>
      <x:c r="C114" t="str">
        <x:v>Q4</x:v>
      </x:c>
      <x:c r="D114" t="str">
        <x:v>Open Day / Campus Tour</x:v>
      </x:c>
      <x:c r="E114" s="12" t="n">
        <x:v>150000000</x:v>
      </x:c>
      <x:c r="F114" s="12" t="n">
        <x:v>144838190</x:v>
      </x:c>
      <x:c r="G114" s="12" t="n">
        <x:f>F114-E114</x:f>
        <x:v>-5161810</x:v>
      </x:c>
      <x:c r="H114" s="14" t="n">
        <x:f>IFERROR(F114/E114,0)</x:f>
        <x:v>0.9655879333333334</x:v>
      </x:c>
      <x:c r="I114" t="str">
        <x:f>IF(H114&gt;1.05,"Vượt kế hoạch",IF(H114&lt;0.8,"Giải ngân thấp","Đúng tiến độ"))</x:f>
        <x:v>Đúng tiến độ</x:v>
      </x:c>
      <x:c r="J114" t="str">
        <x:v>Admissions Officer</x:v>
      </x:c>
      <x:c r="K114" t="str"/>
    </x:row>
    <x:row r="115">
      <x:c r="A115" t="str">
        <x:v>KH-TS-2026-114</x:v>
      </x:c>
      <x:c r="B115" t="str">
        <x:v>2026-12</x:v>
      </x:c>
      <x:c r="C115" t="str">
        <x:v>Q4</x:v>
      </x:c>
      <x:c r="D115" t="str">
        <x:v>Digital Admission Campaign</x:v>
      </x:c>
      <x:c r="E115" s="12" t="n">
        <x:v>150000000</x:v>
      </x:c>
      <x:c r="F115" s="12" t="n">
        <x:v>119175871</x:v>
      </x:c>
      <x:c r="G115" s="12" t="n">
        <x:f>F115-E115</x:f>
        <x:v>-30824129</x:v>
      </x:c>
      <x:c r="H115" s="14" t="n">
        <x:f>IFERROR(F115/E115,0)</x:f>
        <x:v>0.7945058066666667</x:v>
      </x:c>
      <x:c r="I115" t="str">
        <x:f>IF(H115&gt;1.05,"Vượt kế hoạch",IF(H115&lt;0.8,"Giải ngân thấp","Đúng tiến độ"))</x:f>
        <x:v>Giải ngân thấp</x:v>
      </x:c>
      <x:c r="J115" t="str">
        <x:v>Digital Lead</x:v>
      </x:c>
      <x:c r="K115" t="str"/>
    </x:row>
    <x:row r="116">
      <x:c r="A116" t="str">
        <x:v>KH-TS-2026-115</x:v>
      </x:c>
      <x:c r="B116" t="str">
        <x:v>2026-12</x:v>
      </x:c>
      <x:c r="C116" t="str">
        <x:v>Q4</x:v>
      </x:c>
      <x:c r="D116" t="str">
        <x:v>Học bổng tuyển sinh</x:v>
      </x:c>
      <x:c r="E116" s="12" t="n">
        <x:v>300000000</x:v>
      </x:c>
      <x:c r="F116" s="12" t="n">
        <x:v>235878458</x:v>
      </x:c>
      <x:c r="G116" s="12" t="n">
        <x:f>F116-E116</x:f>
        <x:v>-64121542</x:v>
      </x:c>
      <x:c r="H116" s="14" t="n">
        <x:f>IFERROR(F116/E116,0)</x:f>
        <x:v>0.7862615266666667</x:v>
      </x:c>
      <x:c r="I116" t="str">
        <x:f>IF(H116&gt;1.05,"Vượt kế hoạch",IF(H116&lt;0.8,"Giải ngân thấp","Đúng tiến độ"))</x:f>
        <x:v>Giải ngân thấp</x:v>
      </x:c>
      <x:c r="J116" t="str">
        <x:v>Admissions Manager</x:v>
      </x:c>
      <x:c r="K116" t="str"/>
    </x:row>
    <x:row r="117">
      <x:c r="A117" t="str">
        <x:v>KH-TS-2026-116</x:v>
      </x:c>
      <x:c r="B117" t="str">
        <x:v>2026-12</x:v>
      </x:c>
      <x:c r="C117" t="str">
        <x:v>Q4</x:v>
      </x:c>
      <x:c r="D117" t="str">
        <x:v>Sự kiện phụ huynh</x:v>
      </x:c>
      <x:c r="E117" s="12" t="n">
        <x:v>50000000</x:v>
      </x:c>
      <x:c r="F117" s="12" t="n">
        <x:v>42826490</x:v>
      </x:c>
      <x:c r="G117" s="12" t="n">
        <x:f>F117-E117</x:f>
        <x:v>-7173510</x:v>
      </x:c>
      <x:c r="H117" s="14" t="n">
        <x:f>IFERROR(F117/E117,0)</x:f>
        <x:v>0.8565298</x:v>
      </x:c>
      <x:c r="I117" t="str">
        <x:f>IF(H117&gt;1.05,"Vượt kế hoạch",IF(H117&lt;0.8,"Giải ngân thấp","Đúng tiến độ"))</x:f>
        <x:v>Đúng tiến độ</x:v>
      </x:c>
      <x:c r="J117" t="str">
        <x:v>Event Coordinator</x:v>
      </x:c>
      <x:c r="K117" t="str"/>
    </x:row>
    <x:row r="118">
      <x:c r="A118" t="str">
        <x:v>KH-TS-2026-117</x:v>
      </x:c>
      <x:c r="B118" t="str">
        <x:v>2026-12</x:v>
      </x:c>
      <x:c r="C118" t="str">
        <x:v>Q4</x:v>
      </x:c>
      <x:c r="D118" t="str">
        <x:v>Tuyển sinh sau đại học</x:v>
      </x:c>
      <x:c r="E118" s="12" t="n">
        <x:v>150000000</x:v>
      </x:c>
      <x:c r="F118" s="12" t="n">
        <x:v>146302421</x:v>
      </x:c>
      <x:c r="G118" s="12" t="n">
        <x:f>F118-E118</x:f>
        <x:v>-3697579</x:v>
      </x:c>
      <x:c r="H118" s="14" t="n">
        <x:f>IFERROR(F118/E118,0)</x:f>
        <x:v>0.9753494733333333</x:v>
      </x:c>
      <x:c r="I118" t="str">
        <x:f>IF(H118&gt;1.05,"Vượt kế hoạch",IF(H118&lt;0.8,"Giải ngân thấp","Đúng tiến độ"))</x:f>
        <x:v>Đúng tiến độ</x:v>
      </x:c>
      <x:c r="J118" t="str">
        <x:v>Scholarship Officer</x:v>
      </x:c>
      <x:c r="K118" t="str"/>
    </x:row>
    <x:row r="119">
      <x:c r="A119" t="str">
        <x:v>KH-TS-2026-118</x:v>
      </x:c>
      <x:c r="B119" t="str">
        <x:v>2026-12</x:v>
      </x:c>
      <x:c r="C119" t="str">
        <x:v>Q4</x:v>
      </x:c>
      <x:c r="D119" t="str">
        <x:v>International Recruitment</x:v>
      </x:c>
      <x:c r="E119" s="12" t="n">
        <x:v>80000000</x:v>
      </x:c>
      <x:c r="F119" s="12" t="n">
        <x:v>72518089</x:v>
      </x:c>
      <x:c r="G119" s="12" t="n">
        <x:f>F119-E119</x:f>
        <x:v>-7481911</x:v>
      </x:c>
      <x:c r="H119" s="14" t="n">
        <x:f>IFERROR(F119/E119,0)</x:f>
        <x:v>0.9064761125</x:v>
      </x:c>
      <x:c r="I119" t="str">
        <x:f>IF(H119&gt;1.05,"Vượt kế hoạch",IF(H119&lt;0.8,"Giải ngân thấp","Đúng tiến độ"))</x:f>
        <x:v>Đúng tiến độ</x:v>
      </x:c>
      <x:c r="J119" t="str">
        <x:v>Digital Lead</x:v>
      </x:c>
      <x:c r="K119" t="str"/>
    </x:row>
    <x:row r="120">
      <x:c r="A120" t="str">
        <x:v>KH-TS-2026-119</x:v>
      </x:c>
      <x:c r="B120" t="str">
        <x:v>2026-12</x:v>
      </x:c>
      <x:c r="C120" t="str">
        <x:v>Q4</x:v>
      </x:c>
      <x:c r="D120" t="str">
        <x:v>CRM &amp; Admission System</x:v>
      </x:c>
      <x:c r="E120" s="12" t="n">
        <x:v>150000000</x:v>
      </x:c>
      <x:c r="F120" s="12" t="n">
        <x:v>138865626</x:v>
      </x:c>
      <x:c r="G120" s="12" t="n">
        <x:f>F120-E120</x:f>
        <x:v>-11134374</x:v>
      </x:c>
      <x:c r="H120" s="14" t="n">
        <x:f>IFERROR(F120/E120,0)</x:f>
        <x:v>0.92577084</x:v>
      </x:c>
      <x:c r="I120" t="str">
        <x:f>IF(H120&gt;1.05,"Vượt kế hoạch",IF(H120&lt;0.8,"Giải ngân thấp","Đúng tiến độ"))</x:f>
        <x:v>Đúng tiến độ</x:v>
      </x:c>
      <x:c r="J120" t="str">
        <x:v>Digital Lead</x:v>
      </x:c>
      <x:c r="K120" t="str"/>
    </x:row>
    <x:row r="121">
      <x:c r="A121" t="str">
        <x:v>KH-TS-2026-120</x:v>
      </x:c>
      <x:c r="B121" t="str">
        <x:v>2026-12</x:v>
      </x:c>
      <x:c r="C121" t="str">
        <x:v>Q4</x:v>
      </x:c>
      <x:c r="D121" t="str">
        <x:v>Đào tạo cộng tác viên tuyển sinh</x:v>
      </x:c>
      <x:c r="E121" s="12" t="n">
        <x:v>300000000</x:v>
      </x:c>
      <x:c r="F121" s="12" t="n">
        <x:v>302127276</x:v>
      </x:c>
      <x:c r="G121" s="12" t="n">
        <x:f>F121-E121</x:f>
        <x:v>2127276</x:v>
      </x:c>
      <x:c r="H121" s="14" t="n">
        <x:f>IFERROR(F121/E121,0)</x:f>
        <x:v>1.00709092</x:v>
      </x:c>
      <x:c r="I121" t="str">
        <x:f>IF(H121&gt;1.05,"Vượt kế hoạch",IF(H121&lt;0.8,"Giải ngân thấp","Đúng tiến độ"))</x:f>
        <x:v>Đúng tiến độ</x:v>
      </x:c>
      <x:c r="J121" t="str">
        <x:v>Digital Lead</x:v>
      </x:c>
      <x:c r="K121" t="str"/>
    </x:row>
  </x:sheetData>
  <x:conditionalFormatting sqref="H2:H121">
    <x:cfRule type="colorScale" priority="1">
      <x:colorScale>
        <x:cfvo type="min"/>
        <x:cfvo type="percentile" val="50"/>
        <x:cfvo type="max"/>
        <x:color rgb="FECACA"/>
        <x:color rgb="FEF3C7"/>
        <x:color rgb="BBF7D0"/>
      </x:colorScale>
    </x:cfRule>
  </x:conditionalFormatting>
  <x:dataValidations count="1">
    <x:dataValidation type="list" sqref="I2:I121">
      <x:formula1>"Vượt kế hoạch,Giải ngân thấp,Đúng tiến độ"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565d973dc846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0600004196167" hidden="0" customWidth="1"/>
    <x:col min="2" max="2" width="10.5" hidden="0" customWidth="1"/>
    <x:col min="3" max="3" width="3.2300000190734863" hidden="0" customWidth="1"/>
    <x:col min="4" max="4" width="6.590000152587891" hidden="0" customWidth="1"/>
    <x:col min="5" max="5" width="30.149999618530273" hidden="0" customWidth="1"/>
    <x:col min="6" max="6" width="25.979999542236328" hidden="0" customWidth="1"/>
    <x:col min="7" max="7" width="25.299999237060547" hidden="0" customWidth="1"/>
    <x:col min="8" max="8" width="42" hidden="0" customWidth="1"/>
    <x:col min="9" max="9" width="13.729999542236328" hidden="0" customWidth="1"/>
    <x:col min="10" max="10" width="8.880000114440918" hidden="0" customWidth="1"/>
    <x:col min="11" max="11" width="13.319999694824219" hidden="0" customWidth="1"/>
    <x:col min="12" max="12" width="18.979999542236328" hidden="0" customWidth="1"/>
    <x:col min="13" max="13" width="14.539999961853027" hidden="0" customWidth="1"/>
    <x:col min="14" max="14" width="16.690000534057617" hidden="0" customWidth="1"/>
    <x:col min="15" max="15" width="14.399999618530273" hidden="0" customWidth="1"/>
    <x:col min="16" max="16" width="6.059999942779541" hidden="0" customWidth="1"/>
  </x:cols>
  <x:sheetData>
    <x:row r="1">
      <x:c r="A1" s="6" t="str">
        <x:v>Mã đề nghị</x:v>
      </x:c>
      <x:c r="B1" s="6" t="str">
        <x:v>Ngày đề nghị</x:v>
      </x:c>
      <x:c r="C1" s="6" t="str">
        <x:v>Quý</x:v>
      </x:c>
      <x:c r="D1" s="6" t="str">
        <x:v>Tháng</x:v>
      </x:c>
      <x:c r="E1" s="6" t="str">
        <x:v>Nhà cung cấp</x:v>
      </x:c>
      <x:c r="F1" s="6" t="str">
        <x:v>Chương trình</x:v>
      </x:c>
      <x:c r="G1" s="6" t="str">
        <x:v>Hạng mục</x:v>
      </x:c>
      <x:c r="H1" s="6" t="str">
        <x:v>Nội dung thanh toán</x:v>
      </x:c>
      <x:c r="I1" s="6" t="str">
        <x:v>Giá trị trước VAT</x:v>
      </x:c>
      <x:c r="J1" s="6" t="str">
        <x:v>VAT 10%</x:v>
      </x:c>
      <x:c r="K1" s="6" t="str">
        <x:v>Tổng thanh toán</x:v>
      </x:c>
      <x:c r="L1" s="6" t="str">
        <x:v>Nguồn ngân sách</x:v>
      </x:c>
      <x:c r="M1" s="6" t="str">
        <x:v>Trạng thái</x:v>
      </x:c>
      <x:c r="N1" s="6" t="str">
        <x:v>Người đề nghị</x:v>
      </x:c>
      <x:c r="O1" s="6" t="str">
        <x:v>Mã hợp đồng/PO</x:v>
      </x:c>
      <x:c r="P1" s="6" t="str">
        <x:v>Ghi chú</x:v>
      </x:c>
    </x:row>
    <x:row r="2">
      <x:c r="A2" t="str">
        <x:v>DN-TS-2026-001</x:v>
      </x:c>
      <x:c r="B2" s="16" t="n">
        <x:v>46060</x:v>
      </x:c>
      <x:c r="C2" t="str">
        <x:v>Q1</x:v>
      </x:c>
      <x:c r="D2" t="str">
        <x:v>2026-02</x:v>
      </x:c>
      <x:c r="E2" t="str">
        <x:v>Nhà cung cấp Email/SMS EduConnect</x:v>
      </x:c>
      <x:c r="F2" t="str">
        <x:v>Tư vấn tuyển sinh THPT</x:v>
      </x:c>
      <x:c r="G2" t="str">
        <x:v>Quà tặng thí sinh</x:v>
      </x:c>
      <x:c r="H2" t="str">
        <x:v>Thanh toán quà tặng thí sinh cho tư vấn tuyển sinh thpt</x:v>
      </x:c>
      <x:c r="I2" s="12" t="n">
        <x:v>20000000</x:v>
      </x:c>
      <x:c r="J2" s="12" t="n">
        <x:f>I2*10%</x:f>
        <x:v>2000000</x:v>
      </x:c>
      <x:c r="K2" s="12" t="n">
        <x:f>I2+J2</x:f>
        <x:v>22000000</x:v>
      </x:c>
      <x:c r="L2" t="str">
        <x:v>Quỹ học bổng</x:v>
      </x:c>
      <x:c r="M2" t="str">
        <x:v>Đã duyệt</x:v>
      </x:c>
      <x:c r="N2" t="str">
        <x:v>Scholarship Officer</x:v>
      </x:c>
      <x:c r="O2" t="str">
        <x:v>PO-TS-3463</x:v>
      </x:c>
      <x:c r="P2" t="str"/>
    </x:row>
    <x:row r="3">
      <x:c r="A3" t="str">
        <x:v>DN-TS-2026-002</x:v>
      </x:c>
      <x:c r="B3" s="16" t="n">
        <x:v>46197</x:v>
      </x:c>
      <x:c r="C3" t="str">
        <x:v>Q2</x:v>
      </x:c>
      <x:c r="D3" t="str">
        <x:v>2026-06</x:v>
      </x:c>
      <x:c r="E3" t="str">
        <x:v>Google Asia Pacific</x:v>
      </x:c>
      <x:c r="F3" t="str">
        <x:v>Đào tạo cộng tác viên tuyển sinh</x:v>
      </x:c>
      <x:c r="G3" t="str">
        <x:v>Phần mềm CRM</x:v>
      </x:c>
      <x:c r="H3" t="str">
        <x:v>Thanh toán phần mềm crm cho đào tạo cộng tác viên tuyển sinh</x:v>
      </x:c>
      <x:c r="I3" s="12" t="n">
        <x:v>5000000</x:v>
      </x:c>
      <x:c r="J3" s="12" t="n">
        <x:f>I3*10%</x:f>
        <x:v>500000</x:v>
      </x:c>
      <x:c r="K3" s="12" t="n">
        <x:f>I3+J3</x:f>
        <x:v>5500000</x:v>
      </x:c>
      <x:c r="L3" t="str">
        <x:v>Tài trợ đối tác</x:v>
      </x:c>
      <x:c r="M3" t="str">
        <x:v>Đã duyệt</x:v>
      </x:c>
      <x:c r="N3" t="str">
        <x:v>Event Coordinator</x:v>
      </x:c>
      <x:c r="O3" t="str">
        <x:v>PO-TS-3112</x:v>
      </x:c>
      <x:c r="P3" t="str"/>
    </x:row>
    <x:row r="4">
      <x:c r="A4" t="str">
        <x:v>DN-TS-2026-003</x:v>
      </x:c>
      <x:c r="B4" s="16" t="n">
        <x:v>46331</x:v>
      </x:c>
      <x:c r="C4" t="str">
        <x:v>Q4</x:v>
      </x:c>
      <x:c r="D4" t="str">
        <x:v>2026-11</x:v>
      </x:c>
      <x:c r="E4" t="str">
        <x:v>Công ty Quà tặng ABC</x:v>
      </x:c>
      <x:c r="F4" t="str">
        <x:v>Học bổng tuyển sinh</x:v>
      </x:c>
      <x:c r="G4" t="str">
        <x:v>Quà tặng thí sinh</x:v>
      </x:c>
      <x:c r="H4" t="str">
        <x:v>Thanh toán quà tặng thí sinh cho học bổng tuyển sinh</x:v>
      </x:c>
      <x:c r="I4" s="12" t="n">
        <x:v>5000000</x:v>
      </x:c>
      <x:c r="J4" s="12" t="n">
        <x:f>I4*10%</x:f>
        <x:v>500000</x:v>
      </x:c>
      <x:c r="K4" s="12" t="n">
        <x:f>I4+J4</x:f>
        <x:v>5500000</x:v>
      </x:c>
      <x:c r="L4" t="str">
        <x:v>Tài trợ đối tác</x:v>
      </x:c>
      <x:c r="M4" t="str">
        <x:v>Đã thanh toán</x:v>
      </x:c>
      <x:c r="N4" t="str">
        <x:v>Scholarship Officer</x:v>
      </x:c>
      <x:c r="O4" t="str">
        <x:v>PO-TS-2531</x:v>
      </x:c>
      <x:c r="P4" t="str"/>
    </x:row>
    <x:row r="5">
      <x:c r="A5" t="str">
        <x:v>DN-TS-2026-004</x:v>
      </x:c>
      <x:c r="B5" s="16" t="n">
        <x:v>46357</x:v>
      </x:c>
      <x:c r="C5" t="str">
        <x:v>Q4</x:v>
      </x:c>
      <x:c r="D5" t="str">
        <x:v>2026-12</x:v>
      </x:c>
      <x:c r="E5" t="str">
        <x:v>Nền tảng CRM EduFlow</x:v>
      </x:c>
      <x:c r="F5" t="str">
        <x:v>Tuyển sinh sau đại học</x:v>
      </x:c>
      <x:c r="G5" t="str">
        <x:v>Quà tặng thí sinh</x:v>
      </x:c>
      <x:c r="H5" t="str">
        <x:v>Thanh toán quà tặng thí sinh cho tuyển sinh sau đại học</x:v>
      </x:c>
      <x:c r="I5" s="12" t="n">
        <x:v>150000000</x:v>
      </x:c>
      <x:c r="J5" s="12" t="n">
        <x:f>I5*10%</x:f>
        <x:v>15000000</x:v>
      </x:c>
      <x:c r="K5" s="12" t="n">
        <x:f>I5+J5</x:f>
        <x:v>165000000</x:v>
      </x:c>
      <x:c r="L5" t="str">
        <x:v>Ngân sách tuyển sinh</x:v>
      </x:c>
      <x:c r="M5" t="str">
        <x:v>Đã duyệt</x:v>
      </x:c>
      <x:c r="N5" t="str">
        <x:v>Admissions Manager</x:v>
      </x:c>
      <x:c r="O5" t="str">
        <x:v>PO-TS-4509</x:v>
      </x:c>
      <x:c r="P5" t="str"/>
    </x:row>
    <x:row r="6">
      <x:c r="A6" t="str">
        <x:v>DN-TS-2026-005</x:v>
      </x:c>
      <x:c r="B6" s="16" t="n">
        <x:v>46201</x:v>
      </x:c>
      <x:c r="C6" t="str">
        <x:v>Q2</x:v>
      </x:c>
      <x:c r="D6" t="str">
        <x:v>2026-06</x:v>
      </x:c>
      <x:c r="E6" t="str">
        <x:v>Google Asia Pacific</x:v>
      </x:c>
      <x:c r="F6" t="str">
        <x:v>Digital Admission Campaign</x:v>
      </x:c>
      <x:c r="G6" t="str">
        <x:v>Thiết kế landing page</x:v>
      </x:c>
      <x:c r="H6" t="str">
        <x:v>Thanh toán thiết kế landing page cho digital admission campaign</x:v>
      </x:c>
      <x:c r="I6" s="12" t="n">
        <x:v>50000000</x:v>
      </x:c>
      <x:c r="J6" s="12" t="n">
        <x:f>I6*10%</x:f>
        <x:v>5000000</x:v>
      </x:c>
      <x:c r="K6" s="12" t="n">
        <x:f>I6+J6</x:f>
        <x:v>55000000</x:v>
      </x:c>
      <x:c r="L6" t="str">
        <x:v>Ngân sách truyền thông</x:v>
      </x:c>
      <x:c r="M6" t="str">
        <x:v>Chờ duyệt</x:v>
      </x:c>
      <x:c r="N6" t="str">
        <x:v>Admissions Officer</x:v>
      </x:c>
      <x:c r="O6" t="str">
        <x:v>PO-TS-9317</x:v>
      </x:c>
      <x:c r="P6" t="str"/>
    </x:row>
    <x:row r="7">
      <x:c r="A7" t="str">
        <x:v>DN-TS-2026-006</x:v>
      </x:c>
      <x:c r="B7" s="16" t="n">
        <x:v>46303</x:v>
      </x:c>
      <x:c r="C7" t="str">
        <x:v>Q4</x:v>
      </x:c>
      <x:c r="D7" t="str">
        <x:v>2026-10</x:v>
      </x:c>
      <x:c r="E7" t="str">
        <x:v>Nền tảng CRM EduFlow</x:v>
      </x:c>
      <x:c r="F7" t="str">
        <x:v>Tuyển sinh đại học chính quy</x:v>
      </x:c>
      <x:c r="G7" t="str">
        <x:v>Phần mềm CRM</x:v>
      </x:c>
      <x:c r="H7" t="str">
        <x:v>Thanh toán phần mềm crm cho tuyển sinh đại học chính quy</x:v>
      </x:c>
      <x:c r="I7" s="12" t="n">
        <x:v>80000000</x:v>
      </x:c>
      <x:c r="J7" s="12" t="n">
        <x:f>I7*10%</x:f>
        <x:v>8000000</x:v>
      </x:c>
      <x:c r="K7" s="12" t="n">
        <x:f>I7+J7</x:f>
        <x:v>88000000</x:v>
      </x:c>
      <x:c r="L7" t="str">
        <x:v>Ngân sách truyền thông</x:v>
      </x:c>
      <x:c r="M7" t="str">
        <x:v>Đã thanh toán</x:v>
      </x:c>
      <x:c r="N7" t="str">
        <x:v>Admissions Manager</x:v>
      </x:c>
      <x:c r="O7" t="str">
        <x:v>PO-TS-3658</x:v>
      </x:c>
      <x:c r="P7" t="str"/>
    </x:row>
    <x:row r="8">
      <x:c r="A8" t="str">
        <x:v>DN-TS-2026-007</x:v>
      </x:c>
      <x:c r="B8" s="16" t="n">
        <x:v>46119</x:v>
      </x:c>
      <x:c r="C8" t="str">
        <x:v>Q2</x:v>
      </x:c>
      <x:c r="D8" t="str">
        <x:v>2026-04</x:v>
      </x:c>
      <x:c r="E8" t="str">
        <x:v>Trung tâm Hội nghị Quốc gia</x:v>
      </x:c>
      <x:c r="F8" t="str">
        <x:v>Open Day / Campus Tour</x:v>
      </x:c>
      <x:c r="G8" t="str">
        <x:v>Học bổng đầu vào</x:v>
      </x:c>
      <x:c r="H8" t="str">
        <x:v>Thanh toán học bổng đầu vào cho open day / campus tour</x:v>
      </x:c>
      <x:c r="I8" s="12" t="n">
        <x:v>100000000</x:v>
      </x:c>
      <x:c r="J8" s="12" t="n">
        <x:f>I8*10%</x:f>
        <x:v>10000000</x:v>
      </x:c>
      <x:c r="K8" s="12" t="n">
        <x:f>I8+J8</x:f>
        <x:v>110000000</x:v>
      </x:c>
      <x:c r="L8" t="str">
        <x:v>Ngân sách tuyển sinh</x:v>
      </x:c>
      <x:c r="M8" t="str">
        <x:v>Đã thanh toán</x:v>
      </x:c>
      <x:c r="N8" t="str">
        <x:v>Admissions Manager</x:v>
      </x:c>
      <x:c r="O8" t="str">
        <x:v>PO-TS-8277</x:v>
      </x:c>
      <x:c r="P8" t="str"/>
    </x:row>
    <x:row r="9">
      <x:c r="A9" t="str">
        <x:v>DN-TS-2026-008</x:v>
      </x:c>
      <x:c r="B9" s="16" t="n">
        <x:v>46339</x:v>
      </x:c>
      <x:c r="C9" t="str">
        <x:v>Q4</x:v>
      </x:c>
      <x:c r="D9" t="str">
        <x:v>2026-11</x:v>
      </x:c>
      <x:c r="E9" t="str">
        <x:v>Trung tâm Hội nghị Quốc gia</x:v>
      </x:c>
      <x:c r="F9" t="str">
        <x:v>Sản xuất học liệu truyền thông</x:v>
      </x:c>
      <x:c r="G9" t="str">
        <x:v>Chi phí email/SMS</x:v>
      </x:c>
      <x:c r="H9" t="str">
        <x:v>Thanh toán chi phí email/sms cho sản xuất học liệu truyền thông</x:v>
      </x:c>
      <x:c r="I9" s="12" t="n">
        <x:v>15000000</x:v>
      </x:c>
      <x:c r="J9" s="12" t="n">
        <x:f>I9*10%</x:f>
        <x:v>1500000</x:v>
      </x:c>
      <x:c r="K9" s="12" t="n">
        <x:f>I9+J9</x:f>
        <x:v>16500000</x:v>
      </x:c>
      <x:c r="L9" t="str">
        <x:v>Ngân sách truyền thông</x:v>
      </x:c>
      <x:c r="M9" t="str">
        <x:v>Đã thanh toán</x:v>
      </x:c>
      <x:c r="N9" t="str">
        <x:v>Digital Lead</x:v>
      </x:c>
      <x:c r="O9" t="str">
        <x:v>PO-TS-8684</x:v>
      </x:c>
      <x:c r="P9" t="str"/>
    </x:row>
    <x:row r="10">
      <x:c r="A10" t="str">
        <x:v>DN-TS-2026-009</x:v>
      </x:c>
      <x:c r="B10" s="16" t="n">
        <x:v>46126</x:v>
      </x:c>
      <x:c r="C10" t="str">
        <x:v>Q2</x:v>
      </x:c>
      <x:c r="D10" t="str">
        <x:v>2026-04</x:v>
      </x:c>
      <x:c r="E10" t="str">
        <x:v>Trung tâm Hội nghị Quốc gia</x:v>
      </x:c>
      <x:c r="F10" t="str">
        <x:v>Ngày hội tuyển sinh</x:v>
      </x:c>
      <x:c r="G10" t="str">
        <x:v>Chi phí diễn giả</x:v>
      </x:c>
      <x:c r="H10" t="str">
        <x:v>Thanh toán chi phí diễn giả cho ngày hội tuyển sinh</x:v>
      </x:c>
      <x:c r="I10" s="12" t="n">
        <x:v>20000000</x:v>
      </x:c>
      <x:c r="J10" s="12" t="n">
        <x:f>I10*10%</x:f>
        <x:v>2000000</x:v>
      </x:c>
      <x:c r="K10" s="12" t="n">
        <x:f>I10+J10</x:f>
        <x:v>22000000</x:v>
      </x:c>
      <x:c r="L10" t="str">
        <x:v>Quỹ học bổng</x:v>
      </x:c>
      <x:c r="M10" t="str">
        <x:v>Đã thanh toán</x:v>
      </x:c>
      <x:c r="N10" t="str">
        <x:v>Event Coordinator</x:v>
      </x:c>
      <x:c r="O10" t="str">
        <x:v>PO-TS-9239</x:v>
      </x:c>
      <x:c r="P10" t="str"/>
    </x:row>
    <x:row r="11">
      <x:c r="A11" t="str">
        <x:v>DN-TS-2026-010</x:v>
      </x:c>
      <x:c r="B11" s="16" t="n">
        <x:v>46297</x:v>
      </x:c>
      <x:c r="C11" t="str">
        <x:v>Q4</x:v>
      </x:c>
      <x:c r="D11" t="str">
        <x:v>2026-10</x:v>
      </x:c>
      <x:c r="E11" t="str">
        <x:v>Công ty EventPlus</x:v>
      </x:c>
      <x:c r="F11" t="str">
        <x:v>Open Day / Campus Tour</x:v>
      </x:c>
      <x:c r="G11" t="str">
        <x:v>Đào tạo nhân sự</x:v>
      </x:c>
      <x:c r="H11" t="str">
        <x:v>Thanh toán đào tạo nhân sự cho open day / campus tour</x:v>
      </x:c>
      <x:c r="I11" s="12" t="n">
        <x:v>30000000</x:v>
      </x:c>
      <x:c r="J11" s="12" t="n">
        <x:f>I11*10%</x:f>
        <x:v>3000000</x:v>
      </x:c>
      <x:c r="K11" s="12" t="n">
        <x:f>I11+J11</x:f>
        <x:v>33000000</x:v>
      </x:c>
      <x:c r="L11" t="str">
        <x:v>Ngân sách truyền thông</x:v>
      </x:c>
      <x:c r="M11" t="str">
        <x:v>Cần bổ sung hồ sơ</x:v>
      </x:c>
      <x:c r="N11" t="str">
        <x:v>Admissions Officer</x:v>
      </x:c>
      <x:c r="O11" t="str">
        <x:v>PO-TS-8873</x:v>
      </x:c>
      <x:c r="P11" t="str"/>
    </x:row>
    <x:row r="12">
      <x:c r="A12" t="str">
        <x:v>DN-TS-2026-011</x:v>
      </x:c>
      <x:c r="B12" s="16" t="n">
        <x:v>46217</x:v>
      </x:c>
      <x:c r="C12" t="str">
        <x:v>Q3</x:v>
      </x:c>
      <x:c r="D12" t="str">
        <x:v>2026-07</x:v>
      </x:c>
      <x:c r="E12" t="str">
        <x:v>Công ty Nghiên cứu thị trường Insight</x:v>
      </x:c>
      <x:c r="F12" t="str">
        <x:v>Tư vấn tuyển sinh THPT</x:v>
      </x:c>
      <x:c r="G12" t="str">
        <x:v>Học bổng đầu vào</x:v>
      </x:c>
      <x:c r="H12" t="str">
        <x:v>Thanh toán học bổng đầu vào cho tư vấn tuyển sinh thpt</x:v>
      </x:c>
      <x:c r="I12" s="12" t="n">
        <x:v>80000000</x:v>
      </x:c>
      <x:c r="J12" s="12" t="n">
        <x:f>I12*10%</x:f>
        <x:v>8000000</x:v>
      </x:c>
      <x:c r="K12" s="12" t="n">
        <x:f>I12+J12</x:f>
        <x:v>88000000</x:v>
      </x:c>
      <x:c r="L12" t="str">
        <x:v>Ngân sách tuyển sinh</x:v>
      </x:c>
      <x:c r="M12" t="str">
        <x:v>Đã duyệt</x:v>
      </x:c>
      <x:c r="N12" t="str">
        <x:v>Admissions Manager</x:v>
      </x:c>
      <x:c r="O12" t="str">
        <x:v>PO-TS-5469</x:v>
      </x:c>
      <x:c r="P12" t="str"/>
    </x:row>
    <x:row r="13">
      <x:c r="A13" t="str">
        <x:v>DN-TS-2026-012</x:v>
      </x:c>
      <x:c r="B13" s="16" t="n">
        <x:v>46257</x:v>
      </x:c>
      <x:c r="C13" t="str">
        <x:v>Q3</x:v>
      </x:c>
      <x:c r="D13" t="str">
        <x:v>2026-08</x:v>
      </x:c>
      <x:c r="E13" t="str">
        <x:v>Công ty Quà tặng ABC</x:v>
      </x:c>
      <x:c r="F13" t="str">
        <x:v>Open Day / Campus Tour</x:v>
      </x:c>
      <x:c r="G13" t="str">
        <x:v>Đào tạo nhân sự</x:v>
      </x:c>
      <x:c r="H13" t="str">
        <x:v>Thanh toán đào tạo nhân sự cho open day / campus tour</x:v>
      </x:c>
      <x:c r="I13" s="12" t="n">
        <x:v>80000000</x:v>
      </x:c>
      <x:c r="J13" s="12" t="n">
        <x:f>I13*10%</x:f>
        <x:v>8000000</x:v>
      </x:c>
      <x:c r="K13" s="12" t="n">
        <x:f>I13+J13</x:f>
        <x:v>88000000</x:v>
      </x:c>
      <x:c r="L13" t="str">
        <x:v>Ngân sách tuyển sinh</x:v>
      </x:c>
      <x:c r="M13" t="str">
        <x:v>Cần bổ sung hồ sơ</x:v>
      </x:c>
      <x:c r="N13" t="str">
        <x:v>Admissions Manager</x:v>
      </x:c>
      <x:c r="O13" t="str">
        <x:v>PO-TS-8391</x:v>
      </x:c>
      <x:c r="P13" t="str"/>
    </x:row>
    <x:row r="14">
      <x:c r="A14" t="str">
        <x:v>DN-TS-2026-013</x:v>
      </x:c>
      <x:c r="B14" s="16" t="n">
        <x:v>46205</x:v>
      </x:c>
      <x:c r="C14" t="str">
        <x:v>Q3</x:v>
      </x:c>
      <x:c r="D14" t="str">
        <x:v>2026-07</x:v>
      </x:c>
      <x:c r="E14" t="str">
        <x:v>Công ty Quà tặng ABC</x:v>
      </x:c>
      <x:c r="F14" t="str">
        <x:v>Tuyển sinh sau đại học</x:v>
      </x:c>
      <x:c r="G14" t="str">
        <x:v>Quảng cáo Facebook/Instagram</x:v>
      </x:c>
      <x:c r="H14" t="str">
        <x:v>Thanh toán quảng cáo facebook/instagram cho tuyển sinh sau đại học</x:v>
      </x:c>
      <x:c r="I14" s="12" t="n">
        <x:v>3000000</x:v>
      </x:c>
      <x:c r="J14" s="12" t="n">
        <x:f>I14*10%</x:f>
        <x:v>300000</x:v>
      </x:c>
      <x:c r="K14" s="12" t="n">
        <x:f>I14+J14</x:f>
        <x:v>3300000</x:v>
      </x:c>
      <x:c r="L14" t="str">
        <x:v>Tài trợ đối tác</x:v>
      </x:c>
      <x:c r="M14" t="str">
        <x:v>Đã duyệt</x:v>
      </x:c>
      <x:c r="N14" t="str">
        <x:v>Admissions Officer</x:v>
      </x:c>
      <x:c r="O14" t="str">
        <x:v>PO-TS-7142</x:v>
      </x:c>
      <x:c r="P14" t="str"/>
    </x:row>
    <x:row r="15">
      <x:c r="A15" t="str">
        <x:v>DN-TS-2026-014</x:v>
      </x:c>
      <x:c r="B15" s="16" t="n">
        <x:v>46141</x:v>
      </x:c>
      <x:c r="C15" t="str">
        <x:v>Q2</x:v>
      </x:c>
      <x:c r="D15" t="str">
        <x:v>2026-04</x:v>
      </x:c>
      <x:c r="E15" t="str">
        <x:v>Meta Ads Vietnam</x:v>
      </x:c>
      <x:c r="F15" t="str">
        <x:v>Sự kiện phụ huynh</x:v>
      </x:c>
      <x:c r="G15" t="str">
        <x:v>Livestream tư vấn</x:v>
      </x:c>
      <x:c r="H15" t="str">
        <x:v>Thanh toán livestream tư vấn cho sự kiện phụ huynh</x:v>
      </x:c>
      <x:c r="I15" s="12" t="n">
        <x:v>3000000</x:v>
      </x:c>
      <x:c r="J15" s="12" t="n">
        <x:f>I15*10%</x:f>
        <x:v>300000</x:v>
      </x:c>
      <x:c r="K15" s="12" t="n">
        <x:f>I15+J15</x:f>
        <x:v>3300000</x:v>
      </x:c>
      <x:c r="L15" t="str">
        <x:v>Tài trợ đối tác</x:v>
      </x:c>
      <x:c r="M15" t="str">
        <x:v>Đã thanh toán</x:v>
      </x:c>
      <x:c r="N15" t="str">
        <x:v>Admissions Manager</x:v>
      </x:c>
      <x:c r="O15" t="str">
        <x:v>PO-TS-1627</x:v>
      </x:c>
      <x:c r="P15" t="str"/>
    </x:row>
    <x:row r="16">
      <x:c r="A16" t="str">
        <x:v>DN-TS-2026-015</x:v>
      </x:c>
      <x:c r="B16" s="16" t="n">
        <x:v>46173</x:v>
      </x:c>
      <x:c r="C16" t="str">
        <x:v>Q2</x:v>
      </x:c>
      <x:c r="D16" t="str">
        <x:v>2026-05</x:v>
      </x:c>
      <x:c r="E16" t="str">
        <x:v>Google Asia Pacific</x:v>
      </x:c>
      <x:c r="F16" t="str">
        <x:v>Sản xuất học liệu truyền thông</x:v>
      </x:c>
      <x:c r="G16" t="str">
        <x:v>Đào tạo nhân sự</x:v>
      </x:c>
      <x:c r="H16" t="str">
        <x:v>Thanh toán đào tạo nhân sự cho sản xuất học liệu truyền thông</x:v>
      </x:c>
      <x:c r="I16" s="12" t="n">
        <x:v>50000000</x:v>
      </x:c>
      <x:c r="J16" s="12" t="n">
        <x:f>I16*10%</x:f>
        <x:v>5000000</x:v>
      </x:c>
      <x:c r="K16" s="12" t="n">
        <x:f>I16+J16</x:f>
        <x:v>55000000</x:v>
      </x:c>
      <x:c r="L16" t="str">
        <x:v>Quỹ học bổng</x:v>
      </x:c>
      <x:c r="M16" t="str">
        <x:v>Đã thanh toán</x:v>
      </x:c>
      <x:c r="N16" t="str">
        <x:v>Admissions Officer</x:v>
      </x:c>
      <x:c r="O16" t="str">
        <x:v>PO-TS-2298</x:v>
      </x:c>
      <x:c r="P16" t="str"/>
    </x:row>
    <x:row r="17">
      <x:c r="A17" t="str">
        <x:v>DN-TS-2026-016</x:v>
      </x:c>
      <x:c r="B17" s="16" t="n">
        <x:v>46036</x:v>
      </x:c>
      <x:c r="C17" t="str">
        <x:v>Q1</x:v>
      </x:c>
      <x:c r="D17" t="str">
        <x:v>2026-01</x:v>
      </x:c>
      <x:c r="E17" t="str">
        <x:v>Google Asia Pacific</x:v>
      </x:c>
      <x:c r="F17" t="str">
        <x:v>Digital Admission Campaign</x:v>
      </x:c>
      <x:c r="G17" t="str">
        <x:v>Đào tạo nhân sự</x:v>
      </x:c>
      <x:c r="H17" t="str">
        <x:v>Thanh toán đào tạo nhân sự cho digital admission campaign</x:v>
      </x:c>
      <x:c r="I17" s="12" t="n">
        <x:v>15000000</x:v>
      </x:c>
      <x:c r="J17" s="12" t="n">
        <x:f>I17*10%</x:f>
        <x:v>1500000</x:v>
      </x:c>
      <x:c r="K17" s="12" t="n">
        <x:f>I17+J17</x:f>
        <x:v>16500000</x:v>
      </x:c>
      <x:c r="L17" t="str">
        <x:v>Quỹ học bổng</x:v>
      </x:c>
      <x:c r="M17" t="str">
        <x:v>Chờ duyệt</x:v>
      </x:c>
      <x:c r="N17" t="str">
        <x:v>Digital Lead</x:v>
      </x:c>
      <x:c r="O17" t="str">
        <x:v>PO-TS-4893</x:v>
      </x:c>
      <x:c r="P17" t="str"/>
    </x:row>
    <x:row r="18">
      <x:c r="A18" t="str">
        <x:v>DN-TS-2026-017</x:v>
      </x:c>
      <x:c r="B18" s="16" t="n">
        <x:v>46181</x:v>
      </x:c>
      <x:c r="C18" t="str">
        <x:v>Q2</x:v>
      </x:c>
      <x:c r="D18" t="str">
        <x:v>2026-06</x:v>
      </x:c>
      <x:c r="E18" t="str">
        <x:v>Công ty Quà tặng ABC</x:v>
      </x:c>
      <x:c r="F18" t="str">
        <x:v>Tuyển sinh đại học chính quy</x:v>
      </x:c>
      <x:c r="G18" t="str">
        <x:v>Thiết kế landing page</x:v>
      </x:c>
      <x:c r="H18" t="str">
        <x:v>Thanh toán thiết kế landing page cho tuyển sinh đại học chính quy</x:v>
      </x:c>
      <x:c r="I18" s="12" t="n">
        <x:v>5000000</x:v>
      </x:c>
      <x:c r="J18" s="12" t="n">
        <x:f>I18*10%</x:f>
        <x:v>500000</x:v>
      </x:c>
      <x:c r="K18" s="12" t="n">
        <x:f>I18+J18</x:f>
        <x:v>5500000</x:v>
      </x:c>
      <x:c r="L18" t="str">
        <x:v>Quỹ học bổng</x:v>
      </x:c>
      <x:c r="M18" t="str">
        <x:v>Chờ duyệt</x:v>
      </x:c>
      <x:c r="N18" t="str">
        <x:v>Event Coordinator</x:v>
      </x:c>
      <x:c r="O18" t="str">
        <x:v>PO-TS-9782</x:v>
      </x:c>
      <x:c r="P18" t="str"/>
    </x:row>
    <x:row r="19">
      <x:c r="A19" t="str">
        <x:v>DN-TS-2026-018</x:v>
      </x:c>
      <x:c r="B19" s="16" t="n">
        <x:v>46035</x:v>
      </x:c>
      <x:c r="C19" t="str">
        <x:v>Q1</x:v>
      </x:c>
      <x:c r="D19" t="str">
        <x:v>2026-01</x:v>
      </x:c>
      <x:c r="E19" t="str">
        <x:v>Công ty EventPlus</x:v>
      </x:c>
      <x:c r="F19" t="str">
        <x:v>CRM &amp; Admission System</x:v>
      </x:c>
      <x:c r="G19" t="str">
        <x:v>Chi phí diễn giả</x:v>
      </x:c>
      <x:c r="H19" t="str">
        <x:v>Thanh toán chi phí diễn giả cho crm &amp; admission system</x:v>
      </x:c>
      <x:c r="I19" s="12" t="n">
        <x:v>150000000</x:v>
      </x:c>
      <x:c r="J19" s="12" t="n">
        <x:f>I19*10%</x:f>
        <x:v>15000000</x:v>
      </x:c>
      <x:c r="K19" s="12" t="n">
        <x:f>I19+J19</x:f>
        <x:v>165000000</x:v>
      </x:c>
      <x:c r="L19" t="str">
        <x:v>Ngân sách truyền thông</x:v>
      </x:c>
      <x:c r="M19" t="str">
        <x:v>Đã duyệt</x:v>
      </x:c>
      <x:c r="N19" t="str">
        <x:v>Admissions Officer</x:v>
      </x:c>
      <x:c r="O19" t="str">
        <x:v>PO-TS-6780</x:v>
      </x:c>
      <x:c r="P19" t="str"/>
    </x:row>
    <x:row r="20">
      <x:c r="A20" t="str">
        <x:v>DN-TS-2026-019</x:v>
      </x:c>
      <x:c r="B20" s="16" t="n">
        <x:v>46150</x:v>
      </x:c>
      <x:c r="C20" t="str">
        <x:v>Q2</x:v>
      </x:c>
      <x:c r="D20" t="str">
        <x:v>2026-05</x:v>
      </x:c>
      <x:c r="E20" t="str">
        <x:v>Nhà cung cấp Email/SMS EduConnect</x:v>
      </x:c>
      <x:c r="F20" t="str">
        <x:v>Tuyển sinh sau đại học</x:v>
      </x:c>
      <x:c r="G20" t="str">
        <x:v>Sản xuất video tuyển sinh</x:v>
      </x:c>
      <x:c r="H20" t="str">
        <x:v>Thanh toán sản xuất video tuyển sinh cho tuyển sinh sau đại học</x:v>
      </x:c>
      <x:c r="I20" s="12" t="n">
        <x:v>100000000</x:v>
      </x:c>
      <x:c r="J20" s="12" t="n">
        <x:f>I20*10%</x:f>
        <x:v>10000000</x:v>
      </x:c>
      <x:c r="K20" s="12" t="n">
        <x:f>I20+J20</x:f>
        <x:v>110000000</x:v>
      </x:c>
      <x:c r="L20" t="str">
        <x:v>Ngân sách tuyển sinh</x:v>
      </x:c>
      <x:c r="M20" t="str">
        <x:v>Đã thanh toán</x:v>
      </x:c>
      <x:c r="N20" t="str">
        <x:v>Digital Lead</x:v>
      </x:c>
      <x:c r="O20" t="str">
        <x:v>PO-TS-2108</x:v>
      </x:c>
      <x:c r="P20" t="str"/>
    </x:row>
    <x:row r="21">
      <x:c r="A21" t="str">
        <x:v>DN-TS-2026-020</x:v>
      </x:c>
      <x:c r="B21" s="16" t="n">
        <x:v>46296</x:v>
      </x:c>
      <x:c r="C21" t="str">
        <x:v>Q4</x:v>
      </x:c>
      <x:c r="D21" t="str">
        <x:v>2026-10</x:v>
      </x:c>
      <x:c r="E21" t="str">
        <x:v>Dịch vụ Logistics Thành Công</x:v>
      </x:c>
      <x:c r="F21" t="str">
        <x:v>CRM &amp; Admission System</x:v>
      </x:c>
      <x:c r="G21" t="str">
        <x:v>Chi phí email/SMS</x:v>
      </x:c>
      <x:c r="H21" t="str">
        <x:v>Thanh toán chi phí email/sms cho crm &amp; admission system</x:v>
      </x:c>
      <x:c r="I21" s="12" t="n">
        <x:v>80000000</x:v>
      </x:c>
      <x:c r="J21" s="12" t="n">
        <x:f>I21*10%</x:f>
        <x:v>8000000</x:v>
      </x:c>
      <x:c r="K21" s="12" t="n">
        <x:f>I21+J21</x:f>
        <x:v>88000000</x:v>
      </x:c>
      <x:c r="L21" t="str">
        <x:v>Ngân sách tuyển sinh</x:v>
      </x:c>
      <x:c r="M21" t="str">
        <x:v>Đã duyệt</x:v>
      </x:c>
      <x:c r="N21" t="str">
        <x:v>Event Coordinator</x:v>
      </x:c>
      <x:c r="O21" t="str">
        <x:v>PO-TS-1713</x:v>
      </x:c>
      <x:c r="P21" t="str"/>
    </x:row>
    <x:row r="22">
      <x:c r="A22" t="str">
        <x:v>DN-TS-2026-021</x:v>
      </x:c>
      <x:c r="B22" s="16" t="n">
        <x:v>46352</x:v>
      </x:c>
      <x:c r="C22" t="str">
        <x:v>Q4</x:v>
      </x:c>
      <x:c r="D22" t="str">
        <x:v>2026-11</x:v>
      </x:c>
      <x:c r="E22" t="str">
        <x:v>Công ty Thiết kế Web Nova</x:v>
      </x:c>
      <x:c r="F22" t="str">
        <x:v>Sự kiện phụ huynh</x:v>
      </x:c>
      <x:c r="G22" t="str">
        <x:v>In ấn brochure</x:v>
      </x:c>
      <x:c r="H22" t="str">
        <x:v>Thanh toán in ấn brochure cho sự kiện phụ huynh</x:v>
      </x:c>
      <x:c r="I22" s="12" t="n">
        <x:v>30000000</x:v>
      </x:c>
      <x:c r="J22" s="12" t="n">
        <x:f>I22*10%</x:f>
        <x:v>3000000</x:v>
      </x:c>
      <x:c r="K22" s="12" t="n">
        <x:f>I22+J22</x:f>
        <x:v>33000000</x:v>
      </x:c>
      <x:c r="L22" t="str">
        <x:v>Ngân sách tuyển sinh</x:v>
      </x:c>
      <x:c r="M22" t="str">
        <x:v>Đã duyệt</x:v>
      </x:c>
      <x:c r="N22" t="str">
        <x:v>Admissions Officer</x:v>
      </x:c>
      <x:c r="O22" t="str">
        <x:v>PO-TS-6649</x:v>
      </x:c>
      <x:c r="P22" t="str"/>
    </x:row>
    <x:row r="23">
      <x:c r="A23" t="str">
        <x:v>DN-TS-2026-022</x:v>
      </x:c>
      <x:c r="B23" s="16" t="n">
        <x:v>46150</x:v>
      </x:c>
      <x:c r="C23" t="str">
        <x:v>Q2</x:v>
      </x:c>
      <x:c r="D23" t="str">
        <x:v>2026-05</x:v>
      </x:c>
      <x:c r="E23" t="str">
        <x:v>Trường THPT đối tác</x:v>
      </x:c>
      <x:c r="F23" t="str">
        <x:v>Ngày hội tuyển sinh</x:v>
      </x:c>
      <x:c r="G23" t="str">
        <x:v>Quảng cáo Google Search</x:v>
      </x:c>
      <x:c r="H23" t="str">
        <x:v>Thanh toán quảng cáo google search cho ngày hội tuyển sinh</x:v>
      </x:c>
      <x:c r="I23" s="12" t="n">
        <x:v>150000000</x:v>
      </x:c>
      <x:c r="J23" s="12" t="n">
        <x:f>I23*10%</x:f>
        <x:v>15000000</x:v>
      </x:c>
      <x:c r="K23" s="12" t="n">
        <x:f>I23+J23</x:f>
        <x:v>165000000</x:v>
      </x:c>
      <x:c r="L23" t="str">
        <x:v>Tài trợ đối tác</x:v>
      </x:c>
      <x:c r="M23" t="str">
        <x:v>Chờ duyệt</x:v>
      </x:c>
      <x:c r="N23" t="str">
        <x:v>Digital Lead</x:v>
      </x:c>
      <x:c r="O23" t="str">
        <x:v>PO-TS-9945</x:v>
      </x:c>
      <x:c r="P23" t="str"/>
    </x:row>
    <x:row r="24">
      <x:c r="A24" t="str">
        <x:v>DN-TS-2026-023</x:v>
      </x:c>
      <x:c r="B24" s="16" t="n">
        <x:v>46200</x:v>
      </x:c>
      <x:c r="C24" t="str">
        <x:v>Q2</x:v>
      </x:c>
      <x:c r="D24" t="str">
        <x:v>2026-06</x:v>
      </x:c>
      <x:c r="E24" t="str">
        <x:v>Trường THPT đối tác</x:v>
      </x:c>
      <x:c r="F24" t="str">
        <x:v>Open Day / Campus Tour</x:v>
      </x:c>
      <x:c r="G24" t="str">
        <x:v>Đào tạo nhân sự</x:v>
      </x:c>
      <x:c r="H24" t="str">
        <x:v>Thanh toán đào tạo nhân sự cho open day / campus tour</x:v>
      </x:c>
      <x:c r="I24" s="12" t="n">
        <x:v>150000000</x:v>
      </x:c>
      <x:c r="J24" s="12" t="n">
        <x:f>I24*10%</x:f>
        <x:v>15000000</x:v>
      </x:c>
      <x:c r="K24" s="12" t="n">
        <x:f>I24+J24</x:f>
        <x:v>165000000</x:v>
      </x:c>
      <x:c r="L24" t="str">
        <x:v>Quỹ học bổng</x:v>
      </x:c>
      <x:c r="M24" t="str">
        <x:v>Tạm dừng</x:v>
      </x:c>
      <x:c r="N24" t="str">
        <x:v>Event Coordinator</x:v>
      </x:c>
      <x:c r="O24" t="str">
        <x:v>PO-TS-3986</x:v>
      </x:c>
      <x:c r="P24" t="str"/>
    </x:row>
    <x:row r="25">
      <x:c r="A25" t="str">
        <x:v>DN-TS-2026-024</x:v>
      </x:c>
      <x:c r="B25" s="16" t="n">
        <x:v>46096</x:v>
      </x:c>
      <x:c r="C25" t="str">
        <x:v>Q1</x:v>
      </x:c>
      <x:c r="D25" t="str">
        <x:v>2026-03</x:v>
      </x:c>
      <x:c r="E25" t="str">
        <x:v>Trung tâm Hội nghị Quốc gia</x:v>
      </x:c>
      <x:c r="F25" t="str">
        <x:v>Sản xuất học liệu truyền thông</x:v>
      </x:c>
      <x:c r="G25" t="str">
        <x:v>Chi phí email/SMS</x:v>
      </x:c>
      <x:c r="H25" t="str">
        <x:v>Thanh toán chi phí email/sms cho sản xuất học liệu truyền thông</x:v>
      </x:c>
      <x:c r="I25" s="12" t="n">
        <x:v>5000000</x:v>
      </x:c>
      <x:c r="J25" s="12" t="n">
        <x:f>I25*10%</x:f>
        <x:v>500000</x:v>
      </x:c>
      <x:c r="K25" s="12" t="n">
        <x:f>I25+J25</x:f>
        <x:v>5500000</x:v>
      </x:c>
      <x:c r="L25" t="str">
        <x:v>Ngân sách tuyển sinh</x:v>
      </x:c>
      <x:c r="M25" t="str">
        <x:v>Đã duyệt</x:v>
      </x:c>
      <x:c r="N25" t="str">
        <x:v>Admissions Officer</x:v>
      </x:c>
      <x:c r="O25" t="str">
        <x:v>PO-TS-4268</x:v>
      </x:c>
      <x:c r="P25" t="str"/>
    </x:row>
    <x:row r="26">
      <x:c r="A26" t="str">
        <x:v>DN-TS-2026-025</x:v>
      </x:c>
      <x:c r="B26" s="16" t="n">
        <x:v>46048</x:v>
      </x:c>
      <x:c r="C26" t="str">
        <x:v>Q1</x:v>
      </x:c>
      <x:c r="D26" t="str">
        <x:v>2026-01</x:v>
      </x:c>
      <x:c r="E26" t="str">
        <x:v>Công ty Quà tặng ABC</x:v>
      </x:c>
      <x:c r="F26" t="str">
        <x:v>Học bổng tuyển sinh</x:v>
      </x:c>
      <x:c r="G26" t="str">
        <x:v>Quà tặng thí sinh</x:v>
      </x:c>
      <x:c r="H26" t="str">
        <x:v>Thanh toán quà tặng thí sinh cho học bổng tuyển sinh</x:v>
      </x:c>
      <x:c r="I26" s="12" t="n">
        <x:v>20000000</x:v>
      </x:c>
      <x:c r="J26" s="12" t="n">
        <x:f>I26*10%</x:f>
        <x:v>2000000</x:v>
      </x:c>
      <x:c r="K26" s="12" t="n">
        <x:f>I26+J26</x:f>
        <x:v>22000000</x:v>
      </x:c>
      <x:c r="L26" t="str">
        <x:v>Quỹ học bổng</x:v>
      </x:c>
      <x:c r="M26" t="str">
        <x:v>Đã duyệt</x:v>
      </x:c>
      <x:c r="N26" t="str">
        <x:v>Admissions Manager</x:v>
      </x:c>
      <x:c r="O26" t="str">
        <x:v>PO-TS-5687</x:v>
      </x:c>
      <x:c r="P26" t="str"/>
    </x:row>
    <x:row r="27">
      <x:c r="A27" t="str">
        <x:v>DN-TS-2026-026</x:v>
      </x:c>
      <x:c r="B27" s="16" t="n">
        <x:v>46209</x:v>
      </x:c>
      <x:c r="C27" t="str">
        <x:v>Q3</x:v>
      </x:c>
      <x:c r="D27" t="str">
        <x:v>2026-07</x:v>
      </x:c>
      <x:c r="E27" t="str">
        <x:v>Công ty In ấn Minh Long</x:v>
      </x:c>
      <x:c r="F27" t="str">
        <x:v>Ngày hội tuyển sinh</x:v>
      </x:c>
      <x:c r="G27" t="str">
        <x:v>Tổ chức booth tư vấn</x:v>
      </x:c>
      <x:c r="H27" t="str">
        <x:v>Thanh toán tổ chức booth tư vấn cho ngày hội tuyển sinh</x:v>
      </x:c>
      <x:c r="I27" s="12" t="n">
        <x:v>3000000</x:v>
      </x:c>
      <x:c r="J27" s="12" t="n">
        <x:f>I27*10%</x:f>
        <x:v>300000</x:v>
      </x:c>
      <x:c r="K27" s="12" t="n">
        <x:f>I27+J27</x:f>
        <x:v>3300000</x:v>
      </x:c>
      <x:c r="L27" t="str">
        <x:v>Ngân sách tuyển sinh</x:v>
      </x:c>
      <x:c r="M27" t="str">
        <x:v>Đã thanh toán</x:v>
      </x:c>
      <x:c r="N27" t="str">
        <x:v>Event Coordinator</x:v>
      </x:c>
      <x:c r="O27" t="str">
        <x:v>PO-TS-7553</x:v>
      </x:c>
      <x:c r="P27" t="str"/>
    </x:row>
    <x:row r="28">
      <x:c r="A28" t="str">
        <x:v>DN-TS-2026-027</x:v>
      </x:c>
      <x:c r="B28" s="16" t="n">
        <x:v>46252</x:v>
      </x:c>
      <x:c r="C28" t="str">
        <x:v>Q3</x:v>
      </x:c>
      <x:c r="D28" t="str">
        <x:v>2026-08</x:v>
      </x:c>
      <x:c r="E28" t="str">
        <x:v>Trung tâm Hội nghị Quốc gia</x:v>
      </x:c>
      <x:c r="F28" t="str">
        <x:v>Sự kiện phụ huynh</x:v>
      </x:c>
      <x:c r="G28" t="str">
        <x:v>Sản xuất video tuyển sinh</x:v>
      </x:c>
      <x:c r="H28" t="str">
        <x:v>Thanh toán sản xuất video tuyển sinh cho sự kiện phụ huynh</x:v>
      </x:c>
      <x:c r="I28" s="12" t="n">
        <x:v>30000000</x:v>
      </x:c>
      <x:c r="J28" s="12" t="n">
        <x:f>I28*10%</x:f>
        <x:v>3000000</x:v>
      </x:c>
      <x:c r="K28" s="12" t="n">
        <x:f>I28+J28</x:f>
        <x:v>33000000</x:v>
      </x:c>
      <x:c r="L28" t="str">
        <x:v>Quỹ học bổng</x:v>
      </x:c>
      <x:c r="M28" t="str">
        <x:v>Đã duyệt</x:v>
      </x:c>
      <x:c r="N28" t="str">
        <x:v>Scholarship Officer</x:v>
      </x:c>
      <x:c r="O28" t="str">
        <x:v>PO-TS-5369</x:v>
      </x:c>
      <x:c r="P28" t="str"/>
    </x:row>
    <x:row r="29">
      <x:c r="A29" t="str">
        <x:v>DN-TS-2026-028</x:v>
      </x:c>
      <x:c r="B29" s="16" t="n">
        <x:v>46069</x:v>
      </x:c>
      <x:c r="C29" t="str">
        <x:v>Q1</x:v>
      </x:c>
      <x:c r="D29" t="str">
        <x:v>2026-02</x:v>
      </x:c>
      <x:c r="E29" t="str">
        <x:v>Công ty Sản xuất Video FrameX</x:v>
      </x:c>
      <x:c r="F29" t="str">
        <x:v>Tư vấn tuyển sinh THPT</x:v>
      </x:c>
      <x:c r="G29" t="str">
        <x:v>Chi phí đi lại công tác</x:v>
      </x:c>
      <x:c r="H29" t="str">
        <x:v>Thanh toán chi phí đi lại công tác cho tư vấn tuyển sinh thpt</x:v>
      </x:c>
      <x:c r="I29" s="12" t="n">
        <x:v>30000000</x:v>
      </x:c>
      <x:c r="J29" s="12" t="n">
        <x:f>I29*10%</x:f>
        <x:v>3000000</x:v>
      </x:c>
      <x:c r="K29" s="12" t="n">
        <x:f>I29+J29</x:f>
        <x:v>33000000</x:v>
      </x:c>
      <x:c r="L29" t="str">
        <x:v>Ngân sách truyền thông</x:v>
      </x:c>
      <x:c r="M29" t="str">
        <x:v>Đã thanh toán</x:v>
      </x:c>
      <x:c r="N29" t="str">
        <x:v>Digital Lead</x:v>
      </x:c>
      <x:c r="O29" t="str">
        <x:v>PO-TS-2680</x:v>
      </x:c>
      <x:c r="P29" t="str"/>
    </x:row>
    <x:row r="30">
      <x:c r="A30" t="str">
        <x:v>DN-TS-2026-029</x:v>
      </x:c>
      <x:c r="B30" s="16" t="n">
        <x:v>46067</x:v>
      </x:c>
      <x:c r="C30" t="str">
        <x:v>Q1</x:v>
      </x:c>
      <x:c r="D30" t="str">
        <x:v>2026-02</x:v>
      </x:c>
      <x:c r="E30" t="str">
        <x:v>Công ty In ấn Minh Long</x:v>
      </x:c>
      <x:c r="F30" t="str">
        <x:v>Ngày hội tuyển sinh</x:v>
      </x:c>
      <x:c r="G30" t="str">
        <x:v>In ấn brochure</x:v>
      </x:c>
      <x:c r="H30" t="str">
        <x:v>Thanh toán in ấn brochure cho ngày hội tuyển sinh</x:v>
      </x:c>
      <x:c r="I30" s="12" t="n">
        <x:v>20000000</x:v>
      </x:c>
      <x:c r="J30" s="12" t="n">
        <x:f>I30*10%</x:f>
        <x:v>2000000</x:v>
      </x:c>
      <x:c r="K30" s="12" t="n">
        <x:f>I30+J30</x:f>
        <x:v>22000000</x:v>
      </x:c>
      <x:c r="L30" t="str">
        <x:v>Quỹ học bổng</x:v>
      </x:c>
      <x:c r="M30" t="str">
        <x:v>Đã thanh toán</x:v>
      </x:c>
      <x:c r="N30" t="str">
        <x:v>Event Coordinator</x:v>
      </x:c>
      <x:c r="O30" t="str">
        <x:v>PO-TS-3730</x:v>
      </x:c>
      <x:c r="P30" t="str"/>
    </x:row>
    <x:row r="31">
      <x:c r="A31" t="str">
        <x:v>DN-TS-2026-030</x:v>
      </x:c>
      <x:c r="B31" s="16" t="n">
        <x:v>46254</x:v>
      </x:c>
      <x:c r="C31" t="str">
        <x:v>Q3</x:v>
      </x:c>
      <x:c r="D31" t="str">
        <x:v>2026-08</x:v>
      </x:c>
      <x:c r="E31" t="str">
        <x:v>Công ty Thiết kế Web Nova</x:v>
      </x:c>
      <x:c r="F31" t="str">
        <x:v>International Recruitment</x:v>
      </x:c>
      <x:c r="G31" t="str">
        <x:v>Quảng cáo Facebook/Instagram</x:v>
      </x:c>
      <x:c r="H31" t="str">
        <x:v>Thanh toán quảng cáo facebook/instagram cho international recruitment</x:v>
      </x:c>
      <x:c r="I31" s="12" t="n">
        <x:v>20000000</x:v>
      </x:c>
      <x:c r="J31" s="12" t="n">
        <x:f>I31*10%</x:f>
        <x:v>2000000</x:v>
      </x:c>
      <x:c r="K31" s="12" t="n">
        <x:f>I31+J31</x:f>
        <x:v>22000000</x:v>
      </x:c>
      <x:c r="L31" t="str">
        <x:v>Tài trợ đối tác</x:v>
      </x:c>
      <x:c r="M31" t="str">
        <x:v>Đã thanh toán</x:v>
      </x:c>
      <x:c r="N31" t="str">
        <x:v>Event Coordinator</x:v>
      </x:c>
      <x:c r="O31" t="str">
        <x:v>PO-TS-5498</x:v>
      </x:c>
      <x:c r="P31" t="str"/>
    </x:row>
    <x:row r="32">
      <x:c r="A32" t="str">
        <x:v>DN-TS-2026-031</x:v>
      </x:c>
      <x:c r="B32" s="16" t="n">
        <x:v>46354</x:v>
      </x:c>
      <x:c r="C32" t="str">
        <x:v>Q4</x:v>
      </x:c>
      <x:c r="D32" t="str">
        <x:v>2026-11</x:v>
      </x:c>
      <x:c r="E32" t="str">
        <x:v>Nhà cung cấp Email/SMS EduConnect</x:v>
      </x:c>
      <x:c r="F32" t="str">
        <x:v>Tư vấn tuyển sinh THPT</x:v>
      </x:c>
      <x:c r="G32" t="str">
        <x:v>Phần mềm CRM</x:v>
      </x:c>
      <x:c r="H32" t="str">
        <x:v>Thanh toán phần mềm crm cho tư vấn tuyển sinh thpt</x:v>
      </x:c>
      <x:c r="I32" s="12" t="n">
        <x:v>3000000</x:v>
      </x:c>
      <x:c r="J32" s="12" t="n">
        <x:f>I32*10%</x:f>
        <x:v>300000</x:v>
      </x:c>
      <x:c r="K32" s="12" t="n">
        <x:f>I32+J32</x:f>
        <x:v>3300000</x:v>
      </x:c>
      <x:c r="L32" t="str">
        <x:v>Quỹ học bổng</x:v>
      </x:c>
      <x:c r="M32" t="str">
        <x:v>Đã duyệt</x:v>
      </x:c>
      <x:c r="N32" t="str">
        <x:v>Admissions Manager</x:v>
      </x:c>
      <x:c r="O32" t="str">
        <x:v>PO-TS-1510</x:v>
      </x:c>
      <x:c r="P32" t="str"/>
    </x:row>
    <x:row r="33">
      <x:c r="A33" t="str">
        <x:v>DN-TS-2026-032</x:v>
      </x:c>
      <x:c r="B33" s="16" t="n">
        <x:v>46100</x:v>
      </x:c>
      <x:c r="C33" t="str">
        <x:v>Q1</x:v>
      </x:c>
      <x:c r="D33" t="str">
        <x:v>2026-03</x:v>
      </x:c>
      <x:c r="E33" t="str">
        <x:v>Trung tâm Hội nghị Quốc gia</x:v>
      </x:c>
      <x:c r="F33" t="str">
        <x:v>Ngày hội tuyển sinh</x:v>
      </x:c>
      <x:c r="G33" t="str">
        <x:v>Chi phí email/SMS</x:v>
      </x:c>
      <x:c r="H33" t="str">
        <x:v>Thanh toán chi phí email/sms cho ngày hội tuyển sinh</x:v>
      </x:c>
      <x:c r="I33" s="12" t="n">
        <x:v>100000000</x:v>
      </x:c>
      <x:c r="J33" s="12" t="n">
        <x:f>I33*10%</x:f>
        <x:v>10000000</x:v>
      </x:c>
      <x:c r="K33" s="12" t="n">
        <x:f>I33+J33</x:f>
        <x:v>110000000</x:v>
      </x:c>
      <x:c r="L33" t="str">
        <x:v>Ngân sách tuyển sinh</x:v>
      </x:c>
      <x:c r="M33" t="str">
        <x:v>Chờ duyệt</x:v>
      </x:c>
      <x:c r="N33" t="str">
        <x:v>Admissions Manager</x:v>
      </x:c>
      <x:c r="O33" t="str">
        <x:v>PO-TS-7001</x:v>
      </x:c>
      <x:c r="P33" t="str"/>
    </x:row>
    <x:row r="34">
      <x:c r="A34" t="str">
        <x:v>DN-TS-2026-033</x:v>
      </x:c>
      <x:c r="B34" s="16" t="n">
        <x:v>46212</x:v>
      </x:c>
      <x:c r="C34" t="str">
        <x:v>Q3</x:v>
      </x:c>
      <x:c r="D34" t="str">
        <x:v>2026-07</x:v>
      </x:c>
      <x:c r="E34" t="str">
        <x:v>Công ty Sản xuất Video FrameX</x:v>
      </x:c>
      <x:c r="F34" t="str">
        <x:v>Đào tạo cộng tác viên tuyển sinh</x:v>
      </x:c>
      <x:c r="G34" t="str">
        <x:v>Quảng cáo Facebook/Instagram</x:v>
      </x:c>
      <x:c r="H34" t="str">
        <x:v>Thanh toán quảng cáo facebook/instagram cho đào tạo cộng tác viên tuyển sinh</x:v>
      </x:c>
      <x:c r="I34" s="12" t="n">
        <x:v>30000000</x:v>
      </x:c>
      <x:c r="J34" s="12" t="n">
        <x:f>I34*10%</x:f>
        <x:v>3000000</x:v>
      </x:c>
      <x:c r="K34" s="12" t="n">
        <x:f>I34+J34</x:f>
        <x:v>33000000</x:v>
      </x:c>
      <x:c r="L34" t="str">
        <x:v>Ngân sách truyền thông</x:v>
      </x:c>
      <x:c r="M34" t="str">
        <x:v>Đã thanh toán</x:v>
      </x:c>
      <x:c r="N34" t="str">
        <x:v>Digital Lead</x:v>
      </x:c>
      <x:c r="O34" t="str">
        <x:v>PO-TS-7095</x:v>
      </x:c>
      <x:c r="P34" t="str"/>
    </x:row>
    <x:row r="35">
      <x:c r="A35" t="str">
        <x:v>DN-TS-2026-034</x:v>
      </x:c>
      <x:c r="B35" s="16" t="n">
        <x:v>46254</x:v>
      </x:c>
      <x:c r="C35" t="str">
        <x:v>Q3</x:v>
      </x:c>
      <x:c r="D35" t="str">
        <x:v>2026-08</x:v>
      </x:c>
      <x:c r="E35" t="str">
        <x:v>Dịch vụ Logistics Thành Công</x:v>
      </x:c>
      <x:c r="F35" t="str">
        <x:v>Đào tạo cộng tác viên tuyển sinh</x:v>
      </x:c>
      <x:c r="G35" t="str">
        <x:v>Sản xuất video tuyển sinh</x:v>
      </x:c>
      <x:c r="H35" t="str">
        <x:v>Thanh toán sản xuất video tuyển sinh cho đào tạo cộng tác viên tuyển sinh</x:v>
      </x:c>
      <x:c r="I35" s="12" t="n">
        <x:v>5000000</x:v>
      </x:c>
      <x:c r="J35" s="12" t="n">
        <x:f>I35*10%</x:f>
        <x:v>500000</x:v>
      </x:c>
      <x:c r="K35" s="12" t="n">
        <x:f>I35+J35</x:f>
        <x:v>5500000</x:v>
      </x:c>
      <x:c r="L35" t="str">
        <x:v>Tài trợ đối tác</x:v>
      </x:c>
      <x:c r="M35" t="str">
        <x:v>Đã duyệt</x:v>
      </x:c>
      <x:c r="N35" t="str">
        <x:v>Digital Lead</x:v>
      </x:c>
      <x:c r="O35" t="str">
        <x:v>PO-TS-5089</x:v>
      </x:c>
      <x:c r="P35" t="str"/>
    </x:row>
    <x:row r="36">
      <x:c r="A36" t="str">
        <x:v>DN-TS-2026-035</x:v>
      </x:c>
      <x:c r="B36" s="16" t="n">
        <x:v>46085</x:v>
      </x:c>
      <x:c r="C36" t="str">
        <x:v>Q1</x:v>
      </x:c>
      <x:c r="D36" t="str">
        <x:v>2026-03</x:v>
      </x:c>
      <x:c r="E36" t="str">
        <x:v>Trung tâm Hội nghị Quốc gia</x:v>
      </x:c>
      <x:c r="F36" t="str">
        <x:v>Sản xuất học liệu truyền thông</x:v>
      </x:c>
      <x:c r="G36" t="str">
        <x:v>Sản xuất video tuyển sinh</x:v>
      </x:c>
      <x:c r="H36" t="str">
        <x:v>Thanh toán sản xuất video tuyển sinh cho sản xuất học liệu truyền thông</x:v>
      </x:c>
      <x:c r="I36" s="12" t="n">
        <x:v>3000000</x:v>
      </x:c>
      <x:c r="J36" s="12" t="n">
        <x:f>I36*10%</x:f>
        <x:v>300000</x:v>
      </x:c>
      <x:c r="K36" s="12" t="n">
        <x:f>I36+J36</x:f>
        <x:v>3300000</x:v>
      </x:c>
      <x:c r="L36" t="str">
        <x:v>Quỹ học bổng</x:v>
      </x:c>
      <x:c r="M36" t="str">
        <x:v>Cần bổ sung hồ sơ</x:v>
      </x:c>
      <x:c r="N36" t="str">
        <x:v>Admissions Officer</x:v>
      </x:c>
      <x:c r="O36" t="str">
        <x:v>PO-TS-5288</x:v>
      </x:c>
      <x:c r="P36" t="str"/>
    </x:row>
    <x:row r="37">
      <x:c r="A37" t="str">
        <x:v>DN-TS-2026-036</x:v>
      </x:c>
      <x:c r="B37" s="16" t="n">
        <x:v>46160</x:v>
      </x:c>
      <x:c r="C37" t="str">
        <x:v>Q2</x:v>
      </x:c>
      <x:c r="D37" t="str">
        <x:v>2026-05</x:v>
      </x:c>
      <x:c r="E37" t="str">
        <x:v>Công ty In ấn Minh Long</x:v>
      </x:c>
      <x:c r="F37" t="str">
        <x:v>Digital Admission Campaign</x:v>
      </x:c>
      <x:c r="G37" t="str">
        <x:v>Chi phí diễn giả</x:v>
      </x:c>
      <x:c r="H37" t="str">
        <x:v>Thanh toán chi phí diễn giả cho digital admission campaign</x:v>
      </x:c>
      <x:c r="I37" s="12" t="n">
        <x:v>50000000</x:v>
      </x:c>
      <x:c r="J37" s="12" t="n">
        <x:f>I37*10%</x:f>
        <x:v>5000000</x:v>
      </x:c>
      <x:c r="K37" s="12" t="n">
        <x:f>I37+J37</x:f>
        <x:v>55000000</x:v>
      </x:c>
      <x:c r="L37" t="str">
        <x:v>Quỹ học bổng</x:v>
      </x:c>
      <x:c r="M37" t="str">
        <x:v>Đã duyệt</x:v>
      </x:c>
      <x:c r="N37" t="str">
        <x:v>Admissions Manager</x:v>
      </x:c>
      <x:c r="O37" t="str">
        <x:v>PO-TS-2213</x:v>
      </x:c>
      <x:c r="P37" t="str"/>
    </x:row>
    <x:row r="38">
      <x:c r="A38" t="str">
        <x:v>DN-TS-2026-037</x:v>
      </x:c>
      <x:c r="B38" s="16" t="n">
        <x:v>46258</x:v>
      </x:c>
      <x:c r="C38" t="str">
        <x:v>Q3</x:v>
      </x:c>
      <x:c r="D38" t="str">
        <x:v>2026-08</x:v>
      </x:c>
      <x:c r="E38" t="str">
        <x:v>Meta Ads Vietnam</x:v>
      </x:c>
      <x:c r="F38" t="str">
        <x:v>Sản xuất học liệu truyền thông</x:v>
      </x:c>
      <x:c r="G38" t="str">
        <x:v>Thuê địa điểm sự kiện</x:v>
      </x:c>
      <x:c r="H38" t="str">
        <x:v>Thanh toán thuê địa điểm sự kiện cho sản xuất học liệu truyền thông</x:v>
      </x:c>
      <x:c r="I38" s="12" t="n">
        <x:v>8000000</x:v>
      </x:c>
      <x:c r="J38" s="12" t="n">
        <x:f>I38*10%</x:f>
        <x:v>800000</x:v>
      </x:c>
      <x:c r="K38" s="12" t="n">
        <x:f>I38+J38</x:f>
        <x:v>8800000</x:v>
      </x:c>
      <x:c r="L38" t="str">
        <x:v>Tài trợ đối tác</x:v>
      </x:c>
      <x:c r="M38" t="str">
        <x:v>Đã thanh toán</x:v>
      </x:c>
      <x:c r="N38" t="str">
        <x:v>Admissions Officer</x:v>
      </x:c>
      <x:c r="O38" t="str">
        <x:v>PO-TS-9882</x:v>
      </x:c>
      <x:c r="P38" t="str"/>
    </x:row>
    <x:row r="39">
      <x:c r="A39" t="str">
        <x:v>DN-TS-2026-038</x:v>
      </x:c>
      <x:c r="B39" s="16" t="n">
        <x:v>46175</x:v>
      </x:c>
      <x:c r="C39" t="str">
        <x:v>Q2</x:v>
      </x:c>
      <x:c r="D39" t="str">
        <x:v>2026-06</x:v>
      </x:c>
      <x:c r="E39" t="str">
        <x:v>Công ty Thiết kế Web Nova</x:v>
      </x:c>
      <x:c r="F39" t="str">
        <x:v>Open Day / Campus Tour</x:v>
      </x:c>
      <x:c r="G39" t="str">
        <x:v>Học bổng đầu vào</x:v>
      </x:c>
      <x:c r="H39" t="str">
        <x:v>Thanh toán học bổng đầu vào cho open day / campus tour</x:v>
      </x:c>
      <x:c r="I39" s="12" t="n">
        <x:v>15000000</x:v>
      </x:c>
      <x:c r="J39" s="12" t="n">
        <x:f>I39*10%</x:f>
        <x:v>1500000</x:v>
      </x:c>
      <x:c r="K39" s="12" t="n">
        <x:f>I39+J39</x:f>
        <x:v>16500000</x:v>
      </x:c>
      <x:c r="L39" t="str">
        <x:v>Ngân sách truyền thông</x:v>
      </x:c>
      <x:c r="M39" t="str">
        <x:v>Đã thanh toán</x:v>
      </x:c>
      <x:c r="N39" t="str">
        <x:v>Scholarship Officer</x:v>
      </x:c>
      <x:c r="O39" t="str">
        <x:v>PO-TS-4673</x:v>
      </x:c>
      <x:c r="P39" t="str"/>
    </x:row>
    <x:row r="40">
      <x:c r="A40" t="str">
        <x:v>DN-TS-2026-039</x:v>
      </x:c>
      <x:c r="B40" s="16" t="n">
        <x:v>46089</x:v>
      </x:c>
      <x:c r="C40" t="str">
        <x:v>Q1</x:v>
      </x:c>
      <x:c r="D40" t="str">
        <x:v>2026-03</x:v>
      </x:c>
      <x:c r="E40" t="str">
        <x:v>Trường THPT đối tác</x:v>
      </x:c>
      <x:c r="F40" t="str">
        <x:v>Open Day / Campus Tour</x:v>
      </x:c>
      <x:c r="G40" t="str">
        <x:v>Thiết kế landing page</x:v>
      </x:c>
      <x:c r="H40" t="str">
        <x:v>Thanh toán thiết kế landing page cho open day / campus tour</x:v>
      </x:c>
      <x:c r="I40" s="12" t="n">
        <x:v>12000000</x:v>
      </x:c>
      <x:c r="J40" s="12" t="n">
        <x:f>I40*10%</x:f>
        <x:v>1200000</x:v>
      </x:c>
      <x:c r="K40" s="12" t="n">
        <x:f>I40+J40</x:f>
        <x:v>13200000</x:v>
      </x:c>
      <x:c r="L40" t="str">
        <x:v>Quỹ học bổng</x:v>
      </x:c>
      <x:c r="M40" t="str">
        <x:v>Chờ duyệt</x:v>
      </x:c>
      <x:c r="N40" t="str">
        <x:v>Scholarship Officer</x:v>
      </x:c>
      <x:c r="O40" t="str">
        <x:v>PO-TS-7044</x:v>
      </x:c>
      <x:c r="P40" t="str"/>
    </x:row>
    <x:row r="41">
      <x:c r="A41" t="str">
        <x:v>DN-TS-2026-040</x:v>
      </x:c>
      <x:c r="B41" s="16" t="n">
        <x:v>46266</x:v>
      </x:c>
      <x:c r="C41" t="str">
        <x:v>Q3</x:v>
      </x:c>
      <x:c r="D41" t="str">
        <x:v>2026-09</x:v>
      </x:c>
      <x:c r="E41" t="str">
        <x:v>Meta Ads Vietnam</x:v>
      </x:c>
      <x:c r="F41" t="str">
        <x:v>Open Day / Campus Tour</x:v>
      </x:c>
      <x:c r="G41" t="str">
        <x:v>Chi phí diễn giả</x:v>
      </x:c>
      <x:c r="H41" t="str">
        <x:v>Thanh toán chi phí diễn giả cho open day / campus tour</x:v>
      </x:c>
      <x:c r="I41" s="12" t="n">
        <x:v>80000000</x:v>
      </x:c>
      <x:c r="J41" s="12" t="n">
        <x:f>I41*10%</x:f>
        <x:v>8000000</x:v>
      </x:c>
      <x:c r="K41" s="12" t="n">
        <x:f>I41+J41</x:f>
        <x:v>88000000</x:v>
      </x:c>
      <x:c r="L41" t="str">
        <x:v>Ngân sách tuyển sinh</x:v>
      </x:c>
      <x:c r="M41" t="str">
        <x:v>Đã duyệt</x:v>
      </x:c>
      <x:c r="N41" t="str">
        <x:v>Event Coordinator</x:v>
      </x:c>
      <x:c r="O41" t="str">
        <x:v>PO-TS-9612</x:v>
      </x:c>
      <x:c r="P41" t="str"/>
    </x:row>
    <x:row r="42">
      <x:c r="A42" t="str">
        <x:v>DN-TS-2026-041</x:v>
      </x:c>
      <x:c r="B42" s="16" t="n">
        <x:v>46237</x:v>
      </x:c>
      <x:c r="C42" t="str">
        <x:v>Q3</x:v>
      </x:c>
      <x:c r="D42" t="str">
        <x:v>2026-08</x:v>
      </x:c>
      <x:c r="E42" t="str">
        <x:v>Google Asia Pacific</x:v>
      </x:c>
      <x:c r="F42" t="str">
        <x:v>Đào tạo cộng tác viên tuyển sinh</x:v>
      </x:c>
      <x:c r="G42" t="str">
        <x:v>Quảng cáo Google Search</x:v>
      </x:c>
      <x:c r="H42" t="str">
        <x:v>Thanh toán quảng cáo google search cho đào tạo cộng tác viên tuyển sinh</x:v>
      </x:c>
      <x:c r="I42" s="12" t="n">
        <x:v>30000000</x:v>
      </x:c>
      <x:c r="J42" s="12" t="n">
        <x:f>I42*10%</x:f>
        <x:v>3000000</x:v>
      </x:c>
      <x:c r="K42" s="12" t="n">
        <x:f>I42+J42</x:f>
        <x:v>33000000</x:v>
      </x:c>
      <x:c r="L42" t="str">
        <x:v>Tài trợ đối tác</x:v>
      </x:c>
      <x:c r="M42" t="str">
        <x:v>Đã thanh toán</x:v>
      </x:c>
      <x:c r="N42" t="str">
        <x:v>Event Coordinator</x:v>
      </x:c>
      <x:c r="O42" t="str">
        <x:v>PO-TS-8632</x:v>
      </x:c>
      <x:c r="P42" t="str"/>
    </x:row>
    <x:row r="43">
      <x:c r="A43" t="str">
        <x:v>DN-TS-2026-042</x:v>
      </x:c>
      <x:c r="B43" s="16" t="n">
        <x:v>46375</x:v>
      </x:c>
      <x:c r="C43" t="str">
        <x:v>Q4</x:v>
      </x:c>
      <x:c r="D43" t="str">
        <x:v>2026-12</x:v>
      </x:c>
      <x:c r="E43" t="str">
        <x:v>Công ty Nghiên cứu thị trường Insight</x:v>
      </x:c>
      <x:c r="F43" t="str">
        <x:v>Sự kiện phụ huynh</x:v>
      </x:c>
      <x:c r="G43" t="str">
        <x:v>Sản xuất video tuyển sinh</x:v>
      </x:c>
      <x:c r="H43" t="str">
        <x:v>Thanh toán sản xuất video tuyển sinh cho sự kiện phụ huynh</x:v>
      </x:c>
      <x:c r="I43" s="12" t="n">
        <x:v>80000000</x:v>
      </x:c>
      <x:c r="J43" s="12" t="n">
        <x:f>I43*10%</x:f>
        <x:v>8000000</x:v>
      </x:c>
      <x:c r="K43" s="12" t="n">
        <x:f>I43+J43</x:f>
        <x:v>88000000</x:v>
      </x:c>
      <x:c r="L43" t="str">
        <x:v>Ngân sách truyền thông</x:v>
      </x:c>
      <x:c r="M43" t="str">
        <x:v>Đã thanh toán</x:v>
      </x:c>
      <x:c r="N43" t="str">
        <x:v>Admissions Manager</x:v>
      </x:c>
      <x:c r="O43" t="str">
        <x:v>PO-TS-8088</x:v>
      </x:c>
      <x:c r="P43" t="str"/>
    </x:row>
    <x:row r="44">
      <x:c r="A44" t="str">
        <x:v>DN-TS-2026-043</x:v>
      </x:c>
      <x:c r="B44" s="16" t="n">
        <x:v>46284</x:v>
      </x:c>
      <x:c r="C44" t="str">
        <x:v>Q3</x:v>
      </x:c>
      <x:c r="D44" t="str">
        <x:v>2026-09</x:v>
      </x:c>
      <x:c r="E44" t="str">
        <x:v>Google Asia Pacific</x:v>
      </x:c>
      <x:c r="F44" t="str">
        <x:v>Tư vấn tuyển sinh THPT</x:v>
      </x:c>
      <x:c r="G44" t="str">
        <x:v>Quà tặng thí sinh</x:v>
      </x:c>
      <x:c r="H44" t="str">
        <x:v>Thanh toán quà tặng thí sinh cho tư vấn tuyển sinh thpt</x:v>
      </x:c>
      <x:c r="I44" s="12" t="n">
        <x:v>3000000</x:v>
      </x:c>
      <x:c r="J44" s="12" t="n">
        <x:f>I44*10%</x:f>
        <x:v>300000</x:v>
      </x:c>
      <x:c r="K44" s="12" t="n">
        <x:f>I44+J44</x:f>
        <x:v>3300000</x:v>
      </x:c>
      <x:c r="L44" t="str">
        <x:v>Tài trợ đối tác</x:v>
      </x:c>
      <x:c r="M44" t="str">
        <x:v>Đã duyệt</x:v>
      </x:c>
      <x:c r="N44" t="str">
        <x:v>Digital Lead</x:v>
      </x:c>
      <x:c r="O44" t="str">
        <x:v>PO-TS-4694</x:v>
      </x:c>
      <x:c r="P44" t="str"/>
    </x:row>
    <x:row r="45">
      <x:c r="A45" t="str">
        <x:v>DN-TS-2026-044</x:v>
      </x:c>
      <x:c r="B45" s="16" t="n">
        <x:v>46204</x:v>
      </x:c>
      <x:c r="C45" t="str">
        <x:v>Q3</x:v>
      </x:c>
      <x:c r="D45" t="str">
        <x:v>2026-07</x:v>
      </x:c>
      <x:c r="E45" t="str">
        <x:v>Meta Ads Vietnam</x:v>
      </x:c>
      <x:c r="F45" t="str">
        <x:v>Học bổng tuyển sinh</x:v>
      </x:c>
      <x:c r="G45" t="str">
        <x:v>Đào tạo nhân sự</x:v>
      </x:c>
      <x:c r="H45" t="str">
        <x:v>Thanh toán đào tạo nhân sự cho học bổng tuyển sinh</x:v>
      </x:c>
      <x:c r="I45" s="12" t="n">
        <x:v>80000000</x:v>
      </x:c>
      <x:c r="J45" s="12" t="n">
        <x:f>I45*10%</x:f>
        <x:v>8000000</x:v>
      </x:c>
      <x:c r="K45" s="12" t="n">
        <x:f>I45+J45</x:f>
        <x:v>88000000</x:v>
      </x:c>
      <x:c r="L45" t="str">
        <x:v>Tài trợ đối tác</x:v>
      </x:c>
      <x:c r="M45" t="str">
        <x:v>Đã duyệt</x:v>
      </x:c>
      <x:c r="N45" t="str">
        <x:v>Scholarship Officer</x:v>
      </x:c>
      <x:c r="O45" t="str">
        <x:v>PO-TS-5496</x:v>
      </x:c>
      <x:c r="P45" t="str"/>
    </x:row>
    <x:row r="46">
      <x:c r="A46" t="str">
        <x:v>DN-TS-2026-045</x:v>
      </x:c>
      <x:c r="B46" s="16" t="n">
        <x:v>46091</x:v>
      </x:c>
      <x:c r="C46" t="str">
        <x:v>Q1</x:v>
      </x:c>
      <x:c r="D46" t="str">
        <x:v>2026-03</x:v>
      </x:c>
      <x:c r="E46" t="str">
        <x:v>Dịch vụ Logistics Thành Công</x:v>
      </x:c>
      <x:c r="F46" t="str">
        <x:v>Học bổng tuyển sinh</x:v>
      </x:c>
      <x:c r="G46" t="str">
        <x:v>Chi phí diễn giả</x:v>
      </x:c>
      <x:c r="H46" t="str">
        <x:v>Thanh toán chi phí diễn giả cho học bổng tuyển sinh</x:v>
      </x:c>
      <x:c r="I46" s="12" t="n">
        <x:v>150000000</x:v>
      </x:c>
      <x:c r="J46" s="12" t="n">
        <x:f>I46*10%</x:f>
        <x:v>15000000</x:v>
      </x:c>
      <x:c r="K46" s="12" t="n">
        <x:f>I46+J46</x:f>
        <x:v>165000000</x:v>
      </x:c>
      <x:c r="L46" t="str">
        <x:v>Ngân sách tuyển sinh</x:v>
      </x:c>
      <x:c r="M46" t="str">
        <x:v>Đã thanh toán</x:v>
      </x:c>
      <x:c r="N46" t="str">
        <x:v>Admissions Manager</x:v>
      </x:c>
      <x:c r="O46" t="str">
        <x:v>PO-TS-3526</x:v>
      </x:c>
      <x:c r="P46" t="str"/>
    </x:row>
    <x:row r="47">
      <x:c r="A47" t="str">
        <x:v>DN-TS-2026-046</x:v>
      </x:c>
      <x:c r="B47" s="16" t="n">
        <x:v>46114</x:v>
      </x:c>
      <x:c r="C47" t="str">
        <x:v>Q2</x:v>
      </x:c>
      <x:c r="D47" t="str">
        <x:v>2026-04</x:v>
      </x:c>
      <x:c r="E47" t="str">
        <x:v>Công ty Sản xuất Video FrameX</x:v>
      </x:c>
      <x:c r="F47" t="str">
        <x:v>Đào tạo cộng tác viên tuyển sinh</x:v>
      </x:c>
      <x:c r="G47" t="str">
        <x:v>Học bổng đầu vào</x:v>
      </x:c>
      <x:c r="H47" t="str">
        <x:v>Thanh toán học bổng đầu vào cho đào tạo cộng tác viên tuyển sinh</x:v>
      </x:c>
      <x:c r="I47" s="12" t="n">
        <x:v>150000000</x:v>
      </x:c>
      <x:c r="J47" s="12" t="n">
        <x:f>I47*10%</x:f>
        <x:v>15000000</x:v>
      </x:c>
      <x:c r="K47" s="12" t="n">
        <x:f>I47+J47</x:f>
        <x:v>165000000</x:v>
      </x:c>
      <x:c r="L47" t="str">
        <x:v>Tài trợ đối tác</x:v>
      </x:c>
      <x:c r="M47" t="str">
        <x:v>Đã thanh toán</x:v>
      </x:c>
      <x:c r="N47" t="str">
        <x:v>Scholarship Officer</x:v>
      </x:c>
      <x:c r="O47" t="str">
        <x:v>PO-TS-1674</x:v>
      </x:c>
      <x:c r="P47" t="str"/>
    </x:row>
    <x:row r="48">
      <x:c r="A48" t="str">
        <x:v>DN-TS-2026-047</x:v>
      </x:c>
      <x:c r="B48" s="16" t="n">
        <x:v>46041</x:v>
      </x:c>
      <x:c r="C48" t="str">
        <x:v>Q1</x:v>
      </x:c>
      <x:c r="D48" t="str">
        <x:v>2026-01</x:v>
      </x:c>
      <x:c r="E48" t="str">
        <x:v>Trường THPT đối tác</x:v>
      </x:c>
      <x:c r="F48" t="str">
        <x:v>Tuyển sinh đại học chính quy</x:v>
      </x:c>
      <x:c r="G48" t="str">
        <x:v>Phần mềm CRM</x:v>
      </x:c>
      <x:c r="H48" t="str">
        <x:v>Thanh toán phần mềm crm cho tuyển sinh đại học chính quy</x:v>
      </x:c>
      <x:c r="I48" s="12" t="n">
        <x:v>5000000</x:v>
      </x:c>
      <x:c r="J48" s="12" t="n">
        <x:f>I48*10%</x:f>
        <x:v>500000</x:v>
      </x:c>
      <x:c r="K48" s="12" t="n">
        <x:f>I48+J48</x:f>
        <x:v>5500000</x:v>
      </x:c>
      <x:c r="L48" t="str">
        <x:v>Tài trợ đối tác</x:v>
      </x:c>
      <x:c r="M48" t="str">
        <x:v>Đã thanh toán</x:v>
      </x:c>
      <x:c r="N48" t="str">
        <x:v>Scholarship Officer</x:v>
      </x:c>
      <x:c r="O48" t="str">
        <x:v>PO-TS-7825</x:v>
      </x:c>
      <x:c r="P48" t="str"/>
    </x:row>
    <x:row r="49">
      <x:c r="A49" t="str">
        <x:v>DN-TS-2026-048</x:v>
      </x:c>
      <x:c r="B49" s="16" t="n">
        <x:v>46343</x:v>
      </x:c>
      <x:c r="C49" t="str">
        <x:v>Q4</x:v>
      </x:c>
      <x:c r="D49" t="str">
        <x:v>2026-11</x:v>
      </x:c>
      <x:c r="E49" t="str">
        <x:v>Nhà cung cấp Email/SMS EduConnect</x:v>
      </x:c>
      <x:c r="F49" t="str">
        <x:v>Tuyển sinh đại học chính quy</x:v>
      </x:c>
      <x:c r="G49" t="str">
        <x:v>Thuê địa điểm sự kiện</x:v>
      </x:c>
      <x:c r="H49" t="str">
        <x:v>Thanh toán thuê địa điểm sự kiện cho tuyển sinh đại học chính quy</x:v>
      </x:c>
      <x:c r="I49" s="12" t="n">
        <x:v>150000000</x:v>
      </x:c>
      <x:c r="J49" s="12" t="n">
        <x:f>I49*10%</x:f>
        <x:v>15000000</x:v>
      </x:c>
      <x:c r="K49" s="12" t="n">
        <x:f>I49+J49</x:f>
        <x:v>165000000</x:v>
      </x:c>
      <x:c r="L49" t="str">
        <x:v>Tài trợ đối tác</x:v>
      </x:c>
      <x:c r="M49" t="str">
        <x:v>Đã thanh toán</x:v>
      </x:c>
      <x:c r="N49" t="str">
        <x:v>Digital Lead</x:v>
      </x:c>
      <x:c r="O49" t="str">
        <x:v>PO-TS-8912</x:v>
      </x:c>
      <x:c r="P49" t="str"/>
    </x:row>
    <x:row r="50">
      <x:c r="A50" t="str">
        <x:v>DN-TS-2026-049</x:v>
      </x:c>
      <x:c r="B50" s="16" t="n">
        <x:v>46152</x:v>
      </x:c>
      <x:c r="C50" t="str">
        <x:v>Q2</x:v>
      </x:c>
      <x:c r="D50" t="str">
        <x:v>2026-05</x:v>
      </x:c>
      <x:c r="E50" t="str">
        <x:v>Trung tâm Hội nghị Quốc gia</x:v>
      </x:c>
      <x:c r="F50" t="str">
        <x:v>Tuyển sinh sau đại học</x:v>
      </x:c>
      <x:c r="G50" t="str">
        <x:v>In ấn brochure</x:v>
      </x:c>
      <x:c r="H50" t="str">
        <x:v>Thanh toán in ấn brochure cho tuyển sinh sau đại học</x:v>
      </x:c>
      <x:c r="I50" s="12" t="n">
        <x:v>150000000</x:v>
      </x:c>
      <x:c r="J50" s="12" t="n">
        <x:f>I50*10%</x:f>
        <x:v>15000000</x:v>
      </x:c>
      <x:c r="K50" s="12" t="n">
        <x:f>I50+J50</x:f>
        <x:v>165000000</x:v>
      </x:c>
      <x:c r="L50" t="str">
        <x:v>Ngân sách tuyển sinh</x:v>
      </x:c>
      <x:c r="M50" t="str">
        <x:v>Đã thanh toán</x:v>
      </x:c>
      <x:c r="N50" t="str">
        <x:v>Admissions Manager</x:v>
      </x:c>
      <x:c r="O50" t="str">
        <x:v>PO-TS-8202</x:v>
      </x:c>
      <x:c r="P50" t="str"/>
    </x:row>
    <x:row r="51">
      <x:c r="A51" t="str">
        <x:v>DN-TS-2026-050</x:v>
      </x:c>
      <x:c r="B51" s="16" t="n">
        <x:v>46239</x:v>
      </x:c>
      <x:c r="C51" t="str">
        <x:v>Q3</x:v>
      </x:c>
      <x:c r="D51" t="str">
        <x:v>2026-08</x:v>
      </x:c>
      <x:c r="E51" t="str">
        <x:v>Nền tảng CRM EduFlow</x:v>
      </x:c>
      <x:c r="F51" t="str">
        <x:v>International Recruitment</x:v>
      </x:c>
      <x:c r="G51" t="str">
        <x:v>Thiết kế landing page</x:v>
      </x:c>
      <x:c r="H51" t="str">
        <x:v>Thanh toán thiết kế landing page cho international recruitment</x:v>
      </x:c>
      <x:c r="I51" s="12" t="n">
        <x:v>50000000</x:v>
      </x:c>
      <x:c r="J51" s="12" t="n">
        <x:f>I51*10%</x:f>
        <x:v>5000000</x:v>
      </x:c>
      <x:c r="K51" s="12" t="n">
        <x:f>I51+J51</x:f>
        <x:v>55000000</x:v>
      </x:c>
      <x:c r="L51" t="str">
        <x:v>Ngân sách truyền thông</x:v>
      </x:c>
      <x:c r="M51" t="str">
        <x:v>Đã duyệt</x:v>
      </x:c>
      <x:c r="N51" t="str">
        <x:v>Digital Lead</x:v>
      </x:c>
      <x:c r="O51" t="str">
        <x:v>PO-TS-6658</x:v>
      </x:c>
      <x:c r="P51" t="str"/>
    </x:row>
    <x:row r="52">
      <x:c r="A52" t="str">
        <x:v>DN-TS-2026-051</x:v>
      </x:c>
      <x:c r="B52" s="16" t="n">
        <x:v>46231</x:v>
      </x:c>
      <x:c r="C52" t="str">
        <x:v>Q3</x:v>
      </x:c>
      <x:c r="D52" t="str">
        <x:v>2026-07</x:v>
      </x:c>
      <x:c r="E52" t="str">
        <x:v>Dịch vụ Logistics Thành Công</x:v>
      </x:c>
      <x:c r="F52" t="str">
        <x:v>Sự kiện phụ huynh</x:v>
      </x:c>
      <x:c r="G52" t="str">
        <x:v>Quà tặng thí sinh</x:v>
      </x:c>
      <x:c r="H52" t="str">
        <x:v>Thanh toán quà tặng thí sinh cho sự kiện phụ huynh</x:v>
      </x:c>
      <x:c r="I52" s="12" t="n">
        <x:v>8000000</x:v>
      </x:c>
      <x:c r="J52" s="12" t="n">
        <x:f>I52*10%</x:f>
        <x:v>800000</x:v>
      </x:c>
      <x:c r="K52" s="12" t="n">
        <x:f>I52+J52</x:f>
        <x:v>8800000</x:v>
      </x:c>
      <x:c r="L52" t="str">
        <x:v>Ngân sách tuyển sinh</x:v>
      </x:c>
      <x:c r="M52" t="str">
        <x:v>Đã duyệt</x:v>
      </x:c>
      <x:c r="N52" t="str">
        <x:v>Event Coordinator</x:v>
      </x:c>
      <x:c r="O52" t="str">
        <x:v>PO-TS-3007</x:v>
      </x:c>
      <x:c r="P52" t="str"/>
    </x:row>
    <x:row r="53">
      <x:c r="A53" t="str">
        <x:v>DN-TS-2026-052</x:v>
      </x:c>
      <x:c r="B53" s="16" t="n">
        <x:v>46163</x:v>
      </x:c>
      <x:c r="C53" t="str">
        <x:v>Q2</x:v>
      </x:c>
      <x:c r="D53" t="str">
        <x:v>2026-05</x:v>
      </x:c>
      <x:c r="E53" t="str">
        <x:v>Meta Ads Vietnam</x:v>
      </x:c>
      <x:c r="F53" t="str">
        <x:v>Digital Admission Campaign</x:v>
      </x:c>
      <x:c r="G53" t="str">
        <x:v>Sản xuất video tuyển sinh</x:v>
      </x:c>
      <x:c r="H53" t="str">
        <x:v>Thanh toán sản xuất video tuyển sinh cho digital admission campaign</x:v>
      </x:c>
      <x:c r="I53" s="12" t="n">
        <x:v>50000000</x:v>
      </x:c>
      <x:c r="J53" s="12" t="n">
        <x:f>I53*10%</x:f>
        <x:v>5000000</x:v>
      </x:c>
      <x:c r="K53" s="12" t="n">
        <x:f>I53+J53</x:f>
        <x:v>55000000</x:v>
      </x:c>
      <x:c r="L53" t="str">
        <x:v>Ngân sách tuyển sinh</x:v>
      </x:c>
      <x:c r="M53" t="str">
        <x:v>Đã duyệt</x:v>
      </x:c>
      <x:c r="N53" t="str">
        <x:v>Event Coordinator</x:v>
      </x:c>
      <x:c r="O53" t="str">
        <x:v>PO-TS-7850</x:v>
      </x:c>
      <x:c r="P53" t="str"/>
    </x:row>
    <x:row r="54">
      <x:c r="A54" t="str">
        <x:v>DN-TS-2026-053</x:v>
      </x:c>
      <x:c r="B54" s="16" t="n">
        <x:v>46154</x:v>
      </x:c>
      <x:c r="C54" t="str">
        <x:v>Q2</x:v>
      </x:c>
      <x:c r="D54" t="str">
        <x:v>2026-05</x:v>
      </x:c>
      <x:c r="E54" t="str">
        <x:v>Công ty Sản xuất Video FrameX</x:v>
      </x:c>
      <x:c r="F54" t="str">
        <x:v>Sự kiện phụ huynh</x:v>
      </x:c>
      <x:c r="G54" t="str">
        <x:v>Livestream tư vấn</x:v>
      </x:c>
      <x:c r="H54" t="str">
        <x:v>Thanh toán livestream tư vấn cho sự kiện phụ huynh</x:v>
      </x:c>
      <x:c r="I54" s="12" t="n">
        <x:v>8000000</x:v>
      </x:c>
      <x:c r="J54" s="12" t="n">
        <x:f>I54*10%</x:f>
        <x:v>800000</x:v>
      </x:c>
      <x:c r="K54" s="12" t="n">
        <x:f>I54+J54</x:f>
        <x:v>8800000</x:v>
      </x:c>
      <x:c r="L54" t="str">
        <x:v>Tài trợ đối tác</x:v>
      </x:c>
      <x:c r="M54" t="str">
        <x:v>Đã duyệt</x:v>
      </x:c>
      <x:c r="N54" t="str">
        <x:v>Admissions Manager</x:v>
      </x:c>
      <x:c r="O54" t="str">
        <x:v>PO-TS-9163</x:v>
      </x:c>
      <x:c r="P54" t="str"/>
    </x:row>
    <x:row r="55">
      <x:c r="A55" t="str">
        <x:v>DN-TS-2026-054</x:v>
      </x:c>
      <x:c r="B55" s="16" t="n">
        <x:v>46290</x:v>
      </x:c>
      <x:c r="C55" t="str">
        <x:v>Q3</x:v>
      </x:c>
      <x:c r="D55" t="str">
        <x:v>2026-09</x:v>
      </x:c>
      <x:c r="E55" t="str">
        <x:v>Công ty In ấn Minh Long</x:v>
      </x:c>
      <x:c r="F55" t="str">
        <x:v>International Recruitment</x:v>
      </x:c>
      <x:c r="G55" t="str">
        <x:v>Livestream tư vấn</x:v>
      </x:c>
      <x:c r="H55" t="str">
        <x:v>Thanh toán livestream tư vấn cho international recruitment</x:v>
      </x:c>
      <x:c r="I55" s="12" t="n">
        <x:v>50000000</x:v>
      </x:c>
      <x:c r="J55" s="12" t="n">
        <x:f>I55*10%</x:f>
        <x:v>5000000</x:v>
      </x:c>
      <x:c r="K55" s="12" t="n">
        <x:f>I55+J55</x:f>
        <x:v>55000000</x:v>
      </x:c>
      <x:c r="L55" t="str">
        <x:v>Quỹ học bổng</x:v>
      </x:c>
      <x:c r="M55" t="str">
        <x:v>Chờ duyệt</x:v>
      </x:c>
      <x:c r="N55" t="str">
        <x:v>Event Coordinator</x:v>
      </x:c>
      <x:c r="O55" t="str">
        <x:v>PO-TS-9281</x:v>
      </x:c>
      <x:c r="P55" t="str"/>
    </x:row>
    <x:row r="56">
      <x:c r="A56" t="str">
        <x:v>DN-TS-2026-055</x:v>
      </x:c>
      <x:c r="B56" s="16" t="n">
        <x:v>46261</x:v>
      </x:c>
      <x:c r="C56" t="str">
        <x:v>Q3</x:v>
      </x:c>
      <x:c r="D56" t="str">
        <x:v>2026-08</x:v>
      </x:c>
      <x:c r="E56" t="str">
        <x:v>Nền tảng CRM EduFlow</x:v>
      </x:c>
      <x:c r="F56" t="str">
        <x:v>Digital Admission Campaign</x:v>
      </x:c>
      <x:c r="G56" t="str">
        <x:v>Chi phí diễn giả</x:v>
      </x:c>
      <x:c r="H56" t="str">
        <x:v>Thanh toán chi phí diễn giả cho digital admission campaign</x:v>
      </x:c>
      <x:c r="I56" s="12" t="n">
        <x:v>12000000</x:v>
      </x:c>
      <x:c r="J56" s="12" t="n">
        <x:f>I56*10%</x:f>
        <x:v>1200000</x:v>
      </x:c>
      <x:c r="K56" s="12" t="n">
        <x:f>I56+J56</x:f>
        <x:v>13200000</x:v>
      </x:c>
      <x:c r="L56" t="str">
        <x:v>Ngân sách tuyển sinh</x:v>
      </x:c>
      <x:c r="M56" t="str">
        <x:v>Chờ duyệt</x:v>
      </x:c>
      <x:c r="N56" t="str">
        <x:v>Event Coordinator</x:v>
      </x:c>
      <x:c r="O56" t="str">
        <x:v>PO-TS-8710</x:v>
      </x:c>
      <x:c r="P56" t="str"/>
    </x:row>
    <x:row r="57">
      <x:c r="A57" t="str">
        <x:v>DN-TS-2026-056</x:v>
      </x:c>
      <x:c r="B57" s="16" t="n">
        <x:v>46173</x:v>
      </x:c>
      <x:c r="C57" t="str">
        <x:v>Q2</x:v>
      </x:c>
      <x:c r="D57" t="str">
        <x:v>2026-05</x:v>
      </x:c>
      <x:c r="E57" t="str">
        <x:v>Meta Ads Vietnam</x:v>
      </x:c>
      <x:c r="F57" t="str">
        <x:v>Tuyển sinh đại học chính quy</x:v>
      </x:c>
      <x:c r="G57" t="str">
        <x:v>Đào tạo nhân sự</x:v>
      </x:c>
      <x:c r="H57" t="str">
        <x:v>Thanh toán đào tạo nhân sự cho tuyển sinh đại học chính quy</x:v>
      </x:c>
      <x:c r="I57" s="12" t="n">
        <x:v>80000000</x:v>
      </x:c>
      <x:c r="J57" s="12" t="n">
        <x:f>I57*10%</x:f>
        <x:v>8000000</x:v>
      </x:c>
      <x:c r="K57" s="12" t="n">
        <x:f>I57+J57</x:f>
        <x:v>88000000</x:v>
      </x:c>
      <x:c r="L57" t="str">
        <x:v>Quỹ học bổng</x:v>
      </x:c>
      <x:c r="M57" t="str">
        <x:v>Chờ duyệt</x:v>
      </x:c>
      <x:c r="N57" t="str">
        <x:v>Digital Lead</x:v>
      </x:c>
      <x:c r="O57" t="str">
        <x:v>PO-TS-6992</x:v>
      </x:c>
      <x:c r="P57" t="str"/>
    </x:row>
    <x:row r="58">
      <x:c r="A58" t="str">
        <x:v>DN-TS-2026-057</x:v>
      </x:c>
      <x:c r="B58" s="16" t="n">
        <x:v>46233</x:v>
      </x:c>
      <x:c r="C58" t="str">
        <x:v>Q3</x:v>
      </x:c>
      <x:c r="D58" t="str">
        <x:v>2026-07</x:v>
      </x:c>
      <x:c r="E58" t="str">
        <x:v>Công ty Truyền thông Sao Việt</x:v>
      </x:c>
      <x:c r="F58" t="str">
        <x:v>Tuyển sinh đại học chính quy</x:v>
      </x:c>
      <x:c r="G58" t="str">
        <x:v>Chi phí đi lại công tác</x:v>
      </x:c>
      <x:c r="H58" t="str">
        <x:v>Thanh toán chi phí đi lại công tác cho tuyển sinh đại học chính quy</x:v>
      </x:c>
      <x:c r="I58" s="12" t="n">
        <x:v>20000000</x:v>
      </x:c>
      <x:c r="J58" s="12" t="n">
        <x:f>I58*10%</x:f>
        <x:v>2000000</x:v>
      </x:c>
      <x:c r="K58" s="12" t="n">
        <x:f>I58+J58</x:f>
        <x:v>22000000</x:v>
      </x:c>
      <x:c r="L58" t="str">
        <x:v>Ngân sách truyền thông</x:v>
      </x:c>
      <x:c r="M58" t="str">
        <x:v>Đã duyệt</x:v>
      </x:c>
      <x:c r="N58" t="str">
        <x:v>Digital Lead</x:v>
      </x:c>
      <x:c r="O58" t="str">
        <x:v>PO-TS-2204</x:v>
      </x:c>
      <x:c r="P58" t="str"/>
    </x:row>
    <x:row r="59">
      <x:c r="A59" t="str">
        <x:v>DN-TS-2026-058</x:v>
      </x:c>
      <x:c r="B59" s="16" t="n">
        <x:v>46224</x:v>
      </x:c>
      <x:c r="C59" t="str">
        <x:v>Q3</x:v>
      </x:c>
      <x:c r="D59" t="str">
        <x:v>2026-07</x:v>
      </x:c>
      <x:c r="E59" t="str">
        <x:v>Dịch vụ Logistics Thành Công</x:v>
      </x:c>
      <x:c r="F59" t="str">
        <x:v>International Recruitment</x:v>
      </x:c>
      <x:c r="G59" t="str">
        <x:v>Chi phí email/SMS</x:v>
      </x:c>
      <x:c r="H59" t="str">
        <x:v>Thanh toán chi phí email/sms cho international recruitment</x:v>
      </x:c>
      <x:c r="I59" s="12" t="n">
        <x:v>80000000</x:v>
      </x:c>
      <x:c r="J59" s="12" t="n">
        <x:f>I59*10%</x:f>
        <x:v>8000000</x:v>
      </x:c>
      <x:c r="K59" s="12" t="n">
        <x:f>I59+J59</x:f>
        <x:v>88000000</x:v>
      </x:c>
      <x:c r="L59" t="str">
        <x:v>Tài trợ đối tác</x:v>
      </x:c>
      <x:c r="M59" t="str">
        <x:v>Đã thanh toán</x:v>
      </x:c>
      <x:c r="N59" t="str">
        <x:v>Scholarship Officer</x:v>
      </x:c>
      <x:c r="O59" t="str">
        <x:v>PO-TS-2946</x:v>
      </x:c>
      <x:c r="P59" t="str"/>
    </x:row>
    <x:row r="60">
      <x:c r="A60" t="str">
        <x:v>DN-TS-2026-059</x:v>
      </x:c>
      <x:c r="B60" s="16" t="n">
        <x:v>46092</x:v>
      </x:c>
      <x:c r="C60" t="str">
        <x:v>Q1</x:v>
      </x:c>
      <x:c r="D60" t="str">
        <x:v>2026-03</x:v>
      </x:c>
      <x:c r="E60" t="str">
        <x:v>Trường THPT đối tác</x:v>
      </x:c>
      <x:c r="F60" t="str">
        <x:v>Tuyển sinh sau đại học</x:v>
      </x:c>
      <x:c r="G60" t="str">
        <x:v>Tổ chức booth tư vấn</x:v>
      </x:c>
      <x:c r="H60" t="str">
        <x:v>Thanh toán tổ chức booth tư vấn cho tuyển sinh sau đại học</x:v>
      </x:c>
      <x:c r="I60" s="12" t="n">
        <x:v>5000000</x:v>
      </x:c>
      <x:c r="J60" s="12" t="n">
        <x:f>I60*10%</x:f>
        <x:v>500000</x:v>
      </x:c>
      <x:c r="K60" s="12" t="n">
        <x:f>I60+J60</x:f>
        <x:v>5500000</x:v>
      </x:c>
      <x:c r="L60" t="str">
        <x:v>Tài trợ đối tác</x:v>
      </x:c>
      <x:c r="M60" t="str">
        <x:v>Đã thanh toán</x:v>
      </x:c>
      <x:c r="N60" t="str">
        <x:v>Digital Lead</x:v>
      </x:c>
      <x:c r="O60" t="str">
        <x:v>PO-TS-3363</x:v>
      </x:c>
      <x:c r="P60" t="str"/>
    </x:row>
    <x:row r="61">
      <x:c r="A61" t="str">
        <x:v>DN-TS-2026-060</x:v>
      </x:c>
      <x:c r="B61" s="16" t="n">
        <x:v>46128</x:v>
      </x:c>
      <x:c r="C61" t="str">
        <x:v>Q2</x:v>
      </x:c>
      <x:c r="D61" t="str">
        <x:v>2026-04</x:v>
      </x:c>
      <x:c r="E61" t="str">
        <x:v>Dịch vụ Logistics Thành Công</x:v>
      </x:c>
      <x:c r="F61" t="str">
        <x:v>CRM &amp; Admission System</x:v>
      </x:c>
      <x:c r="G61" t="str">
        <x:v>Chi phí đi lại công tác</x:v>
      </x:c>
      <x:c r="H61" t="str">
        <x:v>Thanh toán chi phí đi lại công tác cho crm &amp; admission system</x:v>
      </x:c>
      <x:c r="I61" s="12" t="n">
        <x:v>100000000</x:v>
      </x:c>
      <x:c r="J61" s="12" t="n">
        <x:f>I61*10%</x:f>
        <x:v>10000000</x:v>
      </x:c>
      <x:c r="K61" s="12" t="n">
        <x:f>I61+J61</x:f>
        <x:v>110000000</x:v>
      </x:c>
      <x:c r="L61" t="str">
        <x:v>Ngân sách tuyển sinh</x:v>
      </x:c>
      <x:c r="M61" t="str">
        <x:v>Chờ duyệt</x:v>
      </x:c>
      <x:c r="N61" t="str">
        <x:v>Admissions Manager</x:v>
      </x:c>
      <x:c r="O61" t="str">
        <x:v>PO-TS-6456</x:v>
      </x:c>
      <x:c r="P61" t="str"/>
    </x:row>
    <x:row r="62">
      <x:c r="A62" t="str">
        <x:v>DN-TS-2026-061</x:v>
      </x:c>
      <x:c r="B62" s="16" t="n">
        <x:v>46269</x:v>
      </x:c>
      <x:c r="C62" t="str">
        <x:v>Q3</x:v>
      </x:c>
      <x:c r="D62" t="str">
        <x:v>2026-09</x:v>
      </x:c>
      <x:c r="E62" t="str">
        <x:v>Công ty Sản xuất Video FrameX</x:v>
      </x:c>
      <x:c r="F62" t="str">
        <x:v>International Recruitment</x:v>
      </x:c>
      <x:c r="G62" t="str">
        <x:v>Sản xuất video tuyển sinh</x:v>
      </x:c>
      <x:c r="H62" t="str">
        <x:v>Thanh toán sản xuất video tuyển sinh cho international recruitment</x:v>
      </x:c>
      <x:c r="I62" s="12" t="n">
        <x:v>80000000</x:v>
      </x:c>
      <x:c r="J62" s="12" t="n">
        <x:f>I62*10%</x:f>
        <x:v>8000000</x:v>
      </x:c>
      <x:c r="K62" s="12" t="n">
        <x:f>I62+J62</x:f>
        <x:v>88000000</x:v>
      </x:c>
      <x:c r="L62" t="str">
        <x:v>Ngân sách truyền thông</x:v>
      </x:c>
      <x:c r="M62" t="str">
        <x:v>Đã duyệt</x:v>
      </x:c>
      <x:c r="N62" t="str">
        <x:v>Scholarship Officer</x:v>
      </x:c>
      <x:c r="O62" t="str">
        <x:v>PO-TS-6218</x:v>
      </x:c>
      <x:c r="P62" t="str"/>
    </x:row>
    <x:row r="63">
      <x:c r="A63" t="str">
        <x:v>DN-TS-2026-062</x:v>
      </x:c>
      <x:c r="B63" s="16" t="n">
        <x:v>46110</x:v>
      </x:c>
      <x:c r="C63" t="str">
        <x:v>Q1</x:v>
      </x:c>
      <x:c r="D63" t="str">
        <x:v>2026-03</x:v>
      </x:c>
      <x:c r="E63" t="str">
        <x:v>Công ty Nghiên cứu thị trường Insight</x:v>
      </x:c>
      <x:c r="F63" t="str">
        <x:v>Đào tạo cộng tác viên tuyển sinh</x:v>
      </x:c>
      <x:c r="G63" t="str">
        <x:v>Học bổng đầu vào</x:v>
      </x:c>
      <x:c r="H63" t="str">
        <x:v>Thanh toán học bổng đầu vào cho đào tạo cộng tác viên tuyển sinh</x:v>
      </x:c>
      <x:c r="I63" s="12" t="n">
        <x:v>30000000</x:v>
      </x:c>
      <x:c r="J63" s="12" t="n">
        <x:f>I63*10%</x:f>
        <x:v>3000000</x:v>
      </x:c>
      <x:c r="K63" s="12" t="n">
        <x:f>I63+J63</x:f>
        <x:v>33000000</x:v>
      </x:c>
      <x:c r="L63" t="str">
        <x:v>Tài trợ đối tác</x:v>
      </x:c>
      <x:c r="M63" t="str">
        <x:v>Đã thanh toán</x:v>
      </x:c>
      <x:c r="N63" t="str">
        <x:v>Scholarship Officer</x:v>
      </x:c>
      <x:c r="O63" t="str">
        <x:v>PO-TS-9351</x:v>
      </x:c>
      <x:c r="P63" t="str"/>
    </x:row>
    <x:row r="64">
      <x:c r="A64" t="str">
        <x:v>DN-TS-2026-063</x:v>
      </x:c>
      <x:c r="B64" s="16" t="n">
        <x:v>46299</x:v>
      </x:c>
      <x:c r="C64" t="str">
        <x:v>Q4</x:v>
      </x:c>
      <x:c r="D64" t="str">
        <x:v>2026-10</x:v>
      </x:c>
      <x:c r="E64" t="str">
        <x:v>Công ty In ấn Minh Long</x:v>
      </x:c>
      <x:c r="F64" t="str">
        <x:v>Sản xuất học liệu truyền thông</x:v>
      </x:c>
      <x:c r="G64" t="str">
        <x:v>Chi phí diễn giả</x:v>
      </x:c>
      <x:c r="H64" t="str">
        <x:v>Thanh toán chi phí diễn giả cho sản xuất học liệu truyền thông</x:v>
      </x:c>
      <x:c r="I64" s="12" t="n">
        <x:v>50000000</x:v>
      </x:c>
      <x:c r="J64" s="12" t="n">
        <x:f>I64*10%</x:f>
        <x:v>5000000</x:v>
      </x:c>
      <x:c r="K64" s="12" t="n">
        <x:f>I64+J64</x:f>
        <x:v>55000000</x:v>
      </x:c>
      <x:c r="L64" t="str">
        <x:v>Quỹ học bổng</x:v>
      </x:c>
      <x:c r="M64" t="str">
        <x:v>Đã thanh toán</x:v>
      </x:c>
      <x:c r="N64" t="str">
        <x:v>Digital Lead</x:v>
      </x:c>
      <x:c r="O64" t="str">
        <x:v>PO-TS-6427</x:v>
      </x:c>
      <x:c r="P64" t="str"/>
    </x:row>
    <x:row r="65">
      <x:c r="A65" t="str">
        <x:v>DN-TS-2026-064</x:v>
      </x:c>
      <x:c r="B65" s="16" t="n">
        <x:v>46371</x:v>
      </x:c>
      <x:c r="C65" t="str">
        <x:v>Q4</x:v>
      </x:c>
      <x:c r="D65" t="str">
        <x:v>2026-12</x:v>
      </x:c>
      <x:c r="E65" t="str">
        <x:v>Công ty In ấn Minh Long</x:v>
      </x:c>
      <x:c r="F65" t="str">
        <x:v>Tuyển sinh sau đại học</x:v>
      </x:c>
      <x:c r="G65" t="str">
        <x:v>Chi phí diễn giả</x:v>
      </x:c>
      <x:c r="H65" t="str">
        <x:v>Thanh toán chi phí diễn giả cho tuyển sinh sau đại học</x:v>
      </x:c>
      <x:c r="I65" s="12" t="n">
        <x:v>5000000</x:v>
      </x:c>
      <x:c r="J65" s="12" t="n">
        <x:f>I65*10%</x:f>
        <x:v>500000</x:v>
      </x:c>
      <x:c r="K65" s="12" t="n">
        <x:f>I65+J65</x:f>
        <x:v>5500000</x:v>
      </x:c>
      <x:c r="L65" t="str">
        <x:v>Ngân sách tuyển sinh</x:v>
      </x:c>
      <x:c r="M65" t="str">
        <x:v>Đã thanh toán</x:v>
      </x:c>
      <x:c r="N65" t="str">
        <x:v>Digital Lead</x:v>
      </x:c>
      <x:c r="O65" t="str">
        <x:v>PO-TS-4728</x:v>
      </x:c>
      <x:c r="P65" t="str"/>
    </x:row>
    <x:row r="66">
      <x:c r="A66" t="str">
        <x:v>DN-TS-2026-065</x:v>
      </x:c>
      <x:c r="B66" s="16" t="n">
        <x:v>46053</x:v>
      </x:c>
      <x:c r="C66" t="str">
        <x:v>Q1</x:v>
      </x:c>
      <x:c r="D66" t="str">
        <x:v>2026-01</x:v>
      </x:c>
      <x:c r="E66" t="str">
        <x:v>Dịch vụ Logistics Thành Công</x:v>
      </x:c>
      <x:c r="F66" t="str">
        <x:v>International Recruitment</x:v>
      </x:c>
      <x:c r="G66" t="str">
        <x:v>Sản xuất video tuyển sinh</x:v>
      </x:c>
      <x:c r="H66" t="str">
        <x:v>Thanh toán sản xuất video tuyển sinh cho international recruitment</x:v>
      </x:c>
      <x:c r="I66" s="12" t="n">
        <x:v>100000000</x:v>
      </x:c>
      <x:c r="J66" s="12" t="n">
        <x:f>I66*10%</x:f>
        <x:v>10000000</x:v>
      </x:c>
      <x:c r="K66" s="12" t="n">
        <x:f>I66+J66</x:f>
        <x:v>110000000</x:v>
      </x:c>
      <x:c r="L66" t="str">
        <x:v>Quỹ học bổng</x:v>
      </x:c>
      <x:c r="M66" t="str">
        <x:v>Chờ duyệt</x:v>
      </x:c>
      <x:c r="N66" t="str">
        <x:v>Admissions Manager</x:v>
      </x:c>
      <x:c r="O66" t="str">
        <x:v>PO-TS-1517</x:v>
      </x:c>
      <x:c r="P66" t="str"/>
    </x:row>
    <x:row r="67">
      <x:c r="A67" t="str">
        <x:v>DN-TS-2026-066</x:v>
      </x:c>
      <x:c r="B67" s="16" t="n">
        <x:v>46320</x:v>
      </x:c>
      <x:c r="C67" t="str">
        <x:v>Q4</x:v>
      </x:c>
      <x:c r="D67" t="str">
        <x:v>2026-10</x:v>
      </x:c>
      <x:c r="E67" t="str">
        <x:v>Trung tâm Hội nghị Quốc gia</x:v>
      </x:c>
      <x:c r="F67" t="str">
        <x:v>Digital Admission Campaign</x:v>
      </x:c>
      <x:c r="G67" t="str">
        <x:v>Quảng cáo Facebook/Instagram</x:v>
      </x:c>
      <x:c r="H67" t="str">
        <x:v>Thanh toán quảng cáo facebook/instagram cho digital admission campaign</x:v>
      </x:c>
      <x:c r="I67" s="12" t="n">
        <x:v>5000000</x:v>
      </x:c>
      <x:c r="J67" s="12" t="n">
        <x:f>I67*10%</x:f>
        <x:v>500000</x:v>
      </x:c>
      <x:c r="K67" s="12" t="n">
        <x:f>I67+J67</x:f>
        <x:v>5500000</x:v>
      </x:c>
      <x:c r="L67" t="str">
        <x:v>Tài trợ đối tác</x:v>
      </x:c>
      <x:c r="M67" t="str">
        <x:v>Đã thanh toán</x:v>
      </x:c>
      <x:c r="N67" t="str">
        <x:v>Event Coordinator</x:v>
      </x:c>
      <x:c r="O67" t="str">
        <x:v>PO-TS-4340</x:v>
      </x:c>
      <x:c r="P67" t="str"/>
    </x:row>
    <x:row r="68">
      <x:c r="A68" t="str">
        <x:v>DN-TS-2026-067</x:v>
      </x:c>
      <x:c r="B68" s="16" t="n">
        <x:v>46237</x:v>
      </x:c>
      <x:c r="C68" t="str">
        <x:v>Q3</x:v>
      </x:c>
      <x:c r="D68" t="str">
        <x:v>2026-08</x:v>
      </x:c>
      <x:c r="E68" t="str">
        <x:v>Trung tâm Hội nghị Quốc gia</x:v>
      </x:c>
      <x:c r="F68" t="str">
        <x:v>Đào tạo cộng tác viên tuyển sinh</x:v>
      </x:c>
      <x:c r="G68" t="str">
        <x:v>Livestream tư vấn</x:v>
      </x:c>
      <x:c r="H68" t="str">
        <x:v>Thanh toán livestream tư vấn cho đào tạo cộng tác viên tuyển sinh</x:v>
      </x:c>
      <x:c r="I68" s="12" t="n">
        <x:v>80000000</x:v>
      </x:c>
      <x:c r="J68" s="12" t="n">
        <x:f>I68*10%</x:f>
        <x:v>8000000</x:v>
      </x:c>
      <x:c r="K68" s="12" t="n">
        <x:f>I68+J68</x:f>
        <x:v>88000000</x:v>
      </x:c>
      <x:c r="L68" t="str">
        <x:v>Ngân sách tuyển sinh</x:v>
      </x:c>
      <x:c r="M68" t="str">
        <x:v>Đã thanh toán</x:v>
      </x:c>
      <x:c r="N68" t="str">
        <x:v>Scholarship Officer</x:v>
      </x:c>
      <x:c r="O68" t="str">
        <x:v>PO-TS-4397</x:v>
      </x:c>
      <x:c r="P68" t="str"/>
    </x:row>
    <x:row r="69">
      <x:c r="A69" t="str">
        <x:v>DN-TS-2026-068</x:v>
      </x:c>
      <x:c r="B69" s="16" t="n">
        <x:v>46314</x:v>
      </x:c>
      <x:c r="C69" t="str">
        <x:v>Q4</x:v>
      </x:c>
      <x:c r="D69" t="str">
        <x:v>2026-10</x:v>
      </x:c>
      <x:c r="E69" t="str">
        <x:v>Dịch vụ Logistics Thành Công</x:v>
      </x:c>
      <x:c r="F69" t="str">
        <x:v>Ngày hội tuyển sinh</x:v>
      </x:c>
      <x:c r="G69" t="str">
        <x:v>Thuê địa điểm sự kiện</x:v>
      </x:c>
      <x:c r="H69" t="str">
        <x:v>Thanh toán thuê địa điểm sự kiện cho ngày hội tuyển sinh</x:v>
      </x:c>
      <x:c r="I69" s="12" t="n">
        <x:v>20000000</x:v>
      </x:c>
      <x:c r="J69" s="12" t="n">
        <x:f>I69*10%</x:f>
        <x:v>2000000</x:v>
      </x:c>
      <x:c r="K69" s="12" t="n">
        <x:f>I69+J69</x:f>
        <x:v>22000000</x:v>
      </x:c>
      <x:c r="L69" t="str">
        <x:v>Quỹ học bổng</x:v>
      </x:c>
      <x:c r="M69" t="str">
        <x:v>Đã duyệt</x:v>
      </x:c>
      <x:c r="N69" t="str">
        <x:v>Admissions Manager</x:v>
      </x:c>
      <x:c r="O69" t="str">
        <x:v>PO-TS-8531</x:v>
      </x:c>
      <x:c r="P69" t="str"/>
    </x:row>
    <x:row r="70">
      <x:c r="A70" t="str">
        <x:v>DN-TS-2026-069</x:v>
      </x:c>
      <x:c r="B70" s="16" t="n">
        <x:v>46299</x:v>
      </x:c>
      <x:c r="C70" t="str">
        <x:v>Q4</x:v>
      </x:c>
      <x:c r="D70" t="str">
        <x:v>2026-10</x:v>
      </x:c>
      <x:c r="E70" t="str">
        <x:v>Nhà cung cấp Email/SMS EduConnect</x:v>
      </x:c>
      <x:c r="F70" t="str">
        <x:v>CRM &amp; Admission System</x:v>
      </x:c>
      <x:c r="G70" t="str">
        <x:v>Tổ chức booth tư vấn</x:v>
      </x:c>
      <x:c r="H70" t="str">
        <x:v>Thanh toán tổ chức booth tư vấn cho crm &amp; admission system</x:v>
      </x:c>
      <x:c r="I70" s="12" t="n">
        <x:v>20000000</x:v>
      </x:c>
      <x:c r="J70" s="12" t="n">
        <x:f>I70*10%</x:f>
        <x:v>2000000</x:v>
      </x:c>
      <x:c r="K70" s="12" t="n">
        <x:f>I70+J70</x:f>
        <x:v>22000000</x:v>
      </x:c>
      <x:c r="L70" t="str">
        <x:v>Tài trợ đối tác</x:v>
      </x:c>
      <x:c r="M70" t="str">
        <x:v>Đã thanh toán</x:v>
      </x:c>
      <x:c r="N70" t="str">
        <x:v>Admissions Manager</x:v>
      </x:c>
      <x:c r="O70" t="str">
        <x:v>PO-TS-5038</x:v>
      </x:c>
      <x:c r="P70" t="str"/>
    </x:row>
    <x:row r="71">
      <x:c r="A71" t="str">
        <x:v>DN-TS-2026-070</x:v>
      </x:c>
      <x:c r="B71" s="16" t="n">
        <x:v>46169</x:v>
      </x:c>
      <x:c r="C71" t="str">
        <x:v>Q2</x:v>
      </x:c>
      <x:c r="D71" t="str">
        <x:v>2026-05</x:v>
      </x:c>
      <x:c r="E71" t="str">
        <x:v>Công ty In ấn Minh Long</x:v>
      </x:c>
      <x:c r="F71" t="str">
        <x:v>Học bổng tuyển sinh</x:v>
      </x:c>
      <x:c r="G71" t="str">
        <x:v>Thiết kế landing page</x:v>
      </x:c>
      <x:c r="H71" t="str">
        <x:v>Thanh toán thiết kế landing page cho học bổng tuyển sinh</x:v>
      </x:c>
      <x:c r="I71" s="12" t="n">
        <x:v>80000000</x:v>
      </x:c>
      <x:c r="J71" s="12" t="n">
        <x:f>I71*10%</x:f>
        <x:v>8000000</x:v>
      </x:c>
      <x:c r="K71" s="12" t="n">
        <x:f>I71+J71</x:f>
        <x:v>88000000</x:v>
      </x:c>
      <x:c r="L71" t="str">
        <x:v>Tài trợ đối tác</x:v>
      </x:c>
      <x:c r="M71" t="str">
        <x:v>Đã thanh toán</x:v>
      </x:c>
      <x:c r="N71" t="str">
        <x:v>Event Coordinator</x:v>
      </x:c>
      <x:c r="O71" t="str">
        <x:v>PO-TS-6194</x:v>
      </x:c>
      <x:c r="P71" t="str"/>
    </x:row>
    <x:row r="72">
      <x:c r="A72" t="str">
        <x:v>DN-TS-2026-071</x:v>
      </x:c>
      <x:c r="B72" s="16" t="n">
        <x:v>46272</x:v>
      </x:c>
      <x:c r="C72" t="str">
        <x:v>Q3</x:v>
      </x:c>
      <x:c r="D72" t="str">
        <x:v>2026-09</x:v>
      </x:c>
      <x:c r="E72" t="str">
        <x:v>Trường THPT đối tác</x:v>
      </x:c>
      <x:c r="F72" t="str">
        <x:v>CRM &amp; Admission System</x:v>
      </x:c>
      <x:c r="G72" t="str">
        <x:v>Livestream tư vấn</x:v>
      </x:c>
      <x:c r="H72" t="str">
        <x:v>Thanh toán livestream tư vấn cho crm &amp; admission system</x:v>
      </x:c>
      <x:c r="I72" s="12" t="n">
        <x:v>20000000</x:v>
      </x:c>
      <x:c r="J72" s="12" t="n">
        <x:f>I72*10%</x:f>
        <x:v>2000000</x:v>
      </x:c>
      <x:c r="K72" s="12" t="n">
        <x:f>I72+J72</x:f>
        <x:v>22000000</x:v>
      </x:c>
      <x:c r="L72" t="str">
        <x:v>Tài trợ đối tác</x:v>
      </x:c>
      <x:c r="M72" t="str">
        <x:v>Đã duyệt</x:v>
      </x:c>
      <x:c r="N72" t="str">
        <x:v>Scholarship Officer</x:v>
      </x:c>
      <x:c r="O72" t="str">
        <x:v>PO-TS-9899</x:v>
      </x:c>
      <x:c r="P72" t="str"/>
    </x:row>
    <x:row r="73">
      <x:c r="A73" t="str">
        <x:v>DN-TS-2026-072</x:v>
      </x:c>
      <x:c r="B73" s="16" t="n">
        <x:v>46221</x:v>
      </x:c>
      <x:c r="C73" t="str">
        <x:v>Q3</x:v>
      </x:c>
      <x:c r="D73" t="str">
        <x:v>2026-07</x:v>
      </x:c>
      <x:c r="E73" t="str">
        <x:v>Trường THPT đối tác</x:v>
      </x:c>
      <x:c r="F73" t="str">
        <x:v>Sự kiện phụ huynh</x:v>
      </x:c>
      <x:c r="G73" t="str">
        <x:v>Chi phí email/SMS</x:v>
      </x:c>
      <x:c r="H73" t="str">
        <x:v>Thanh toán chi phí email/sms cho sự kiện phụ huynh</x:v>
      </x:c>
      <x:c r="I73" s="12" t="n">
        <x:v>30000000</x:v>
      </x:c>
      <x:c r="J73" s="12" t="n">
        <x:f>I73*10%</x:f>
        <x:v>3000000</x:v>
      </x:c>
      <x:c r="K73" s="12" t="n">
        <x:f>I73+J73</x:f>
        <x:v>33000000</x:v>
      </x:c>
      <x:c r="L73" t="str">
        <x:v>Ngân sách truyền thông</x:v>
      </x:c>
      <x:c r="M73" t="str">
        <x:v>Đã duyệt</x:v>
      </x:c>
      <x:c r="N73" t="str">
        <x:v>Digital Lead</x:v>
      </x:c>
      <x:c r="O73" t="str">
        <x:v>PO-TS-2294</x:v>
      </x:c>
      <x:c r="P73" t="str"/>
    </x:row>
    <x:row r="74">
      <x:c r="A74" t="str">
        <x:v>DN-TS-2026-073</x:v>
      </x:c>
      <x:c r="B74" s="16" t="n">
        <x:v>46204</x:v>
      </x:c>
      <x:c r="C74" t="str">
        <x:v>Q3</x:v>
      </x:c>
      <x:c r="D74" t="str">
        <x:v>2026-07</x:v>
      </x:c>
      <x:c r="E74" t="str">
        <x:v>Công ty Thiết kế Web Nova</x:v>
      </x:c>
      <x:c r="F74" t="str">
        <x:v>Ngày hội tuyển sinh</x:v>
      </x:c>
      <x:c r="G74" t="str">
        <x:v>In ấn brochure</x:v>
      </x:c>
      <x:c r="H74" t="str">
        <x:v>Thanh toán in ấn brochure cho ngày hội tuyển sinh</x:v>
      </x:c>
      <x:c r="I74" s="12" t="n">
        <x:v>50000000</x:v>
      </x:c>
      <x:c r="J74" s="12" t="n">
        <x:f>I74*10%</x:f>
        <x:v>5000000</x:v>
      </x:c>
      <x:c r="K74" s="12" t="n">
        <x:f>I74+J74</x:f>
        <x:v>55000000</x:v>
      </x:c>
      <x:c r="L74" t="str">
        <x:v>Quỹ học bổng</x:v>
      </x:c>
      <x:c r="M74" t="str">
        <x:v>Đã duyệt</x:v>
      </x:c>
      <x:c r="N74" t="str">
        <x:v>Scholarship Officer</x:v>
      </x:c>
      <x:c r="O74" t="str">
        <x:v>PO-TS-5442</x:v>
      </x:c>
      <x:c r="P74" t="str"/>
    </x:row>
    <x:row r="75">
      <x:c r="A75" t="str">
        <x:v>DN-TS-2026-074</x:v>
      </x:c>
      <x:c r="B75" s="16" t="n">
        <x:v>46314</x:v>
      </x:c>
      <x:c r="C75" t="str">
        <x:v>Q4</x:v>
      </x:c>
      <x:c r="D75" t="str">
        <x:v>2026-10</x:v>
      </x:c>
      <x:c r="E75" t="str">
        <x:v>Công ty Sản xuất Video FrameX</x:v>
      </x:c>
      <x:c r="F75" t="str">
        <x:v>Open Day / Campus Tour</x:v>
      </x:c>
      <x:c r="G75" t="str">
        <x:v>Quảng cáo Google Search</x:v>
      </x:c>
      <x:c r="H75" t="str">
        <x:v>Thanh toán quảng cáo google search cho open day / campus tour</x:v>
      </x:c>
      <x:c r="I75" s="12" t="n">
        <x:v>15000000</x:v>
      </x:c>
      <x:c r="J75" s="12" t="n">
        <x:f>I75*10%</x:f>
        <x:v>1500000</x:v>
      </x:c>
      <x:c r="K75" s="12" t="n">
        <x:f>I75+J75</x:f>
        <x:v>16500000</x:v>
      </x:c>
      <x:c r="L75" t="str">
        <x:v>Ngân sách truyền thông</x:v>
      </x:c>
      <x:c r="M75" t="str">
        <x:v>Đã duyệt</x:v>
      </x:c>
      <x:c r="N75" t="str">
        <x:v>Scholarship Officer</x:v>
      </x:c>
      <x:c r="O75" t="str">
        <x:v>PO-TS-4697</x:v>
      </x:c>
      <x:c r="P75" t="str"/>
    </x:row>
    <x:row r="76">
      <x:c r="A76" t="str">
        <x:v>DN-TS-2026-075</x:v>
      </x:c>
      <x:c r="B76" s="16" t="n">
        <x:v>46353</x:v>
      </x:c>
      <x:c r="C76" t="str">
        <x:v>Q4</x:v>
      </x:c>
      <x:c r="D76" t="str">
        <x:v>2026-11</x:v>
      </x:c>
      <x:c r="E76" t="str">
        <x:v>Công ty Quà tặng ABC</x:v>
      </x:c>
      <x:c r="F76" t="str">
        <x:v>Tuyển sinh đại học chính quy</x:v>
      </x:c>
      <x:c r="G76" t="str">
        <x:v>Quảng cáo Google Search</x:v>
      </x:c>
      <x:c r="H76" t="str">
        <x:v>Thanh toán quảng cáo google search cho tuyển sinh đại học chính quy</x:v>
      </x:c>
      <x:c r="I76" s="12" t="n">
        <x:v>12000000</x:v>
      </x:c>
      <x:c r="J76" s="12" t="n">
        <x:f>I76*10%</x:f>
        <x:v>1200000</x:v>
      </x:c>
      <x:c r="K76" s="12" t="n">
        <x:f>I76+J76</x:f>
        <x:v>13200000</x:v>
      </x:c>
      <x:c r="L76" t="str">
        <x:v>Tài trợ đối tác</x:v>
      </x:c>
      <x:c r="M76" t="str">
        <x:v>Đã thanh toán</x:v>
      </x:c>
      <x:c r="N76" t="str">
        <x:v>Admissions Officer</x:v>
      </x:c>
      <x:c r="O76" t="str">
        <x:v>PO-TS-3252</x:v>
      </x:c>
      <x:c r="P76" t="str"/>
    </x:row>
    <x:row r="77">
      <x:c r="A77" t="str">
        <x:v>DN-TS-2026-076</x:v>
      </x:c>
      <x:c r="B77" s="16" t="n">
        <x:v>46029</x:v>
      </x:c>
      <x:c r="C77" t="str">
        <x:v>Q1</x:v>
      </x:c>
      <x:c r="D77" t="str">
        <x:v>2026-01</x:v>
      </x:c>
      <x:c r="E77" t="str">
        <x:v>Nhà cung cấp Email/SMS EduConnect</x:v>
      </x:c>
      <x:c r="F77" t="str">
        <x:v>Open Day / Campus Tour</x:v>
      </x:c>
      <x:c r="G77" t="str">
        <x:v>Chi phí đi lại công tác</x:v>
      </x:c>
      <x:c r="H77" t="str">
        <x:v>Thanh toán chi phí đi lại công tác cho open day / campus tour</x:v>
      </x:c>
      <x:c r="I77" s="12" t="n">
        <x:v>80000000</x:v>
      </x:c>
      <x:c r="J77" s="12" t="n">
        <x:f>I77*10%</x:f>
        <x:v>8000000</x:v>
      </x:c>
      <x:c r="K77" s="12" t="n">
        <x:f>I77+J77</x:f>
        <x:v>88000000</x:v>
      </x:c>
      <x:c r="L77" t="str">
        <x:v>Quỹ học bổng</x:v>
      </x:c>
      <x:c r="M77" t="str">
        <x:v>Đã thanh toán</x:v>
      </x:c>
      <x:c r="N77" t="str">
        <x:v>Admissions Manager</x:v>
      </x:c>
      <x:c r="O77" t="str">
        <x:v>PO-TS-5706</x:v>
      </x:c>
      <x:c r="P77" t="str"/>
    </x:row>
    <x:row r="78">
      <x:c r="A78" t="str">
        <x:v>DN-TS-2026-077</x:v>
      </x:c>
      <x:c r="B78" s="16" t="n">
        <x:v>46191</x:v>
      </x:c>
      <x:c r="C78" t="str">
        <x:v>Q2</x:v>
      </x:c>
      <x:c r="D78" t="str">
        <x:v>2026-06</x:v>
      </x:c>
      <x:c r="E78" t="str">
        <x:v>Trường THPT đối tác</x:v>
      </x:c>
      <x:c r="F78" t="str">
        <x:v>Ngày hội tuyển sinh</x:v>
      </x:c>
      <x:c r="G78" t="str">
        <x:v>Quảng cáo Facebook/Instagram</x:v>
      </x:c>
      <x:c r="H78" t="str">
        <x:v>Thanh toán quảng cáo facebook/instagram cho ngày hội tuyển sinh</x:v>
      </x:c>
      <x:c r="I78" s="12" t="n">
        <x:v>15000000</x:v>
      </x:c>
      <x:c r="J78" s="12" t="n">
        <x:f>I78*10%</x:f>
        <x:v>1500000</x:v>
      </x:c>
      <x:c r="K78" s="12" t="n">
        <x:f>I78+J78</x:f>
        <x:v>16500000</x:v>
      </x:c>
      <x:c r="L78" t="str">
        <x:v>Ngân sách tuyển sinh</x:v>
      </x:c>
      <x:c r="M78" t="str">
        <x:v>Đã thanh toán</x:v>
      </x:c>
      <x:c r="N78" t="str">
        <x:v>Admissions Manager</x:v>
      </x:c>
      <x:c r="O78" t="str">
        <x:v>PO-TS-9767</x:v>
      </x:c>
      <x:c r="P78" t="str"/>
    </x:row>
    <x:row r="79">
      <x:c r="A79" t="str">
        <x:v>DN-TS-2026-078</x:v>
      </x:c>
      <x:c r="B79" s="16" t="n">
        <x:v>46046</x:v>
      </x:c>
      <x:c r="C79" t="str">
        <x:v>Q1</x:v>
      </x:c>
      <x:c r="D79" t="str">
        <x:v>2026-01</x:v>
      </x:c>
      <x:c r="E79" t="str">
        <x:v>Công ty Nghiên cứu thị trường Insight</x:v>
      </x:c>
      <x:c r="F79" t="str">
        <x:v>Tuyển sinh sau đại học</x:v>
      </x:c>
      <x:c r="G79" t="str">
        <x:v>Livestream tư vấn</x:v>
      </x:c>
      <x:c r="H79" t="str">
        <x:v>Thanh toán livestream tư vấn cho tuyển sinh sau đại học</x:v>
      </x:c>
      <x:c r="I79" s="12" t="n">
        <x:v>8000000</x:v>
      </x:c>
      <x:c r="J79" s="12" t="n">
        <x:f>I79*10%</x:f>
        <x:v>800000</x:v>
      </x:c>
      <x:c r="K79" s="12" t="n">
        <x:f>I79+J79</x:f>
        <x:v>8800000</x:v>
      </x:c>
      <x:c r="L79" t="str">
        <x:v>Ngân sách truyền thông</x:v>
      </x:c>
      <x:c r="M79" t="str">
        <x:v>Cần bổ sung hồ sơ</x:v>
      </x:c>
      <x:c r="N79" t="str">
        <x:v>Admissions Officer</x:v>
      </x:c>
      <x:c r="O79" t="str">
        <x:v>PO-TS-7504</x:v>
      </x:c>
      <x:c r="P79" t="str"/>
    </x:row>
    <x:row r="80">
      <x:c r="A80" t="str">
        <x:v>DN-TS-2026-079</x:v>
      </x:c>
      <x:c r="B80" s="16" t="n">
        <x:v>46280</x:v>
      </x:c>
      <x:c r="C80" t="str">
        <x:v>Q3</x:v>
      </x:c>
      <x:c r="D80" t="str">
        <x:v>2026-09</x:v>
      </x:c>
      <x:c r="E80" t="str">
        <x:v>Công ty In ấn Minh Long</x:v>
      </x:c>
      <x:c r="F80" t="str">
        <x:v>Sản xuất học liệu truyền thông</x:v>
      </x:c>
      <x:c r="G80" t="str">
        <x:v>Đào tạo nhân sự</x:v>
      </x:c>
      <x:c r="H80" t="str">
        <x:v>Thanh toán đào tạo nhân sự cho sản xuất học liệu truyền thông</x:v>
      </x:c>
      <x:c r="I80" s="12" t="n">
        <x:v>8000000</x:v>
      </x:c>
      <x:c r="J80" s="12" t="n">
        <x:f>I80*10%</x:f>
        <x:v>800000</x:v>
      </x:c>
      <x:c r="K80" s="12" t="n">
        <x:f>I80+J80</x:f>
        <x:v>8800000</x:v>
      </x:c>
      <x:c r="L80" t="str">
        <x:v>Ngân sách tuyển sinh</x:v>
      </x:c>
      <x:c r="M80" t="str">
        <x:v>Chờ duyệt</x:v>
      </x:c>
      <x:c r="N80" t="str">
        <x:v>Scholarship Officer</x:v>
      </x:c>
      <x:c r="O80" t="str">
        <x:v>PO-TS-2758</x:v>
      </x:c>
      <x:c r="P80" t="str"/>
    </x:row>
    <x:row r="81">
      <x:c r="A81" t="str">
        <x:v>DN-TS-2026-080</x:v>
      </x:c>
      <x:c r="B81" s="16" t="n">
        <x:v>46198</x:v>
      </x:c>
      <x:c r="C81" t="str">
        <x:v>Q2</x:v>
      </x:c>
      <x:c r="D81" t="str">
        <x:v>2026-06</x:v>
      </x:c>
      <x:c r="E81" t="str">
        <x:v>Dịch vụ Logistics Thành Công</x:v>
      </x:c>
      <x:c r="F81" t="str">
        <x:v>International Recruitment</x:v>
      </x:c>
      <x:c r="G81" t="str">
        <x:v>Phần mềm CRM</x:v>
      </x:c>
      <x:c r="H81" t="str">
        <x:v>Thanh toán phần mềm crm cho international recruitment</x:v>
      </x:c>
      <x:c r="I81" s="12" t="n">
        <x:v>15000000</x:v>
      </x:c>
      <x:c r="J81" s="12" t="n">
        <x:f>I81*10%</x:f>
        <x:v>1500000</x:v>
      </x:c>
      <x:c r="K81" s="12" t="n">
        <x:f>I81+J81</x:f>
        <x:v>16500000</x:v>
      </x:c>
      <x:c r="L81" t="str">
        <x:v>Quỹ học bổng</x:v>
      </x:c>
      <x:c r="M81" t="str">
        <x:v>Cần bổ sung hồ sơ</x:v>
      </x:c>
      <x:c r="N81" t="str">
        <x:v>Admissions Manager</x:v>
      </x:c>
      <x:c r="O81" t="str">
        <x:v>PO-TS-9261</x:v>
      </x:c>
      <x:c r="P81" t="str"/>
    </x:row>
    <x:row r="82">
      <x:c r="A82" t="str">
        <x:v>DN-TS-2026-081</x:v>
      </x:c>
      <x:c r="B82" s="16" t="n">
        <x:v>46266</x:v>
      </x:c>
      <x:c r="C82" t="str">
        <x:v>Q3</x:v>
      </x:c>
      <x:c r="D82" t="str">
        <x:v>2026-09</x:v>
      </x:c>
      <x:c r="E82" t="str">
        <x:v>Meta Ads Vietnam</x:v>
      </x:c>
      <x:c r="F82" t="str">
        <x:v>Digital Admission Campaign</x:v>
      </x:c>
      <x:c r="G82" t="str">
        <x:v>Chi phí email/SMS</x:v>
      </x:c>
      <x:c r="H82" t="str">
        <x:v>Thanh toán chi phí email/sms cho digital admission campaign</x:v>
      </x:c>
      <x:c r="I82" s="12" t="n">
        <x:v>15000000</x:v>
      </x:c>
      <x:c r="J82" s="12" t="n">
        <x:f>I82*10%</x:f>
        <x:v>1500000</x:v>
      </x:c>
      <x:c r="K82" s="12" t="n">
        <x:f>I82+J82</x:f>
        <x:v>16500000</x:v>
      </x:c>
      <x:c r="L82" t="str">
        <x:v>Tài trợ đối tác</x:v>
      </x:c>
      <x:c r="M82" t="str">
        <x:v>Đã duyệt</x:v>
      </x:c>
      <x:c r="N82" t="str">
        <x:v>Event Coordinator</x:v>
      </x:c>
      <x:c r="O82" t="str">
        <x:v>PO-TS-5215</x:v>
      </x:c>
      <x:c r="P82" t="str"/>
    </x:row>
    <x:row r="83">
      <x:c r="A83" t="str">
        <x:v>DN-TS-2026-082</x:v>
      </x:c>
      <x:c r="B83" s="16" t="n">
        <x:v>46122</x:v>
      </x:c>
      <x:c r="C83" t="str">
        <x:v>Q2</x:v>
      </x:c>
      <x:c r="D83" t="str">
        <x:v>2026-04</x:v>
      </x:c>
      <x:c r="E83" t="str">
        <x:v>Trường THPT đối tác</x:v>
      </x:c>
      <x:c r="F83" t="str">
        <x:v>Sản xuất học liệu truyền thông</x:v>
      </x:c>
      <x:c r="G83" t="str">
        <x:v>Tổ chức booth tư vấn</x:v>
      </x:c>
      <x:c r="H83" t="str">
        <x:v>Thanh toán tổ chức booth tư vấn cho sản xuất học liệu truyền thông</x:v>
      </x:c>
      <x:c r="I83" s="12" t="n">
        <x:v>3000000</x:v>
      </x:c>
      <x:c r="J83" s="12" t="n">
        <x:f>I83*10%</x:f>
        <x:v>300000</x:v>
      </x:c>
      <x:c r="K83" s="12" t="n">
        <x:f>I83+J83</x:f>
        <x:v>3300000</x:v>
      </x:c>
      <x:c r="L83" t="str">
        <x:v>Tài trợ đối tác</x:v>
      </x:c>
      <x:c r="M83" t="str">
        <x:v>Đã thanh toán</x:v>
      </x:c>
      <x:c r="N83" t="str">
        <x:v>Admissions Manager</x:v>
      </x:c>
      <x:c r="O83" t="str">
        <x:v>PO-TS-3875</x:v>
      </x:c>
      <x:c r="P83" t="str"/>
    </x:row>
    <x:row r="84">
      <x:c r="A84" t="str">
        <x:v>DN-TS-2026-083</x:v>
      </x:c>
      <x:c r="B84" s="16" t="n">
        <x:v>46339</x:v>
      </x:c>
      <x:c r="C84" t="str">
        <x:v>Q4</x:v>
      </x:c>
      <x:c r="D84" t="str">
        <x:v>2026-11</x:v>
      </x:c>
      <x:c r="E84" t="str">
        <x:v>Công ty Quà tặng ABC</x:v>
      </x:c>
      <x:c r="F84" t="str">
        <x:v>Tuyển sinh sau đại học</x:v>
      </x:c>
      <x:c r="G84" t="str">
        <x:v>Đào tạo nhân sự</x:v>
      </x:c>
      <x:c r="H84" t="str">
        <x:v>Thanh toán đào tạo nhân sự cho tuyển sinh sau đại học</x:v>
      </x:c>
      <x:c r="I84" s="12" t="n">
        <x:v>150000000</x:v>
      </x:c>
      <x:c r="J84" s="12" t="n">
        <x:f>I84*10%</x:f>
        <x:v>15000000</x:v>
      </x:c>
      <x:c r="K84" s="12" t="n">
        <x:f>I84+J84</x:f>
        <x:v>165000000</x:v>
      </x:c>
      <x:c r="L84" t="str">
        <x:v>Tài trợ đối tác</x:v>
      </x:c>
      <x:c r="M84" t="str">
        <x:v>Chờ duyệt</x:v>
      </x:c>
      <x:c r="N84" t="str">
        <x:v>Admissions Officer</x:v>
      </x:c>
      <x:c r="O84" t="str">
        <x:v>PO-TS-4027</x:v>
      </x:c>
      <x:c r="P84" t="str"/>
    </x:row>
    <x:row r="85">
      <x:c r="A85" t="str">
        <x:v>DN-TS-2026-084</x:v>
      </x:c>
      <x:c r="B85" s="16" t="n">
        <x:v>46098</x:v>
      </x:c>
      <x:c r="C85" t="str">
        <x:v>Q1</x:v>
      </x:c>
      <x:c r="D85" t="str">
        <x:v>2026-03</x:v>
      </x:c>
      <x:c r="E85" t="str">
        <x:v>Công ty EventPlus</x:v>
      </x:c>
      <x:c r="F85" t="str">
        <x:v>Sự kiện phụ huynh</x:v>
      </x:c>
      <x:c r="G85" t="str">
        <x:v>Livestream tư vấn</x:v>
      </x:c>
      <x:c r="H85" t="str">
        <x:v>Thanh toán livestream tư vấn cho sự kiện phụ huynh</x:v>
      </x:c>
      <x:c r="I85" s="12" t="n">
        <x:v>50000000</x:v>
      </x:c>
      <x:c r="J85" s="12" t="n">
        <x:f>I85*10%</x:f>
        <x:v>5000000</x:v>
      </x:c>
      <x:c r="K85" s="12" t="n">
        <x:f>I85+J85</x:f>
        <x:v>55000000</x:v>
      </x:c>
      <x:c r="L85" t="str">
        <x:v>Ngân sách tuyển sinh</x:v>
      </x:c>
      <x:c r="M85" t="str">
        <x:v>Đã duyệt</x:v>
      </x:c>
      <x:c r="N85" t="str">
        <x:v>Admissions Manager</x:v>
      </x:c>
      <x:c r="O85" t="str">
        <x:v>PO-TS-8319</x:v>
      </x:c>
      <x:c r="P85" t="str"/>
    </x:row>
    <x:row r="86">
      <x:c r="A86" t="str">
        <x:v>DN-TS-2026-085</x:v>
      </x:c>
      <x:c r="B86" s="16" t="n">
        <x:v>46163</x:v>
      </x:c>
      <x:c r="C86" t="str">
        <x:v>Q2</x:v>
      </x:c>
      <x:c r="D86" t="str">
        <x:v>2026-05</x:v>
      </x:c>
      <x:c r="E86" t="str">
        <x:v>Công ty Thiết kế Web Nova</x:v>
      </x:c>
      <x:c r="F86" t="str">
        <x:v>Học bổng tuyển sinh</x:v>
      </x:c>
      <x:c r="G86" t="str">
        <x:v>Chi phí diễn giả</x:v>
      </x:c>
      <x:c r="H86" t="str">
        <x:v>Thanh toán chi phí diễn giả cho học bổng tuyển sinh</x:v>
      </x:c>
      <x:c r="I86" s="12" t="n">
        <x:v>20000000</x:v>
      </x:c>
      <x:c r="J86" s="12" t="n">
        <x:f>I86*10%</x:f>
        <x:v>2000000</x:v>
      </x:c>
      <x:c r="K86" s="12" t="n">
        <x:f>I86+J86</x:f>
        <x:v>22000000</x:v>
      </x:c>
      <x:c r="L86" t="str">
        <x:v>Ngân sách tuyển sinh</x:v>
      </x:c>
      <x:c r="M86" t="str">
        <x:v>Đã duyệt</x:v>
      </x:c>
      <x:c r="N86" t="str">
        <x:v>Digital Lead</x:v>
      </x:c>
      <x:c r="O86" t="str">
        <x:v>PO-TS-4871</x:v>
      </x:c>
      <x:c r="P86" t="str"/>
    </x:row>
    <x:row r="87">
      <x:c r="A87" t="str">
        <x:v>DN-TS-2026-086</x:v>
      </x:c>
      <x:c r="B87" s="16" t="n">
        <x:v>46058</x:v>
      </x:c>
      <x:c r="C87" t="str">
        <x:v>Q1</x:v>
      </x:c>
      <x:c r="D87" t="str">
        <x:v>2026-02</x:v>
      </x:c>
      <x:c r="E87" t="str">
        <x:v>Công ty In ấn Minh Long</x:v>
      </x:c>
      <x:c r="F87" t="str">
        <x:v>Tư vấn tuyển sinh THPT</x:v>
      </x:c>
      <x:c r="G87" t="str">
        <x:v>Thuê địa điểm sự kiện</x:v>
      </x:c>
      <x:c r="H87" t="str">
        <x:v>Thanh toán thuê địa điểm sự kiện cho tư vấn tuyển sinh thpt</x:v>
      </x:c>
      <x:c r="I87" s="12" t="n">
        <x:v>150000000</x:v>
      </x:c>
      <x:c r="J87" s="12" t="n">
        <x:f>I87*10%</x:f>
        <x:v>15000000</x:v>
      </x:c>
      <x:c r="K87" s="12" t="n">
        <x:f>I87+J87</x:f>
        <x:v>165000000</x:v>
      </x:c>
      <x:c r="L87" t="str">
        <x:v>Ngân sách truyền thông</x:v>
      </x:c>
      <x:c r="M87" t="str">
        <x:v>Đã thanh toán</x:v>
      </x:c>
      <x:c r="N87" t="str">
        <x:v>Scholarship Officer</x:v>
      </x:c>
      <x:c r="O87" t="str">
        <x:v>PO-TS-6095</x:v>
      </x:c>
      <x:c r="P87" t="str"/>
    </x:row>
    <x:row r="88">
      <x:c r="A88" t="str">
        <x:v>DN-TS-2026-087</x:v>
      </x:c>
      <x:c r="B88" s="16" t="n">
        <x:v>46087</x:v>
      </x:c>
      <x:c r="C88" t="str">
        <x:v>Q1</x:v>
      </x:c>
      <x:c r="D88" t="str">
        <x:v>2026-03</x:v>
      </x:c>
      <x:c r="E88" t="str">
        <x:v>Công ty Sản xuất Video FrameX</x:v>
      </x:c>
      <x:c r="F88" t="str">
        <x:v>Học bổng tuyển sinh</x:v>
      </x:c>
      <x:c r="G88" t="str">
        <x:v>Tổ chức booth tư vấn</x:v>
      </x:c>
      <x:c r="H88" t="str">
        <x:v>Thanh toán tổ chức booth tư vấn cho học bổng tuyển sinh</x:v>
      </x:c>
      <x:c r="I88" s="12" t="n">
        <x:v>150000000</x:v>
      </x:c>
      <x:c r="J88" s="12" t="n">
        <x:f>I88*10%</x:f>
        <x:v>15000000</x:v>
      </x:c>
      <x:c r="K88" s="12" t="n">
        <x:f>I88+J88</x:f>
        <x:v>165000000</x:v>
      </x:c>
      <x:c r="L88" t="str">
        <x:v>Ngân sách truyền thông</x:v>
      </x:c>
      <x:c r="M88" t="str">
        <x:v>Đã duyệt</x:v>
      </x:c>
      <x:c r="N88" t="str">
        <x:v>Admissions Manager</x:v>
      </x:c>
      <x:c r="O88" t="str">
        <x:v>PO-TS-8834</x:v>
      </x:c>
      <x:c r="P88" t="str"/>
    </x:row>
    <x:row r="89">
      <x:c r="A89" t="str">
        <x:v>DN-TS-2026-088</x:v>
      </x:c>
      <x:c r="B89" s="16" t="n">
        <x:v>46105</x:v>
      </x:c>
      <x:c r="C89" t="str">
        <x:v>Q1</x:v>
      </x:c>
      <x:c r="D89" t="str">
        <x:v>2026-03</x:v>
      </x:c>
      <x:c r="E89" t="str">
        <x:v>Nền tảng CRM EduFlow</x:v>
      </x:c>
      <x:c r="F89" t="str">
        <x:v>Sản xuất học liệu truyền thông</x:v>
      </x:c>
      <x:c r="G89" t="str">
        <x:v>Chi phí diễn giả</x:v>
      </x:c>
      <x:c r="H89" t="str">
        <x:v>Thanh toán chi phí diễn giả cho sản xuất học liệu truyền thông</x:v>
      </x:c>
      <x:c r="I89" s="12" t="n">
        <x:v>50000000</x:v>
      </x:c>
      <x:c r="J89" s="12" t="n">
        <x:f>I89*10%</x:f>
        <x:v>5000000</x:v>
      </x:c>
      <x:c r="K89" s="12" t="n">
        <x:f>I89+J89</x:f>
        <x:v>55000000</x:v>
      </x:c>
      <x:c r="L89" t="str">
        <x:v>Quỹ học bổng</x:v>
      </x:c>
      <x:c r="M89" t="str">
        <x:v>Đã thanh toán</x:v>
      </x:c>
      <x:c r="N89" t="str">
        <x:v>Event Coordinator</x:v>
      </x:c>
      <x:c r="O89" t="str">
        <x:v>PO-TS-9806</x:v>
      </x:c>
      <x:c r="P89" t="str"/>
    </x:row>
    <x:row r="90">
      <x:c r="A90" t="str">
        <x:v>DN-TS-2026-089</x:v>
      </x:c>
      <x:c r="B90" s="16" t="n">
        <x:v>46367</x:v>
      </x:c>
      <x:c r="C90" t="str">
        <x:v>Q4</x:v>
      </x:c>
      <x:c r="D90" t="str">
        <x:v>2026-12</x:v>
      </x:c>
      <x:c r="E90" t="str">
        <x:v>Trường THPT đối tác</x:v>
      </x:c>
      <x:c r="F90" t="str">
        <x:v>Digital Admission Campaign</x:v>
      </x:c>
      <x:c r="G90" t="str">
        <x:v>Phần mềm CRM</x:v>
      </x:c>
      <x:c r="H90" t="str">
        <x:v>Thanh toán phần mềm crm cho digital admission campaign</x:v>
      </x:c>
      <x:c r="I90" s="12" t="n">
        <x:v>12000000</x:v>
      </x:c>
      <x:c r="J90" s="12" t="n">
        <x:f>I90*10%</x:f>
        <x:v>1200000</x:v>
      </x:c>
      <x:c r="K90" s="12" t="n">
        <x:f>I90+J90</x:f>
        <x:v>13200000</x:v>
      </x:c>
      <x:c r="L90" t="str">
        <x:v>Ngân sách tuyển sinh</x:v>
      </x:c>
      <x:c r="M90" t="str">
        <x:v>Đã thanh toán</x:v>
      </x:c>
      <x:c r="N90" t="str">
        <x:v>Scholarship Officer</x:v>
      </x:c>
      <x:c r="O90" t="str">
        <x:v>PO-TS-6927</x:v>
      </x:c>
      <x:c r="P90" t="str"/>
    </x:row>
    <x:row r="91">
      <x:c r="A91" t="str">
        <x:v>DN-TS-2026-090</x:v>
      </x:c>
      <x:c r="B91" s="16" t="n">
        <x:v>46066</x:v>
      </x:c>
      <x:c r="C91" t="str">
        <x:v>Q1</x:v>
      </x:c>
      <x:c r="D91" t="str">
        <x:v>2026-02</x:v>
      </x:c>
      <x:c r="E91" t="str">
        <x:v>Công ty Nghiên cứu thị trường Insight</x:v>
      </x:c>
      <x:c r="F91" t="str">
        <x:v>Tư vấn tuyển sinh THPT</x:v>
      </x:c>
      <x:c r="G91" t="str">
        <x:v>Quảng cáo Facebook/Instagram</x:v>
      </x:c>
      <x:c r="H91" t="str">
        <x:v>Thanh toán quảng cáo facebook/instagram cho tư vấn tuyển sinh thpt</x:v>
      </x:c>
      <x:c r="I91" s="12" t="n">
        <x:v>100000000</x:v>
      </x:c>
      <x:c r="J91" s="12" t="n">
        <x:f>I91*10%</x:f>
        <x:v>10000000</x:v>
      </x:c>
      <x:c r="K91" s="12" t="n">
        <x:f>I91+J91</x:f>
        <x:v>110000000</x:v>
      </x:c>
      <x:c r="L91" t="str">
        <x:v>Ngân sách truyền thông</x:v>
      </x:c>
      <x:c r="M91" t="str">
        <x:v>Đã thanh toán</x:v>
      </x:c>
      <x:c r="N91" t="str">
        <x:v>Admissions Manager</x:v>
      </x:c>
      <x:c r="O91" t="str">
        <x:v>PO-TS-3695</x:v>
      </x:c>
      <x:c r="P91" t="str"/>
    </x:row>
    <x:row r="92">
      <x:c r="A92" t="str">
        <x:v>DN-TS-2026-091</x:v>
      </x:c>
      <x:c r="B92" s="16" t="n">
        <x:v>46194</x:v>
      </x:c>
      <x:c r="C92" t="str">
        <x:v>Q2</x:v>
      </x:c>
      <x:c r="D92" t="str">
        <x:v>2026-06</x:v>
      </x:c>
      <x:c r="E92" t="str">
        <x:v>Nhà cung cấp Email/SMS EduConnect</x:v>
      </x:c>
      <x:c r="F92" t="str">
        <x:v>International Recruitment</x:v>
      </x:c>
      <x:c r="G92" t="str">
        <x:v>Quảng cáo Google Search</x:v>
      </x:c>
      <x:c r="H92" t="str">
        <x:v>Thanh toán quảng cáo google search cho international recruitment</x:v>
      </x:c>
      <x:c r="I92" s="12" t="n">
        <x:v>80000000</x:v>
      </x:c>
      <x:c r="J92" s="12" t="n">
        <x:f>I92*10%</x:f>
        <x:v>8000000</x:v>
      </x:c>
      <x:c r="K92" s="12" t="n">
        <x:f>I92+J92</x:f>
        <x:v>88000000</x:v>
      </x:c>
      <x:c r="L92" t="str">
        <x:v>Ngân sách truyền thông</x:v>
      </x:c>
      <x:c r="M92" t="str">
        <x:v>Đã thanh toán</x:v>
      </x:c>
      <x:c r="N92" t="str">
        <x:v>Event Coordinator</x:v>
      </x:c>
      <x:c r="O92" t="str">
        <x:v>PO-TS-2489</x:v>
      </x:c>
      <x:c r="P92" t="str"/>
    </x:row>
    <x:row r="93">
      <x:c r="A93" t="str">
        <x:v>DN-TS-2026-092</x:v>
      </x:c>
      <x:c r="B93" s="16" t="n">
        <x:v>46288</x:v>
      </x:c>
      <x:c r="C93" t="str">
        <x:v>Q3</x:v>
      </x:c>
      <x:c r="D93" t="str">
        <x:v>2026-09</x:v>
      </x:c>
      <x:c r="E93" t="str">
        <x:v>Google Asia Pacific</x:v>
      </x:c>
      <x:c r="F93" t="str">
        <x:v>Tuyển sinh đại học chính quy</x:v>
      </x:c>
      <x:c r="G93" t="str">
        <x:v>Thuê địa điểm sự kiện</x:v>
      </x:c>
      <x:c r="H93" t="str">
        <x:v>Thanh toán thuê địa điểm sự kiện cho tuyển sinh đại học chính quy</x:v>
      </x:c>
      <x:c r="I93" s="12" t="n">
        <x:v>50000000</x:v>
      </x:c>
      <x:c r="J93" s="12" t="n">
        <x:f>I93*10%</x:f>
        <x:v>5000000</x:v>
      </x:c>
      <x:c r="K93" s="12" t="n">
        <x:f>I93+J93</x:f>
        <x:v>55000000</x:v>
      </x:c>
      <x:c r="L93" t="str">
        <x:v>Quỹ học bổng</x:v>
      </x:c>
      <x:c r="M93" t="str">
        <x:v>Đã thanh toán</x:v>
      </x:c>
      <x:c r="N93" t="str">
        <x:v>Admissions Officer</x:v>
      </x:c>
      <x:c r="O93" t="str">
        <x:v>PO-TS-8575</x:v>
      </x:c>
      <x:c r="P93" t="str"/>
    </x:row>
    <x:row r="94">
      <x:c r="A94" t="str">
        <x:v>DN-TS-2026-093</x:v>
      </x:c>
      <x:c r="B94" s="16" t="n">
        <x:v>46371</x:v>
      </x:c>
      <x:c r="C94" t="str">
        <x:v>Q4</x:v>
      </x:c>
      <x:c r="D94" t="str">
        <x:v>2026-12</x:v>
      </x:c>
      <x:c r="E94" t="str">
        <x:v>Công ty Quà tặng ABC</x:v>
      </x:c>
      <x:c r="F94" t="str">
        <x:v>Sản xuất học liệu truyền thông</x:v>
      </x:c>
      <x:c r="G94" t="str">
        <x:v>Quảng cáo Facebook/Instagram</x:v>
      </x:c>
      <x:c r="H94" t="str">
        <x:v>Thanh toán quảng cáo facebook/instagram cho sản xuất học liệu truyền thông</x:v>
      </x:c>
      <x:c r="I94" s="12" t="n">
        <x:v>15000000</x:v>
      </x:c>
      <x:c r="J94" s="12" t="n">
        <x:f>I94*10%</x:f>
        <x:v>1500000</x:v>
      </x:c>
      <x:c r="K94" s="12" t="n">
        <x:f>I94+J94</x:f>
        <x:v>16500000</x:v>
      </x:c>
      <x:c r="L94" t="str">
        <x:v>Tài trợ đối tác</x:v>
      </x:c>
      <x:c r="M94" t="str">
        <x:v>Đã thanh toán</x:v>
      </x:c>
      <x:c r="N94" t="str">
        <x:v>Admissions Manager</x:v>
      </x:c>
      <x:c r="O94" t="str">
        <x:v>PO-TS-2196</x:v>
      </x:c>
      <x:c r="P94" t="str"/>
    </x:row>
    <x:row r="95">
      <x:c r="A95" t="str">
        <x:v>DN-TS-2026-094</x:v>
      </x:c>
      <x:c r="B95" s="16" t="n">
        <x:v>46050</x:v>
      </x:c>
      <x:c r="C95" t="str">
        <x:v>Q1</x:v>
      </x:c>
      <x:c r="D95" t="str">
        <x:v>2026-01</x:v>
      </x:c>
      <x:c r="E95" t="str">
        <x:v>Meta Ads Vietnam</x:v>
      </x:c>
      <x:c r="F95" t="str">
        <x:v>Sự kiện phụ huynh</x:v>
      </x:c>
      <x:c r="G95" t="str">
        <x:v>Học bổng đầu vào</x:v>
      </x:c>
      <x:c r="H95" t="str">
        <x:v>Thanh toán học bổng đầu vào cho sự kiện phụ huynh</x:v>
      </x:c>
      <x:c r="I95" s="12" t="n">
        <x:v>30000000</x:v>
      </x:c>
      <x:c r="J95" s="12" t="n">
        <x:f>I95*10%</x:f>
        <x:v>3000000</x:v>
      </x:c>
      <x:c r="K95" s="12" t="n">
        <x:f>I95+J95</x:f>
        <x:v>33000000</x:v>
      </x:c>
      <x:c r="L95" t="str">
        <x:v>Ngân sách tuyển sinh</x:v>
      </x:c>
      <x:c r="M95" t="str">
        <x:v>Cần bổ sung hồ sơ</x:v>
      </x:c>
      <x:c r="N95" t="str">
        <x:v>Admissions Officer</x:v>
      </x:c>
      <x:c r="O95" t="str">
        <x:v>PO-TS-8734</x:v>
      </x:c>
      <x:c r="P95" t="str"/>
    </x:row>
    <x:row r="96">
      <x:c r="A96" t="str">
        <x:v>DN-TS-2026-095</x:v>
      </x:c>
      <x:c r="B96" s="16" t="n">
        <x:v>46043</x:v>
      </x:c>
      <x:c r="C96" t="str">
        <x:v>Q1</x:v>
      </x:c>
      <x:c r="D96" t="str">
        <x:v>2026-01</x:v>
      </x:c>
      <x:c r="E96" t="str">
        <x:v>Trường THPT đối tác</x:v>
      </x:c>
      <x:c r="F96" t="str">
        <x:v>Tuyển sinh sau đại học</x:v>
      </x:c>
      <x:c r="G96" t="str">
        <x:v>Sản xuất video tuyển sinh</x:v>
      </x:c>
      <x:c r="H96" t="str">
        <x:v>Thanh toán sản xuất video tuyển sinh cho tuyển sinh sau đại học</x:v>
      </x:c>
      <x:c r="I96" s="12" t="n">
        <x:v>15000000</x:v>
      </x:c>
      <x:c r="J96" s="12" t="n">
        <x:f>I96*10%</x:f>
        <x:v>1500000</x:v>
      </x:c>
      <x:c r="K96" s="12" t="n">
        <x:f>I96+J96</x:f>
        <x:v>16500000</x:v>
      </x:c>
      <x:c r="L96" t="str">
        <x:v>Ngân sách truyền thông</x:v>
      </x:c>
      <x:c r="M96" t="str">
        <x:v>Đã thanh toán</x:v>
      </x:c>
      <x:c r="N96" t="str">
        <x:v>Event Coordinator</x:v>
      </x:c>
      <x:c r="O96" t="str">
        <x:v>PO-TS-7135</x:v>
      </x:c>
      <x:c r="P96" t="str"/>
    </x:row>
    <x:row r="97">
      <x:c r="A97" t="str">
        <x:v>DN-TS-2026-096</x:v>
      </x:c>
      <x:c r="B97" s="16" t="n">
        <x:v>46222</x:v>
      </x:c>
      <x:c r="C97" t="str">
        <x:v>Q3</x:v>
      </x:c>
      <x:c r="D97" t="str">
        <x:v>2026-07</x:v>
      </x:c>
      <x:c r="E97" t="str">
        <x:v>Meta Ads Vietnam</x:v>
      </x:c>
      <x:c r="F97" t="str">
        <x:v>Tuyển sinh sau đại học</x:v>
      </x:c>
      <x:c r="G97" t="str">
        <x:v>Chi phí đi lại công tác</x:v>
      </x:c>
      <x:c r="H97" t="str">
        <x:v>Thanh toán chi phí đi lại công tác cho tuyển sinh sau đại học</x:v>
      </x:c>
      <x:c r="I97" s="12" t="n">
        <x:v>50000000</x:v>
      </x:c>
      <x:c r="J97" s="12" t="n">
        <x:f>I97*10%</x:f>
        <x:v>5000000</x:v>
      </x:c>
      <x:c r="K97" s="12" t="n">
        <x:f>I97+J97</x:f>
        <x:v>55000000</x:v>
      </x:c>
      <x:c r="L97" t="str">
        <x:v>Ngân sách truyền thông</x:v>
      </x:c>
      <x:c r="M97" t="str">
        <x:v>Đã thanh toán</x:v>
      </x:c>
      <x:c r="N97" t="str">
        <x:v>Digital Lead</x:v>
      </x:c>
      <x:c r="O97" t="str">
        <x:v>PO-TS-2943</x:v>
      </x:c>
      <x:c r="P97" t="str"/>
    </x:row>
    <x:row r="98">
      <x:c r="A98" t="str">
        <x:v>DN-TS-2026-097</x:v>
      </x:c>
      <x:c r="B98" s="16" t="n">
        <x:v>46118</x:v>
      </x:c>
      <x:c r="C98" t="str">
        <x:v>Q2</x:v>
      </x:c>
      <x:c r="D98" t="str">
        <x:v>2026-04</x:v>
      </x:c>
      <x:c r="E98" t="str">
        <x:v>Google Asia Pacific</x:v>
      </x:c>
      <x:c r="F98" t="str">
        <x:v>Tuyển sinh sau đại học</x:v>
      </x:c>
      <x:c r="G98" t="str">
        <x:v>Quà tặng thí sinh</x:v>
      </x:c>
      <x:c r="H98" t="str">
        <x:v>Thanh toán quà tặng thí sinh cho tuyển sinh sau đại học</x:v>
      </x:c>
      <x:c r="I98" s="12" t="n">
        <x:v>80000000</x:v>
      </x:c>
      <x:c r="J98" s="12" t="n">
        <x:f>I98*10%</x:f>
        <x:v>8000000</x:v>
      </x:c>
      <x:c r="K98" s="12" t="n">
        <x:f>I98+J98</x:f>
        <x:v>88000000</x:v>
      </x:c>
      <x:c r="L98" t="str">
        <x:v>Ngân sách truyền thông</x:v>
      </x:c>
      <x:c r="M98" t="str">
        <x:v>Đã thanh toán</x:v>
      </x:c>
      <x:c r="N98" t="str">
        <x:v>Admissions Officer</x:v>
      </x:c>
      <x:c r="O98" t="str">
        <x:v>PO-TS-5888</x:v>
      </x:c>
      <x:c r="P98" t="str"/>
    </x:row>
    <x:row r="99">
      <x:c r="A99" t="str">
        <x:v>DN-TS-2026-098</x:v>
      </x:c>
      <x:c r="B99" s="16" t="n">
        <x:v>46264</x:v>
      </x:c>
      <x:c r="C99" t="str">
        <x:v>Q3</x:v>
      </x:c>
      <x:c r="D99" t="str">
        <x:v>2026-08</x:v>
      </x:c>
      <x:c r="E99" t="str">
        <x:v>Công ty Quà tặng ABC</x:v>
      </x:c>
      <x:c r="F99" t="str">
        <x:v>Sản xuất học liệu truyền thông</x:v>
      </x:c>
      <x:c r="G99" t="str">
        <x:v>Quà tặng thí sinh</x:v>
      </x:c>
      <x:c r="H99" t="str">
        <x:v>Thanh toán quà tặng thí sinh cho sản xuất học liệu truyền thông</x:v>
      </x:c>
      <x:c r="I99" s="12" t="n">
        <x:v>150000000</x:v>
      </x:c>
      <x:c r="J99" s="12" t="n">
        <x:f>I99*10%</x:f>
        <x:v>15000000</x:v>
      </x:c>
      <x:c r="K99" s="12" t="n">
        <x:f>I99+J99</x:f>
        <x:v>165000000</x:v>
      </x:c>
      <x:c r="L99" t="str">
        <x:v>Quỹ học bổng</x:v>
      </x:c>
      <x:c r="M99" t="str">
        <x:v>Đã thanh toán</x:v>
      </x:c>
      <x:c r="N99" t="str">
        <x:v>Admissions Manager</x:v>
      </x:c>
      <x:c r="O99" t="str">
        <x:v>PO-TS-8546</x:v>
      </x:c>
      <x:c r="P99" t="str"/>
    </x:row>
    <x:row r="100">
      <x:c r="A100" t="str">
        <x:v>DN-TS-2026-099</x:v>
      </x:c>
      <x:c r="B100" s="16" t="n">
        <x:v>46204</x:v>
      </x:c>
      <x:c r="C100" t="str">
        <x:v>Q3</x:v>
      </x:c>
      <x:c r="D100" t="str">
        <x:v>2026-07</x:v>
      </x:c>
      <x:c r="E100" t="str">
        <x:v>Công ty Thiết kế Web Nova</x:v>
      </x:c>
      <x:c r="F100" t="str">
        <x:v>Học bổng tuyển sinh</x:v>
      </x:c>
      <x:c r="G100" t="str">
        <x:v>Thiết kế landing page</x:v>
      </x:c>
      <x:c r="H100" t="str">
        <x:v>Thanh toán thiết kế landing page cho học bổng tuyển sinh</x:v>
      </x:c>
      <x:c r="I100" s="12" t="n">
        <x:v>8000000</x:v>
      </x:c>
      <x:c r="J100" s="12" t="n">
        <x:f>I100*10%</x:f>
        <x:v>800000</x:v>
      </x:c>
      <x:c r="K100" s="12" t="n">
        <x:f>I100+J100</x:f>
        <x:v>8800000</x:v>
      </x:c>
      <x:c r="L100" t="str">
        <x:v>Ngân sách tuyển sinh</x:v>
      </x:c>
      <x:c r="M100" t="str">
        <x:v>Chờ duyệt</x:v>
      </x:c>
      <x:c r="N100" t="str">
        <x:v>Event Coordinator</x:v>
      </x:c>
      <x:c r="O100" t="str">
        <x:v>PO-TS-1256</x:v>
      </x:c>
      <x:c r="P100" t="str"/>
    </x:row>
    <x:row r="101">
      <x:c r="A101" t="str">
        <x:v>DN-TS-2026-100</x:v>
      </x:c>
      <x:c r="B101" s="16" t="n">
        <x:v>46150</x:v>
      </x:c>
      <x:c r="C101" t="str">
        <x:v>Q2</x:v>
      </x:c>
      <x:c r="D101" t="str">
        <x:v>2026-05</x:v>
      </x:c>
      <x:c r="E101" t="str">
        <x:v>Công ty Sản xuất Video FrameX</x:v>
      </x:c>
      <x:c r="F101" t="str">
        <x:v>Tư vấn tuyển sinh THPT</x:v>
      </x:c>
      <x:c r="G101" t="str">
        <x:v>Quảng cáo Google Search</x:v>
      </x:c>
      <x:c r="H101" t="str">
        <x:v>Thanh toán quảng cáo google search cho tư vấn tuyển sinh thpt</x:v>
      </x:c>
      <x:c r="I101" s="12" t="n">
        <x:v>12000000</x:v>
      </x:c>
      <x:c r="J101" s="12" t="n">
        <x:f>I101*10%</x:f>
        <x:v>1200000</x:v>
      </x:c>
      <x:c r="K101" s="12" t="n">
        <x:f>I101+J101</x:f>
        <x:v>13200000</x:v>
      </x:c>
      <x:c r="L101" t="str">
        <x:v>Ngân sách tuyển sinh</x:v>
      </x:c>
      <x:c r="M101" t="str">
        <x:v>Đã thanh toán</x:v>
      </x:c>
      <x:c r="N101" t="str">
        <x:v>Admissions Officer</x:v>
      </x:c>
      <x:c r="O101" t="str">
        <x:v>PO-TS-5009</x:v>
      </x:c>
      <x:c r="P101" t="str"/>
    </x:row>
    <x:row r="102">
      <x:c r="A102" t="str">
        <x:v>DN-TS-2026-101</x:v>
      </x:c>
      <x:c r="B102" s="16" t="n">
        <x:v>46049</x:v>
      </x:c>
      <x:c r="C102" t="str">
        <x:v>Q1</x:v>
      </x:c>
      <x:c r="D102" t="str">
        <x:v>2026-01</x:v>
      </x:c>
      <x:c r="E102" t="str">
        <x:v>Dịch vụ Logistics Thành Công</x:v>
      </x:c>
      <x:c r="F102" t="str">
        <x:v>International Recruitment</x:v>
      </x:c>
      <x:c r="G102" t="str">
        <x:v>Thiết kế landing page</x:v>
      </x:c>
      <x:c r="H102" t="str">
        <x:v>Thanh toán thiết kế landing page cho international recruitment</x:v>
      </x:c>
      <x:c r="I102" s="12" t="n">
        <x:v>30000000</x:v>
      </x:c>
      <x:c r="J102" s="12" t="n">
        <x:f>I102*10%</x:f>
        <x:v>3000000</x:v>
      </x:c>
      <x:c r="K102" s="12" t="n">
        <x:f>I102+J102</x:f>
        <x:v>33000000</x:v>
      </x:c>
      <x:c r="L102" t="str">
        <x:v>Ngân sách truyền thông</x:v>
      </x:c>
      <x:c r="M102" t="str">
        <x:v>Đã thanh toán</x:v>
      </x:c>
      <x:c r="N102" t="str">
        <x:v>Admissions Officer</x:v>
      </x:c>
      <x:c r="O102" t="str">
        <x:v>PO-TS-3295</x:v>
      </x:c>
      <x:c r="P102" t="str"/>
    </x:row>
    <x:row r="103">
      <x:c r="A103" t="str">
        <x:v>DN-TS-2026-102</x:v>
      </x:c>
      <x:c r="B103" s="16" t="n">
        <x:v>46284</x:v>
      </x:c>
      <x:c r="C103" t="str">
        <x:v>Q3</x:v>
      </x:c>
      <x:c r="D103" t="str">
        <x:v>2026-09</x:v>
      </x:c>
      <x:c r="E103" t="str">
        <x:v>Công ty Thiết kế Web Nova</x:v>
      </x:c>
      <x:c r="F103" t="str">
        <x:v>Digital Admission Campaign</x:v>
      </x:c>
      <x:c r="G103" t="str">
        <x:v>Đào tạo nhân sự</x:v>
      </x:c>
      <x:c r="H103" t="str">
        <x:v>Thanh toán đào tạo nhân sự cho digital admission campaign</x:v>
      </x:c>
      <x:c r="I103" s="12" t="n">
        <x:v>15000000</x:v>
      </x:c>
      <x:c r="J103" s="12" t="n">
        <x:f>I103*10%</x:f>
        <x:v>1500000</x:v>
      </x:c>
      <x:c r="K103" s="12" t="n">
        <x:f>I103+J103</x:f>
        <x:v>16500000</x:v>
      </x:c>
      <x:c r="L103" t="str">
        <x:v>Tài trợ đối tác</x:v>
      </x:c>
      <x:c r="M103" t="str">
        <x:v>Đã thanh toán</x:v>
      </x:c>
      <x:c r="N103" t="str">
        <x:v>Digital Lead</x:v>
      </x:c>
      <x:c r="O103" t="str">
        <x:v>PO-TS-4881</x:v>
      </x:c>
      <x:c r="P103" t="str"/>
    </x:row>
    <x:row r="104">
      <x:c r="A104" t="str">
        <x:v>DN-TS-2026-103</x:v>
      </x:c>
      <x:c r="B104" s="16" t="n">
        <x:v>46181</x:v>
      </x:c>
      <x:c r="C104" t="str">
        <x:v>Q2</x:v>
      </x:c>
      <x:c r="D104" t="str">
        <x:v>2026-06</x:v>
      </x:c>
      <x:c r="E104" t="str">
        <x:v>Công ty EventPlus</x:v>
      </x:c>
      <x:c r="F104" t="str">
        <x:v>Ngày hội tuyển sinh</x:v>
      </x:c>
      <x:c r="G104" t="str">
        <x:v>Quà tặng thí sinh</x:v>
      </x:c>
      <x:c r="H104" t="str">
        <x:v>Thanh toán quà tặng thí sinh cho ngày hội tuyển sinh</x:v>
      </x:c>
      <x:c r="I104" s="12" t="n">
        <x:v>8000000</x:v>
      </x:c>
      <x:c r="J104" s="12" t="n">
        <x:f>I104*10%</x:f>
        <x:v>800000</x:v>
      </x:c>
      <x:c r="K104" s="12" t="n">
        <x:f>I104+J104</x:f>
        <x:v>8800000</x:v>
      </x:c>
      <x:c r="L104" t="str">
        <x:v>Quỹ học bổng</x:v>
      </x:c>
      <x:c r="M104" t="str">
        <x:v>Đã duyệt</x:v>
      </x:c>
      <x:c r="N104" t="str">
        <x:v>Admissions Officer</x:v>
      </x:c>
      <x:c r="O104" t="str">
        <x:v>PO-TS-3869</x:v>
      </x:c>
      <x:c r="P104" t="str"/>
    </x:row>
    <x:row r="105">
      <x:c r="A105" t="str">
        <x:v>DN-TS-2026-104</x:v>
      </x:c>
      <x:c r="B105" s="16" t="n">
        <x:v>46347</x:v>
      </x:c>
      <x:c r="C105" t="str">
        <x:v>Q4</x:v>
      </x:c>
      <x:c r="D105" t="str">
        <x:v>2026-11</x:v>
      </x:c>
      <x:c r="E105" t="str">
        <x:v>Trung tâm Hội nghị Quốc gia</x:v>
      </x:c>
      <x:c r="F105" t="str">
        <x:v>Tuyển sinh sau đại học</x:v>
      </x:c>
      <x:c r="G105" t="str">
        <x:v>Quà tặng thí sinh</x:v>
      </x:c>
      <x:c r="H105" t="str">
        <x:v>Thanh toán quà tặng thí sinh cho tuyển sinh sau đại học</x:v>
      </x:c>
      <x:c r="I105" s="12" t="n">
        <x:v>150000000</x:v>
      </x:c>
      <x:c r="J105" s="12" t="n">
        <x:f>I105*10%</x:f>
        <x:v>15000000</x:v>
      </x:c>
      <x:c r="K105" s="12" t="n">
        <x:f>I105+J105</x:f>
        <x:v>165000000</x:v>
      </x:c>
      <x:c r="L105" t="str">
        <x:v>Ngân sách tuyển sinh</x:v>
      </x:c>
      <x:c r="M105" t="str">
        <x:v>Tạm dừng</x:v>
      </x:c>
      <x:c r="N105" t="str">
        <x:v>Event Coordinator</x:v>
      </x:c>
      <x:c r="O105" t="str">
        <x:v>PO-TS-9592</x:v>
      </x:c>
      <x:c r="P105" t="str"/>
    </x:row>
    <x:row r="106">
      <x:c r="A106" t="str">
        <x:v>DN-TS-2026-105</x:v>
      </x:c>
      <x:c r="B106" s="16" t="n">
        <x:v>46190</x:v>
      </x:c>
      <x:c r="C106" t="str">
        <x:v>Q2</x:v>
      </x:c>
      <x:c r="D106" t="str">
        <x:v>2026-06</x:v>
      </x:c>
      <x:c r="E106" t="str">
        <x:v>Công ty In ấn Minh Long</x:v>
      </x:c>
      <x:c r="F106" t="str">
        <x:v>Tuyển sinh sau đại học</x:v>
      </x:c>
      <x:c r="G106" t="str">
        <x:v>Sản xuất video tuyển sinh</x:v>
      </x:c>
      <x:c r="H106" t="str">
        <x:v>Thanh toán sản xuất video tuyển sinh cho tuyển sinh sau đại học</x:v>
      </x:c>
      <x:c r="I106" s="12" t="n">
        <x:v>30000000</x:v>
      </x:c>
      <x:c r="J106" s="12" t="n">
        <x:f>I106*10%</x:f>
        <x:v>3000000</x:v>
      </x:c>
      <x:c r="K106" s="12" t="n">
        <x:f>I106+J106</x:f>
        <x:v>33000000</x:v>
      </x:c>
      <x:c r="L106" t="str">
        <x:v>Quỹ học bổng</x:v>
      </x:c>
      <x:c r="M106" t="str">
        <x:v>Đã duyệt</x:v>
      </x:c>
      <x:c r="N106" t="str">
        <x:v>Scholarship Officer</x:v>
      </x:c>
      <x:c r="O106" t="str">
        <x:v>PO-TS-8758</x:v>
      </x:c>
      <x:c r="P106" t="str"/>
    </x:row>
    <x:row r="107">
      <x:c r="A107" t="str">
        <x:v>DN-TS-2026-106</x:v>
      </x:c>
      <x:c r="B107" s="16" t="n">
        <x:v>46150</x:v>
      </x:c>
      <x:c r="C107" t="str">
        <x:v>Q2</x:v>
      </x:c>
      <x:c r="D107" t="str">
        <x:v>2026-05</x:v>
      </x:c>
      <x:c r="E107" t="str">
        <x:v>Công ty Thiết kế Web Nova</x:v>
      </x:c>
      <x:c r="F107" t="str">
        <x:v>Học bổng tuyển sinh</x:v>
      </x:c>
      <x:c r="G107" t="str">
        <x:v>Đào tạo nhân sự</x:v>
      </x:c>
      <x:c r="H107" t="str">
        <x:v>Thanh toán đào tạo nhân sự cho học bổng tuyển sinh</x:v>
      </x:c>
      <x:c r="I107" s="12" t="n">
        <x:v>12000000</x:v>
      </x:c>
      <x:c r="J107" s="12" t="n">
        <x:f>I107*10%</x:f>
        <x:v>1200000</x:v>
      </x:c>
      <x:c r="K107" s="12" t="n">
        <x:f>I107+J107</x:f>
        <x:v>13200000</x:v>
      </x:c>
      <x:c r="L107" t="str">
        <x:v>Ngân sách truyền thông</x:v>
      </x:c>
      <x:c r="M107" t="str">
        <x:v>Đã thanh toán</x:v>
      </x:c>
      <x:c r="N107" t="str">
        <x:v>Admissions Officer</x:v>
      </x:c>
      <x:c r="O107" t="str">
        <x:v>PO-TS-7761</x:v>
      </x:c>
      <x:c r="P107" t="str"/>
    </x:row>
    <x:row r="108">
      <x:c r="A108" t="str">
        <x:v>DN-TS-2026-107</x:v>
      </x:c>
      <x:c r="B108" s="16" t="n">
        <x:v>46240</x:v>
      </x:c>
      <x:c r="C108" t="str">
        <x:v>Q3</x:v>
      </x:c>
      <x:c r="D108" t="str">
        <x:v>2026-08</x:v>
      </x:c>
      <x:c r="E108" t="str">
        <x:v>Công ty Quà tặng ABC</x:v>
      </x:c>
      <x:c r="F108" t="str">
        <x:v>CRM &amp; Admission System</x:v>
      </x:c>
      <x:c r="G108" t="str">
        <x:v>Sản xuất video tuyển sinh</x:v>
      </x:c>
      <x:c r="H108" t="str">
        <x:v>Thanh toán sản xuất video tuyển sinh cho crm &amp; admission system</x:v>
      </x:c>
      <x:c r="I108" s="12" t="n">
        <x:v>80000000</x:v>
      </x:c>
      <x:c r="J108" s="12" t="n">
        <x:f>I108*10%</x:f>
        <x:v>8000000</x:v>
      </x:c>
      <x:c r="K108" s="12" t="n">
        <x:f>I108+J108</x:f>
        <x:v>88000000</x:v>
      </x:c>
      <x:c r="L108" t="str">
        <x:v>Ngân sách truyền thông</x:v>
      </x:c>
      <x:c r="M108" t="str">
        <x:v>Đã duyệt</x:v>
      </x:c>
      <x:c r="N108" t="str">
        <x:v>Digital Lead</x:v>
      </x:c>
      <x:c r="O108" t="str">
        <x:v>PO-TS-2295</x:v>
      </x:c>
      <x:c r="P108" t="str"/>
    </x:row>
    <x:row r="109">
      <x:c r="A109" t="str">
        <x:v>DN-TS-2026-108</x:v>
      </x:c>
      <x:c r="B109" s="16" t="n">
        <x:v>46257</x:v>
      </x:c>
      <x:c r="C109" t="str">
        <x:v>Q3</x:v>
      </x:c>
      <x:c r="D109" t="str">
        <x:v>2026-08</x:v>
      </x:c>
      <x:c r="E109" t="str">
        <x:v>Công ty Thiết kế Web Nova</x:v>
      </x:c>
      <x:c r="F109" t="str">
        <x:v>Tư vấn tuyển sinh THPT</x:v>
      </x:c>
      <x:c r="G109" t="str">
        <x:v>Quà tặng thí sinh</x:v>
      </x:c>
      <x:c r="H109" t="str">
        <x:v>Thanh toán quà tặng thí sinh cho tư vấn tuyển sinh thpt</x:v>
      </x:c>
      <x:c r="I109" s="12" t="n">
        <x:v>20000000</x:v>
      </x:c>
      <x:c r="J109" s="12" t="n">
        <x:f>I109*10%</x:f>
        <x:v>2000000</x:v>
      </x:c>
      <x:c r="K109" s="12" t="n">
        <x:f>I109+J109</x:f>
        <x:v>22000000</x:v>
      </x:c>
      <x:c r="L109" t="str">
        <x:v>Ngân sách truyền thông</x:v>
      </x:c>
      <x:c r="M109" t="str">
        <x:v>Chờ duyệt</x:v>
      </x:c>
      <x:c r="N109" t="str">
        <x:v>Event Coordinator</x:v>
      </x:c>
      <x:c r="O109" t="str">
        <x:v>PO-TS-1647</x:v>
      </x:c>
      <x:c r="P109" t="str"/>
    </x:row>
    <x:row r="110">
      <x:c r="A110" t="str">
        <x:v>DN-TS-2026-109</x:v>
      </x:c>
      <x:c r="B110" s="16" t="n">
        <x:v>46064</x:v>
      </x:c>
      <x:c r="C110" t="str">
        <x:v>Q1</x:v>
      </x:c>
      <x:c r="D110" t="str">
        <x:v>2026-02</x:v>
      </x:c>
      <x:c r="E110" t="str">
        <x:v>Nhà cung cấp Email/SMS EduConnect</x:v>
      </x:c>
      <x:c r="F110" t="str">
        <x:v>Đào tạo cộng tác viên tuyển sinh</x:v>
      </x:c>
      <x:c r="G110" t="str">
        <x:v>Học bổng đầu vào</x:v>
      </x:c>
      <x:c r="H110" t="str">
        <x:v>Thanh toán học bổng đầu vào cho đào tạo cộng tác viên tuyển sinh</x:v>
      </x:c>
      <x:c r="I110" s="12" t="n">
        <x:v>12000000</x:v>
      </x:c>
      <x:c r="J110" s="12" t="n">
        <x:f>I110*10%</x:f>
        <x:v>1200000</x:v>
      </x:c>
      <x:c r="K110" s="12" t="n">
        <x:f>I110+J110</x:f>
        <x:v>13200000</x:v>
      </x:c>
      <x:c r="L110" t="str">
        <x:v>Ngân sách truyền thông</x:v>
      </x:c>
      <x:c r="M110" t="str">
        <x:v>Đã thanh toán</x:v>
      </x:c>
      <x:c r="N110" t="str">
        <x:v>Digital Lead</x:v>
      </x:c>
      <x:c r="O110" t="str">
        <x:v>PO-TS-5967</x:v>
      </x:c>
      <x:c r="P110" t="str"/>
    </x:row>
    <x:row r="111">
      <x:c r="A111" t="str">
        <x:v>DN-TS-2026-110</x:v>
      </x:c>
      <x:c r="B111" s="16" t="n">
        <x:v>46034</x:v>
      </x:c>
      <x:c r="C111" t="str">
        <x:v>Q1</x:v>
      </x:c>
      <x:c r="D111" t="str">
        <x:v>2026-01</x:v>
      </x:c>
      <x:c r="E111" t="str">
        <x:v>Meta Ads Vietnam</x:v>
      </x:c>
      <x:c r="F111" t="str">
        <x:v>Digital Admission Campaign</x:v>
      </x:c>
      <x:c r="G111" t="str">
        <x:v>Học bổng đầu vào</x:v>
      </x:c>
      <x:c r="H111" t="str">
        <x:v>Thanh toán học bổng đầu vào cho digital admission campaign</x:v>
      </x:c>
      <x:c r="I111" s="12" t="n">
        <x:v>12000000</x:v>
      </x:c>
      <x:c r="J111" s="12" t="n">
        <x:f>I111*10%</x:f>
        <x:v>1200000</x:v>
      </x:c>
      <x:c r="K111" s="12" t="n">
        <x:f>I111+J111</x:f>
        <x:v>13200000</x:v>
      </x:c>
      <x:c r="L111" t="str">
        <x:v>Quỹ học bổng</x:v>
      </x:c>
      <x:c r="M111" t="str">
        <x:v>Cần bổ sung hồ sơ</x:v>
      </x:c>
      <x:c r="N111" t="str">
        <x:v>Scholarship Officer</x:v>
      </x:c>
      <x:c r="O111" t="str">
        <x:v>PO-TS-4350</x:v>
      </x:c>
      <x:c r="P111" t="str"/>
    </x:row>
    <x:row r="112">
      <x:c r="A112" t="str">
        <x:v>DN-TS-2026-111</x:v>
      </x:c>
      <x:c r="B112" s="16" t="n">
        <x:v>46230</x:v>
      </x:c>
      <x:c r="C112" t="str">
        <x:v>Q3</x:v>
      </x:c>
      <x:c r="D112" t="str">
        <x:v>2026-07</x:v>
      </x:c>
      <x:c r="E112" t="str">
        <x:v>Trường THPT đối tác</x:v>
      </x:c>
      <x:c r="F112" t="str">
        <x:v>CRM &amp; Admission System</x:v>
      </x:c>
      <x:c r="G112" t="str">
        <x:v>Tổ chức booth tư vấn</x:v>
      </x:c>
      <x:c r="H112" t="str">
        <x:v>Thanh toán tổ chức booth tư vấn cho crm &amp; admission system</x:v>
      </x:c>
      <x:c r="I112" s="12" t="n">
        <x:v>12000000</x:v>
      </x:c>
      <x:c r="J112" s="12" t="n">
        <x:f>I112*10%</x:f>
        <x:v>1200000</x:v>
      </x:c>
      <x:c r="K112" s="12" t="n">
        <x:f>I112+J112</x:f>
        <x:v>13200000</x:v>
      </x:c>
      <x:c r="L112" t="str">
        <x:v>Tài trợ đối tác</x:v>
      </x:c>
      <x:c r="M112" t="str">
        <x:v>Đã duyệt</x:v>
      </x:c>
      <x:c r="N112" t="str">
        <x:v>Scholarship Officer</x:v>
      </x:c>
      <x:c r="O112" t="str">
        <x:v>PO-TS-6886</x:v>
      </x:c>
      <x:c r="P112" t="str"/>
    </x:row>
    <x:row r="113">
      <x:c r="A113" t="str">
        <x:v>DN-TS-2026-112</x:v>
      </x:c>
      <x:c r="B113" s="16" t="n">
        <x:v>46184</x:v>
      </x:c>
      <x:c r="C113" t="str">
        <x:v>Q2</x:v>
      </x:c>
      <x:c r="D113" t="str">
        <x:v>2026-06</x:v>
      </x:c>
      <x:c r="E113" t="str">
        <x:v>Trung tâm Hội nghị Quốc gia</x:v>
      </x:c>
      <x:c r="F113" t="str">
        <x:v>Sự kiện phụ huynh</x:v>
      </x:c>
      <x:c r="G113" t="str">
        <x:v>Quà tặng thí sinh</x:v>
      </x:c>
      <x:c r="H113" t="str">
        <x:v>Thanh toán quà tặng thí sinh cho sự kiện phụ huynh</x:v>
      </x:c>
      <x:c r="I113" s="12" t="n">
        <x:v>15000000</x:v>
      </x:c>
      <x:c r="J113" s="12" t="n">
        <x:f>I113*10%</x:f>
        <x:v>1500000</x:v>
      </x:c>
      <x:c r="K113" s="12" t="n">
        <x:f>I113+J113</x:f>
        <x:v>16500000</x:v>
      </x:c>
      <x:c r="L113" t="str">
        <x:v>Quỹ học bổng</x:v>
      </x:c>
      <x:c r="M113" t="str">
        <x:v>Chờ duyệt</x:v>
      </x:c>
      <x:c r="N113" t="str">
        <x:v>Event Coordinator</x:v>
      </x:c>
      <x:c r="O113" t="str">
        <x:v>PO-TS-6246</x:v>
      </x:c>
      <x:c r="P113" t="str"/>
    </x:row>
    <x:row r="114">
      <x:c r="A114" t="str">
        <x:v>DN-TS-2026-113</x:v>
      </x:c>
      <x:c r="B114" s="16" t="n">
        <x:v>46131</x:v>
      </x:c>
      <x:c r="C114" t="str">
        <x:v>Q2</x:v>
      </x:c>
      <x:c r="D114" t="str">
        <x:v>2026-04</x:v>
      </x:c>
      <x:c r="E114" t="str">
        <x:v>Công ty Truyền thông Sao Việt</x:v>
      </x:c>
      <x:c r="F114" t="str">
        <x:v>Sự kiện phụ huynh</x:v>
      </x:c>
      <x:c r="G114" t="str">
        <x:v>Chi phí đi lại công tác</x:v>
      </x:c>
      <x:c r="H114" t="str">
        <x:v>Thanh toán chi phí đi lại công tác cho sự kiện phụ huynh</x:v>
      </x:c>
      <x:c r="I114" s="12" t="n">
        <x:v>20000000</x:v>
      </x:c>
      <x:c r="J114" s="12" t="n">
        <x:f>I114*10%</x:f>
        <x:v>2000000</x:v>
      </x:c>
      <x:c r="K114" s="12" t="n">
        <x:f>I114+J114</x:f>
        <x:v>22000000</x:v>
      </x:c>
      <x:c r="L114" t="str">
        <x:v>Ngân sách truyền thông</x:v>
      </x:c>
      <x:c r="M114" t="str">
        <x:v>Đã thanh toán</x:v>
      </x:c>
      <x:c r="N114" t="str">
        <x:v>Admissions Officer</x:v>
      </x:c>
      <x:c r="O114" t="str">
        <x:v>PO-TS-5272</x:v>
      </x:c>
      <x:c r="P114" t="str"/>
    </x:row>
    <x:row r="115">
      <x:c r="A115" t="str">
        <x:v>DN-TS-2026-114</x:v>
      </x:c>
      <x:c r="B115" s="16" t="n">
        <x:v>46310</x:v>
      </x:c>
      <x:c r="C115" t="str">
        <x:v>Q4</x:v>
      </x:c>
      <x:c r="D115" t="str">
        <x:v>2026-10</x:v>
      </x:c>
      <x:c r="E115" t="str">
        <x:v>Công ty Quà tặng ABC</x:v>
      </x:c>
      <x:c r="F115" t="str">
        <x:v>Đào tạo cộng tác viên tuyển sinh</x:v>
      </x:c>
      <x:c r="G115" t="str">
        <x:v>Học bổng đầu vào</x:v>
      </x:c>
      <x:c r="H115" t="str">
        <x:v>Thanh toán học bổng đầu vào cho đào tạo cộng tác viên tuyển sinh</x:v>
      </x:c>
      <x:c r="I115" s="12" t="n">
        <x:v>100000000</x:v>
      </x:c>
      <x:c r="J115" s="12" t="n">
        <x:f>I115*10%</x:f>
        <x:v>10000000</x:v>
      </x:c>
      <x:c r="K115" s="12" t="n">
        <x:f>I115+J115</x:f>
        <x:v>110000000</x:v>
      </x:c>
      <x:c r="L115" t="str">
        <x:v>Tài trợ đối tác</x:v>
      </x:c>
      <x:c r="M115" t="str">
        <x:v>Đã duyệt</x:v>
      </x:c>
      <x:c r="N115" t="str">
        <x:v>Digital Lead</x:v>
      </x:c>
      <x:c r="O115" t="str">
        <x:v>PO-TS-4768</x:v>
      </x:c>
      <x:c r="P115" t="str"/>
    </x:row>
    <x:row r="116">
      <x:c r="A116" t="str">
        <x:v>DN-TS-2026-115</x:v>
      </x:c>
      <x:c r="B116" s="16" t="n">
        <x:v>46221</x:v>
      </x:c>
      <x:c r="C116" t="str">
        <x:v>Q3</x:v>
      </x:c>
      <x:c r="D116" t="str">
        <x:v>2026-07</x:v>
      </x:c>
      <x:c r="E116" t="str">
        <x:v>Dịch vụ Logistics Thành Công</x:v>
      </x:c>
      <x:c r="F116" t="str">
        <x:v>Digital Admission Campaign</x:v>
      </x:c>
      <x:c r="G116" t="str">
        <x:v>Thuê địa điểm sự kiện</x:v>
      </x:c>
      <x:c r="H116" t="str">
        <x:v>Thanh toán thuê địa điểm sự kiện cho digital admission campaign</x:v>
      </x:c>
      <x:c r="I116" s="12" t="n">
        <x:v>100000000</x:v>
      </x:c>
      <x:c r="J116" s="12" t="n">
        <x:f>I116*10%</x:f>
        <x:v>10000000</x:v>
      </x:c>
      <x:c r="K116" s="12" t="n">
        <x:f>I116+J116</x:f>
        <x:v>110000000</x:v>
      </x:c>
      <x:c r="L116" t="str">
        <x:v>Tài trợ đối tác</x:v>
      </x:c>
      <x:c r="M116" t="str">
        <x:v>Đã duyệt</x:v>
      </x:c>
      <x:c r="N116" t="str">
        <x:v>Event Coordinator</x:v>
      </x:c>
      <x:c r="O116" t="str">
        <x:v>PO-TS-9037</x:v>
      </x:c>
      <x:c r="P116" t="str"/>
    </x:row>
    <x:row r="117">
      <x:c r="A117" t="str">
        <x:v>DN-TS-2026-116</x:v>
      </x:c>
      <x:c r="B117" s="16" t="n">
        <x:v>46262</x:v>
      </x:c>
      <x:c r="C117" t="str">
        <x:v>Q3</x:v>
      </x:c>
      <x:c r="D117" t="str">
        <x:v>2026-08</x:v>
      </x:c>
      <x:c r="E117" t="str">
        <x:v>Nền tảng CRM EduFlow</x:v>
      </x:c>
      <x:c r="F117" t="str">
        <x:v>Sản xuất học liệu truyền thông</x:v>
      </x:c>
      <x:c r="G117" t="str">
        <x:v>Chi phí email/SMS</x:v>
      </x:c>
      <x:c r="H117" t="str">
        <x:v>Thanh toán chi phí email/sms cho sản xuất học liệu truyền thông</x:v>
      </x:c>
      <x:c r="I117" s="12" t="n">
        <x:v>8000000</x:v>
      </x:c>
      <x:c r="J117" s="12" t="n">
        <x:f>I117*10%</x:f>
        <x:v>800000</x:v>
      </x:c>
      <x:c r="K117" s="12" t="n">
        <x:f>I117+J117</x:f>
        <x:v>8800000</x:v>
      </x:c>
      <x:c r="L117" t="str">
        <x:v>Ngân sách truyền thông</x:v>
      </x:c>
      <x:c r="M117" t="str">
        <x:v>Chờ duyệt</x:v>
      </x:c>
      <x:c r="N117" t="str">
        <x:v>Scholarship Officer</x:v>
      </x:c>
      <x:c r="O117" t="str">
        <x:v>PO-TS-9000</x:v>
      </x:c>
      <x:c r="P117" t="str"/>
    </x:row>
    <x:row r="118">
      <x:c r="A118" t="str">
        <x:v>DN-TS-2026-117</x:v>
      </x:c>
      <x:c r="B118" s="16" t="n">
        <x:v>46121</x:v>
      </x:c>
      <x:c r="C118" t="str">
        <x:v>Q2</x:v>
      </x:c>
      <x:c r="D118" t="str">
        <x:v>2026-04</x:v>
      </x:c>
      <x:c r="E118" t="str">
        <x:v>Dịch vụ Logistics Thành Công</x:v>
      </x:c>
      <x:c r="F118" t="str">
        <x:v>Ngày hội tuyển sinh</x:v>
      </x:c>
      <x:c r="G118" t="str">
        <x:v>Quảng cáo Facebook/Instagram</x:v>
      </x:c>
      <x:c r="H118" t="str">
        <x:v>Thanh toán quảng cáo facebook/instagram cho ngày hội tuyển sinh</x:v>
      </x:c>
      <x:c r="I118" s="12" t="n">
        <x:v>80000000</x:v>
      </x:c>
      <x:c r="J118" s="12" t="n">
        <x:f>I118*10%</x:f>
        <x:v>8000000</x:v>
      </x:c>
      <x:c r="K118" s="12" t="n">
        <x:f>I118+J118</x:f>
        <x:v>88000000</x:v>
      </x:c>
      <x:c r="L118" t="str">
        <x:v>Ngân sách tuyển sinh</x:v>
      </x:c>
      <x:c r="M118" t="str">
        <x:v>Đã thanh toán</x:v>
      </x:c>
      <x:c r="N118" t="str">
        <x:v>Admissions Officer</x:v>
      </x:c>
      <x:c r="O118" t="str">
        <x:v>PO-TS-1794</x:v>
      </x:c>
      <x:c r="P118" t="str"/>
    </x:row>
    <x:row r="119">
      <x:c r="A119" t="str">
        <x:v>DN-TS-2026-118</x:v>
      </x:c>
      <x:c r="B119" s="16" t="n">
        <x:v>46030</x:v>
      </x:c>
      <x:c r="C119" t="str">
        <x:v>Q1</x:v>
      </x:c>
      <x:c r="D119" t="str">
        <x:v>2026-01</x:v>
      </x:c>
      <x:c r="E119" t="str">
        <x:v>Nhà cung cấp Email/SMS EduConnect</x:v>
      </x:c>
      <x:c r="F119" t="str">
        <x:v>Open Day / Campus Tour</x:v>
      </x:c>
      <x:c r="G119" t="str">
        <x:v>Đào tạo nhân sự</x:v>
      </x:c>
      <x:c r="H119" t="str">
        <x:v>Thanh toán đào tạo nhân sự cho open day / campus tour</x:v>
      </x:c>
      <x:c r="I119" s="12" t="n">
        <x:v>30000000</x:v>
      </x:c>
      <x:c r="J119" s="12" t="n">
        <x:f>I119*10%</x:f>
        <x:v>3000000</x:v>
      </x:c>
      <x:c r="K119" s="12" t="n">
        <x:f>I119+J119</x:f>
        <x:v>33000000</x:v>
      </x:c>
      <x:c r="L119" t="str">
        <x:v>Ngân sách truyền thông</x:v>
      </x:c>
      <x:c r="M119" t="str">
        <x:v>Chờ duyệt</x:v>
      </x:c>
      <x:c r="N119" t="str">
        <x:v>Admissions Manager</x:v>
      </x:c>
      <x:c r="O119" t="str">
        <x:v>PO-TS-1149</x:v>
      </x:c>
      <x:c r="P119" t="str"/>
    </x:row>
    <x:row r="120">
      <x:c r="A120" t="str">
        <x:v>DN-TS-2026-119</x:v>
      </x:c>
      <x:c r="B120" s="16" t="n">
        <x:v>46138</x:v>
      </x:c>
      <x:c r="C120" t="str">
        <x:v>Q2</x:v>
      </x:c>
      <x:c r="D120" t="str">
        <x:v>2026-04</x:v>
      </x:c>
      <x:c r="E120" t="str">
        <x:v>Công ty Truyền thông Sao Việt</x:v>
      </x:c>
      <x:c r="F120" t="str">
        <x:v>International Recruitment</x:v>
      </x:c>
      <x:c r="G120" t="str">
        <x:v>Tổ chức booth tư vấn</x:v>
      </x:c>
      <x:c r="H120" t="str">
        <x:v>Thanh toán tổ chức booth tư vấn cho international recruitment</x:v>
      </x:c>
      <x:c r="I120" s="12" t="n">
        <x:v>80000000</x:v>
      </x:c>
      <x:c r="J120" s="12" t="n">
        <x:f>I120*10%</x:f>
        <x:v>8000000</x:v>
      </x:c>
      <x:c r="K120" s="12" t="n">
        <x:f>I120+J120</x:f>
        <x:v>88000000</x:v>
      </x:c>
      <x:c r="L120" t="str">
        <x:v>Quỹ học bổng</x:v>
      </x:c>
      <x:c r="M120" t="str">
        <x:v>Đã thanh toán</x:v>
      </x:c>
      <x:c r="N120" t="str">
        <x:v>Admissions Officer</x:v>
      </x:c>
      <x:c r="O120" t="str">
        <x:v>PO-TS-1108</x:v>
      </x:c>
      <x:c r="P120" t="str"/>
    </x:row>
    <x:row r="121">
      <x:c r="A121" t="str">
        <x:v>DN-TS-2026-120</x:v>
      </x:c>
      <x:c r="B121" s="16" t="n">
        <x:v>46299</x:v>
      </x:c>
      <x:c r="C121" t="str">
        <x:v>Q4</x:v>
      </x:c>
      <x:c r="D121" t="str">
        <x:v>2026-10</x:v>
      </x:c>
      <x:c r="E121" t="str">
        <x:v>Công ty Truyền thông Sao Việt</x:v>
      </x:c>
      <x:c r="F121" t="str">
        <x:v>Tuyển sinh sau đại học</x:v>
      </x:c>
      <x:c r="G121" t="str">
        <x:v>Quảng cáo Facebook/Instagram</x:v>
      </x:c>
      <x:c r="H121" t="str">
        <x:v>Thanh toán quảng cáo facebook/instagram cho tuyển sinh sau đại học</x:v>
      </x:c>
      <x:c r="I121" s="12" t="n">
        <x:v>80000000</x:v>
      </x:c>
      <x:c r="J121" s="12" t="n">
        <x:f>I121*10%</x:f>
        <x:v>8000000</x:v>
      </x:c>
      <x:c r="K121" s="12" t="n">
        <x:f>I121+J121</x:f>
        <x:v>88000000</x:v>
      </x:c>
      <x:c r="L121" t="str">
        <x:v>Tài trợ đối tác</x:v>
      </x:c>
      <x:c r="M121" t="str">
        <x:v>Đã thanh toán</x:v>
      </x:c>
      <x:c r="N121" t="str">
        <x:v>Digital Lead</x:v>
      </x:c>
      <x:c r="O121" t="str">
        <x:v>PO-TS-1280</x:v>
      </x:c>
      <x:c r="P121" t="str"/>
    </x:row>
    <x:row r="122">
      <x:c r="A122" t="str">
        <x:v>DN-TS-2026-121</x:v>
      </x:c>
      <x:c r="B122" s="16" t="n">
        <x:v>46284</x:v>
      </x:c>
      <x:c r="C122" t="str">
        <x:v>Q3</x:v>
      </x:c>
      <x:c r="D122" t="str">
        <x:v>2026-09</x:v>
      </x:c>
      <x:c r="E122" t="str">
        <x:v>Google Asia Pacific</x:v>
      </x:c>
      <x:c r="F122" t="str">
        <x:v>Tuyển sinh sau đại học</x:v>
      </x:c>
      <x:c r="G122" t="str">
        <x:v>Chi phí email/SMS</x:v>
      </x:c>
      <x:c r="H122" t="str">
        <x:v>Thanh toán chi phí email/sms cho tuyển sinh sau đại học</x:v>
      </x:c>
      <x:c r="I122" s="12" t="n">
        <x:v>150000000</x:v>
      </x:c>
      <x:c r="J122" s="12" t="n">
        <x:f>I122*10%</x:f>
        <x:v>15000000</x:v>
      </x:c>
      <x:c r="K122" s="12" t="n">
        <x:f>I122+J122</x:f>
        <x:v>165000000</x:v>
      </x:c>
      <x:c r="L122" t="str">
        <x:v>Ngân sách tuyển sinh</x:v>
      </x:c>
      <x:c r="M122" t="str">
        <x:v>Cần bổ sung hồ sơ</x:v>
      </x:c>
      <x:c r="N122" t="str">
        <x:v>Scholarship Officer</x:v>
      </x:c>
      <x:c r="O122" t="str">
        <x:v>PO-TS-3439</x:v>
      </x:c>
      <x:c r="P122" t="str"/>
    </x:row>
    <x:row r="123">
      <x:c r="A123" t="str">
        <x:v>DN-TS-2026-122</x:v>
      </x:c>
      <x:c r="B123" s="16" t="n">
        <x:v>46150</x:v>
      </x:c>
      <x:c r="C123" t="str">
        <x:v>Q2</x:v>
      </x:c>
      <x:c r="D123" t="str">
        <x:v>2026-05</x:v>
      </x:c>
      <x:c r="E123" t="str">
        <x:v>Công ty In ấn Minh Long</x:v>
      </x:c>
      <x:c r="F123" t="str">
        <x:v>Đào tạo cộng tác viên tuyển sinh</x:v>
      </x:c>
      <x:c r="G123" t="str">
        <x:v>Quà tặng thí sinh</x:v>
      </x:c>
      <x:c r="H123" t="str">
        <x:v>Thanh toán quà tặng thí sinh cho đào tạo cộng tác viên tuyển sinh</x:v>
      </x:c>
      <x:c r="I123" s="12" t="n">
        <x:v>12000000</x:v>
      </x:c>
      <x:c r="J123" s="12" t="n">
        <x:f>I123*10%</x:f>
        <x:v>1200000</x:v>
      </x:c>
      <x:c r="K123" s="12" t="n">
        <x:f>I123+J123</x:f>
        <x:v>13200000</x:v>
      </x:c>
      <x:c r="L123" t="str">
        <x:v>Tài trợ đối tác</x:v>
      </x:c>
      <x:c r="M123" t="str">
        <x:v>Đã duyệt</x:v>
      </x:c>
      <x:c r="N123" t="str">
        <x:v>Event Coordinator</x:v>
      </x:c>
      <x:c r="O123" t="str">
        <x:v>PO-TS-2294</x:v>
      </x:c>
      <x:c r="P123" t="str"/>
    </x:row>
    <x:row r="124">
      <x:c r="A124" t="str">
        <x:v>DN-TS-2026-123</x:v>
      </x:c>
      <x:c r="B124" s="16" t="n">
        <x:v>46218</x:v>
      </x:c>
      <x:c r="C124" t="str">
        <x:v>Q3</x:v>
      </x:c>
      <x:c r="D124" t="str">
        <x:v>2026-07</x:v>
      </x:c>
      <x:c r="E124" t="str">
        <x:v>Công ty EventPlus</x:v>
      </x:c>
      <x:c r="F124" t="str">
        <x:v>International Recruitment</x:v>
      </x:c>
      <x:c r="G124" t="str">
        <x:v>Chi phí diễn giả</x:v>
      </x:c>
      <x:c r="H124" t="str">
        <x:v>Thanh toán chi phí diễn giả cho international recruitment</x:v>
      </x:c>
      <x:c r="I124" s="12" t="n">
        <x:v>30000000</x:v>
      </x:c>
      <x:c r="J124" s="12" t="n">
        <x:f>I124*10%</x:f>
        <x:v>3000000</x:v>
      </x:c>
      <x:c r="K124" s="12" t="n">
        <x:f>I124+J124</x:f>
        <x:v>33000000</x:v>
      </x:c>
      <x:c r="L124" t="str">
        <x:v>Ngân sách truyền thông</x:v>
      </x:c>
      <x:c r="M124" t="str">
        <x:v>Đã duyệt</x:v>
      </x:c>
      <x:c r="N124" t="str">
        <x:v>Admissions Officer</x:v>
      </x:c>
      <x:c r="O124" t="str">
        <x:v>PO-TS-1519</x:v>
      </x:c>
      <x:c r="P124" t="str"/>
    </x:row>
    <x:row r="125">
      <x:c r="A125" t="str">
        <x:v>DN-TS-2026-124</x:v>
      </x:c>
      <x:c r="B125" s="16" t="n">
        <x:v>46074</x:v>
      </x:c>
      <x:c r="C125" t="str">
        <x:v>Q1</x:v>
      </x:c>
      <x:c r="D125" t="str">
        <x:v>2026-02</x:v>
      </x:c>
      <x:c r="E125" t="str">
        <x:v>Dịch vụ Logistics Thành Công</x:v>
      </x:c>
      <x:c r="F125" t="str">
        <x:v>Tuyển sinh sau đại học</x:v>
      </x:c>
      <x:c r="G125" t="str">
        <x:v>Chi phí đi lại công tác</x:v>
      </x:c>
      <x:c r="H125" t="str">
        <x:v>Thanh toán chi phí đi lại công tác cho tuyển sinh sau đại học</x:v>
      </x:c>
      <x:c r="I125" s="12" t="n">
        <x:v>30000000</x:v>
      </x:c>
      <x:c r="J125" s="12" t="n">
        <x:f>I125*10%</x:f>
        <x:v>3000000</x:v>
      </x:c>
      <x:c r="K125" s="12" t="n">
        <x:f>I125+J125</x:f>
        <x:v>33000000</x:v>
      </x:c>
      <x:c r="L125" t="str">
        <x:v>Quỹ học bổng</x:v>
      </x:c>
      <x:c r="M125" t="str">
        <x:v>Chờ duyệt</x:v>
      </x:c>
      <x:c r="N125" t="str">
        <x:v>Admissions Officer</x:v>
      </x:c>
      <x:c r="O125" t="str">
        <x:v>PO-TS-3807</x:v>
      </x:c>
      <x:c r="P125" t="str"/>
    </x:row>
    <x:row r="126">
      <x:c r="A126" t="str">
        <x:v>DN-TS-2026-125</x:v>
      </x:c>
      <x:c r="B126" s="16" t="n">
        <x:v>46069</x:v>
      </x:c>
      <x:c r="C126" t="str">
        <x:v>Q1</x:v>
      </x:c>
      <x:c r="D126" t="str">
        <x:v>2026-02</x:v>
      </x:c>
      <x:c r="E126" t="str">
        <x:v>Trường THPT đối tác</x:v>
      </x:c>
      <x:c r="F126" t="str">
        <x:v>Tuyển sinh sau đại học</x:v>
      </x:c>
      <x:c r="G126" t="str">
        <x:v>Phần mềm CRM</x:v>
      </x:c>
      <x:c r="H126" t="str">
        <x:v>Thanh toán phần mềm crm cho tuyển sinh sau đại học</x:v>
      </x:c>
      <x:c r="I126" s="12" t="n">
        <x:v>50000000</x:v>
      </x:c>
      <x:c r="J126" s="12" t="n">
        <x:f>I126*10%</x:f>
        <x:v>5000000</x:v>
      </x:c>
      <x:c r="K126" s="12" t="n">
        <x:f>I126+J126</x:f>
        <x:v>55000000</x:v>
      </x:c>
      <x:c r="L126" t="str">
        <x:v>Tài trợ đối tác</x:v>
      </x:c>
      <x:c r="M126" t="str">
        <x:v>Đã thanh toán</x:v>
      </x:c>
      <x:c r="N126" t="str">
        <x:v>Admissions Officer</x:v>
      </x:c>
      <x:c r="O126" t="str">
        <x:v>PO-TS-9653</x:v>
      </x:c>
      <x:c r="P126" t="str"/>
    </x:row>
    <x:row r="127">
      <x:c r="A127" t="str">
        <x:v>DN-TS-2026-126</x:v>
      </x:c>
      <x:c r="B127" s="16" t="n">
        <x:v>46048</x:v>
      </x:c>
      <x:c r="C127" t="str">
        <x:v>Q1</x:v>
      </x:c>
      <x:c r="D127" t="str">
        <x:v>2026-01</x:v>
      </x:c>
      <x:c r="E127" t="str">
        <x:v>Công ty Nghiên cứu thị trường Insight</x:v>
      </x:c>
      <x:c r="F127" t="str">
        <x:v>Digital Admission Campaign</x:v>
      </x:c>
      <x:c r="G127" t="str">
        <x:v>Livestream tư vấn</x:v>
      </x:c>
      <x:c r="H127" t="str">
        <x:v>Thanh toán livestream tư vấn cho digital admission campaign</x:v>
      </x:c>
      <x:c r="I127" s="12" t="n">
        <x:v>12000000</x:v>
      </x:c>
      <x:c r="J127" s="12" t="n">
        <x:f>I127*10%</x:f>
        <x:v>1200000</x:v>
      </x:c>
      <x:c r="K127" s="12" t="n">
        <x:f>I127+J127</x:f>
        <x:v>13200000</x:v>
      </x:c>
      <x:c r="L127" t="str">
        <x:v>Quỹ học bổng</x:v>
      </x:c>
      <x:c r="M127" t="str">
        <x:v>Đã duyệt</x:v>
      </x:c>
      <x:c r="N127" t="str">
        <x:v>Admissions Officer</x:v>
      </x:c>
      <x:c r="O127" t="str">
        <x:v>PO-TS-5593</x:v>
      </x:c>
      <x:c r="P127" t="str"/>
    </x:row>
    <x:row r="128">
      <x:c r="A128" t="str">
        <x:v>DN-TS-2026-127</x:v>
      </x:c>
      <x:c r="B128" s="16" t="n">
        <x:v>46305</x:v>
      </x:c>
      <x:c r="C128" t="str">
        <x:v>Q4</x:v>
      </x:c>
      <x:c r="D128" t="str">
        <x:v>2026-10</x:v>
      </x:c>
      <x:c r="E128" t="str">
        <x:v>Google Asia Pacific</x:v>
      </x:c>
      <x:c r="F128" t="str">
        <x:v>Ngày hội tuyển sinh</x:v>
      </x:c>
      <x:c r="G128" t="str">
        <x:v>Quảng cáo Facebook/Instagram</x:v>
      </x:c>
      <x:c r="H128" t="str">
        <x:v>Thanh toán quảng cáo facebook/instagram cho ngày hội tuyển sinh</x:v>
      </x:c>
      <x:c r="I128" s="12" t="n">
        <x:v>100000000</x:v>
      </x:c>
      <x:c r="J128" s="12" t="n">
        <x:f>I128*10%</x:f>
        <x:v>10000000</x:v>
      </x:c>
      <x:c r="K128" s="12" t="n">
        <x:f>I128+J128</x:f>
        <x:v>110000000</x:v>
      </x:c>
      <x:c r="L128" t="str">
        <x:v>Tài trợ đối tác</x:v>
      </x:c>
      <x:c r="M128" t="str">
        <x:v>Chờ duyệt</x:v>
      </x:c>
      <x:c r="N128" t="str">
        <x:v>Admissions Manager</x:v>
      </x:c>
      <x:c r="O128" t="str">
        <x:v>PO-TS-3362</x:v>
      </x:c>
      <x:c r="P128" t="str"/>
    </x:row>
    <x:row r="129">
      <x:c r="A129" t="str">
        <x:v>DN-TS-2026-128</x:v>
      </x:c>
      <x:c r="B129" s="16" t="n">
        <x:v>46230</x:v>
      </x:c>
      <x:c r="C129" t="str">
        <x:v>Q3</x:v>
      </x:c>
      <x:c r="D129" t="str">
        <x:v>2026-07</x:v>
      </x:c>
      <x:c r="E129" t="str">
        <x:v>Công ty Sản xuất Video FrameX</x:v>
      </x:c>
      <x:c r="F129" t="str">
        <x:v>Học bổng tuyển sinh</x:v>
      </x:c>
      <x:c r="G129" t="str">
        <x:v>Sản xuất video tuyển sinh</x:v>
      </x:c>
      <x:c r="H129" t="str">
        <x:v>Thanh toán sản xuất video tuyển sinh cho học bổng tuyển sinh</x:v>
      </x:c>
      <x:c r="I129" s="12" t="n">
        <x:v>5000000</x:v>
      </x:c>
      <x:c r="J129" s="12" t="n">
        <x:f>I129*10%</x:f>
        <x:v>500000</x:v>
      </x:c>
      <x:c r="K129" s="12" t="n">
        <x:f>I129+J129</x:f>
        <x:v>5500000</x:v>
      </x:c>
      <x:c r="L129" t="str">
        <x:v>Ngân sách truyền thông</x:v>
      </x:c>
      <x:c r="M129" t="str">
        <x:v>Đã thanh toán</x:v>
      </x:c>
      <x:c r="N129" t="str">
        <x:v>Event Coordinator</x:v>
      </x:c>
      <x:c r="O129" t="str">
        <x:v>PO-TS-9856</x:v>
      </x:c>
      <x:c r="P129" t="str"/>
    </x:row>
    <x:row r="130">
      <x:c r="A130" t="str">
        <x:v>DN-TS-2026-129</x:v>
      </x:c>
      <x:c r="B130" s="16" t="n">
        <x:v>46196</x:v>
      </x:c>
      <x:c r="C130" t="str">
        <x:v>Q2</x:v>
      </x:c>
      <x:c r="D130" t="str">
        <x:v>2026-06</x:v>
      </x:c>
      <x:c r="E130" t="str">
        <x:v>Trường THPT đối tác</x:v>
      </x:c>
      <x:c r="F130" t="str">
        <x:v>Sản xuất học liệu truyền thông</x:v>
      </x:c>
      <x:c r="G130" t="str">
        <x:v>Sản xuất video tuyển sinh</x:v>
      </x:c>
      <x:c r="H130" t="str">
        <x:v>Thanh toán sản xuất video tuyển sinh cho sản xuất học liệu truyền thông</x:v>
      </x:c>
      <x:c r="I130" s="12" t="n">
        <x:v>30000000</x:v>
      </x:c>
      <x:c r="J130" s="12" t="n">
        <x:f>I130*10%</x:f>
        <x:v>3000000</x:v>
      </x:c>
      <x:c r="K130" s="12" t="n">
        <x:f>I130+J130</x:f>
        <x:v>33000000</x:v>
      </x:c>
      <x:c r="L130" t="str">
        <x:v>Ngân sách tuyển sinh</x:v>
      </x:c>
      <x:c r="M130" t="str">
        <x:v>Đã thanh toán</x:v>
      </x:c>
      <x:c r="N130" t="str">
        <x:v>Digital Lead</x:v>
      </x:c>
      <x:c r="O130" t="str">
        <x:v>PO-TS-1879</x:v>
      </x:c>
      <x:c r="P130" t="str"/>
    </x:row>
    <x:row r="131">
      <x:c r="A131" t="str">
        <x:v>DN-TS-2026-130</x:v>
      </x:c>
      <x:c r="B131" s="16" t="n">
        <x:v>46077</x:v>
      </x:c>
      <x:c r="C131" t="str">
        <x:v>Q1</x:v>
      </x:c>
      <x:c r="D131" t="str">
        <x:v>2026-02</x:v>
      </x:c>
      <x:c r="E131" t="str">
        <x:v>Meta Ads Vietnam</x:v>
      </x:c>
      <x:c r="F131" t="str">
        <x:v>Digital Admission Campaign</x:v>
      </x:c>
      <x:c r="G131" t="str">
        <x:v>Đào tạo nhân sự</x:v>
      </x:c>
      <x:c r="H131" t="str">
        <x:v>Thanh toán đào tạo nhân sự cho digital admission campaign</x:v>
      </x:c>
      <x:c r="I131" s="12" t="n">
        <x:v>30000000</x:v>
      </x:c>
      <x:c r="J131" s="12" t="n">
        <x:f>I131*10%</x:f>
        <x:v>3000000</x:v>
      </x:c>
      <x:c r="K131" s="12" t="n">
        <x:f>I131+J131</x:f>
        <x:v>33000000</x:v>
      </x:c>
      <x:c r="L131" t="str">
        <x:v>Tài trợ đối tác</x:v>
      </x:c>
      <x:c r="M131" t="str">
        <x:v>Đã thanh toán</x:v>
      </x:c>
      <x:c r="N131" t="str">
        <x:v>Scholarship Officer</x:v>
      </x:c>
      <x:c r="O131" t="str">
        <x:v>PO-TS-7499</x:v>
      </x:c>
      <x:c r="P131" t="str"/>
    </x:row>
    <x:row r="132">
      <x:c r="A132" t="str">
        <x:v>DN-TS-2026-131</x:v>
      </x:c>
      <x:c r="B132" s="16" t="n">
        <x:v>46194</x:v>
      </x:c>
      <x:c r="C132" t="str">
        <x:v>Q2</x:v>
      </x:c>
      <x:c r="D132" t="str">
        <x:v>2026-06</x:v>
      </x:c>
      <x:c r="E132" t="str">
        <x:v>Trường THPT đối tác</x:v>
      </x:c>
      <x:c r="F132" t="str">
        <x:v>Ngày hội tuyển sinh</x:v>
      </x:c>
      <x:c r="G132" t="str">
        <x:v>In ấn brochure</x:v>
      </x:c>
      <x:c r="H132" t="str">
        <x:v>Thanh toán in ấn brochure cho ngày hội tuyển sinh</x:v>
      </x:c>
      <x:c r="I132" s="12" t="n">
        <x:v>3000000</x:v>
      </x:c>
      <x:c r="J132" s="12" t="n">
        <x:f>I132*10%</x:f>
        <x:v>300000</x:v>
      </x:c>
      <x:c r="K132" s="12" t="n">
        <x:f>I132+J132</x:f>
        <x:v>3300000</x:v>
      </x:c>
      <x:c r="L132" t="str">
        <x:v>Quỹ học bổng</x:v>
      </x:c>
      <x:c r="M132" t="str">
        <x:v>Đã thanh toán</x:v>
      </x:c>
      <x:c r="N132" t="str">
        <x:v>Digital Lead</x:v>
      </x:c>
      <x:c r="O132" t="str">
        <x:v>PO-TS-7150</x:v>
      </x:c>
      <x:c r="P132" t="str"/>
    </x:row>
    <x:row r="133">
      <x:c r="A133" t="str">
        <x:v>DN-TS-2026-132</x:v>
      </x:c>
      <x:c r="B133" s="16" t="n">
        <x:v>46248</x:v>
      </x:c>
      <x:c r="C133" t="str">
        <x:v>Q3</x:v>
      </x:c>
      <x:c r="D133" t="str">
        <x:v>2026-08</x:v>
      </x:c>
      <x:c r="E133" t="str">
        <x:v>Nhà cung cấp Email/SMS EduConnect</x:v>
      </x:c>
      <x:c r="F133" t="str">
        <x:v>Ngày hội tuyển sinh</x:v>
      </x:c>
      <x:c r="G133" t="str">
        <x:v>Chi phí diễn giả</x:v>
      </x:c>
      <x:c r="H133" t="str">
        <x:v>Thanh toán chi phí diễn giả cho ngày hội tuyển sinh</x:v>
      </x:c>
      <x:c r="I133" s="12" t="n">
        <x:v>8000000</x:v>
      </x:c>
      <x:c r="J133" s="12" t="n">
        <x:f>I133*10%</x:f>
        <x:v>800000</x:v>
      </x:c>
      <x:c r="K133" s="12" t="n">
        <x:f>I133+J133</x:f>
        <x:v>8800000</x:v>
      </x:c>
      <x:c r="L133" t="str">
        <x:v>Quỹ học bổng</x:v>
      </x:c>
      <x:c r="M133" t="str">
        <x:v>Chờ duyệt</x:v>
      </x:c>
      <x:c r="N133" t="str">
        <x:v>Scholarship Officer</x:v>
      </x:c>
      <x:c r="O133" t="str">
        <x:v>PO-TS-5839</x:v>
      </x:c>
      <x:c r="P133" t="str"/>
    </x:row>
    <x:row r="134">
      <x:c r="A134" t="str">
        <x:v>DN-TS-2026-133</x:v>
      </x:c>
      <x:c r="B134" s="16" t="n">
        <x:v>46153</x:v>
      </x:c>
      <x:c r="C134" t="str">
        <x:v>Q2</x:v>
      </x:c>
      <x:c r="D134" t="str">
        <x:v>2026-05</x:v>
      </x:c>
      <x:c r="E134" t="str">
        <x:v>Google Asia Pacific</x:v>
      </x:c>
      <x:c r="F134" t="str">
        <x:v>Tư vấn tuyển sinh THPT</x:v>
      </x:c>
      <x:c r="G134" t="str">
        <x:v>In ấn brochure</x:v>
      </x:c>
      <x:c r="H134" t="str">
        <x:v>Thanh toán in ấn brochure cho tư vấn tuyển sinh thpt</x:v>
      </x:c>
      <x:c r="I134" s="12" t="n">
        <x:v>5000000</x:v>
      </x:c>
      <x:c r="J134" s="12" t="n">
        <x:f>I134*10%</x:f>
        <x:v>500000</x:v>
      </x:c>
      <x:c r="K134" s="12" t="n">
        <x:f>I134+J134</x:f>
        <x:v>5500000</x:v>
      </x:c>
      <x:c r="L134" t="str">
        <x:v>Quỹ học bổng</x:v>
      </x:c>
      <x:c r="M134" t="str">
        <x:v>Đã thanh toán</x:v>
      </x:c>
      <x:c r="N134" t="str">
        <x:v>Admissions Manager</x:v>
      </x:c>
      <x:c r="O134" t="str">
        <x:v>PO-TS-7383</x:v>
      </x:c>
      <x:c r="P134" t="str"/>
    </x:row>
    <x:row r="135">
      <x:c r="A135" t="str">
        <x:v>DN-TS-2026-134</x:v>
      </x:c>
      <x:c r="B135" s="16" t="n">
        <x:v>46189</x:v>
      </x:c>
      <x:c r="C135" t="str">
        <x:v>Q2</x:v>
      </x:c>
      <x:c r="D135" t="str">
        <x:v>2026-06</x:v>
      </x:c>
      <x:c r="E135" t="str">
        <x:v>Công ty Truyền thông Sao Việt</x:v>
      </x:c>
      <x:c r="F135" t="str">
        <x:v>Tư vấn tuyển sinh THPT</x:v>
      </x:c>
      <x:c r="G135" t="str">
        <x:v>Quảng cáo Google Search</x:v>
      </x:c>
      <x:c r="H135" t="str">
        <x:v>Thanh toán quảng cáo google search cho tư vấn tuyển sinh thpt</x:v>
      </x:c>
      <x:c r="I135" s="12" t="n">
        <x:v>20000000</x:v>
      </x:c>
      <x:c r="J135" s="12" t="n">
        <x:f>I135*10%</x:f>
        <x:v>2000000</x:v>
      </x:c>
      <x:c r="K135" s="12" t="n">
        <x:f>I135+J135</x:f>
        <x:v>22000000</x:v>
      </x:c>
      <x:c r="L135" t="str">
        <x:v>Tài trợ đối tác</x:v>
      </x:c>
      <x:c r="M135" t="str">
        <x:v>Đã thanh toán</x:v>
      </x:c>
      <x:c r="N135" t="str">
        <x:v>Digital Lead</x:v>
      </x:c>
      <x:c r="O135" t="str">
        <x:v>PO-TS-2674</x:v>
      </x:c>
      <x:c r="P135" t="str"/>
    </x:row>
    <x:row r="136">
      <x:c r="A136" t="str">
        <x:v>DN-TS-2026-135</x:v>
      </x:c>
      <x:c r="B136" s="16" t="n">
        <x:v>46094</x:v>
      </x:c>
      <x:c r="C136" t="str">
        <x:v>Q1</x:v>
      </x:c>
      <x:c r="D136" t="str">
        <x:v>2026-03</x:v>
      </x:c>
      <x:c r="E136" t="str">
        <x:v>Trung tâm Hội nghị Quốc gia</x:v>
      </x:c>
      <x:c r="F136" t="str">
        <x:v>Open Day / Campus Tour</x:v>
      </x:c>
      <x:c r="G136" t="str">
        <x:v>Chi phí đi lại công tác</x:v>
      </x:c>
      <x:c r="H136" t="str">
        <x:v>Thanh toán chi phí đi lại công tác cho open day / campus tour</x:v>
      </x:c>
      <x:c r="I136" s="12" t="n">
        <x:v>5000000</x:v>
      </x:c>
      <x:c r="J136" s="12" t="n">
        <x:f>I136*10%</x:f>
        <x:v>500000</x:v>
      </x:c>
      <x:c r="K136" s="12" t="n">
        <x:f>I136+J136</x:f>
        <x:v>5500000</x:v>
      </x:c>
      <x:c r="L136" t="str">
        <x:v>Quỹ học bổng</x:v>
      </x:c>
      <x:c r="M136" t="str">
        <x:v>Chờ duyệt</x:v>
      </x:c>
      <x:c r="N136" t="str">
        <x:v>Admissions Officer</x:v>
      </x:c>
      <x:c r="O136" t="str">
        <x:v>PO-TS-6798</x:v>
      </x:c>
      <x:c r="P136" t="str"/>
    </x:row>
    <x:row r="137">
      <x:c r="A137" t="str">
        <x:v>DN-TS-2026-136</x:v>
      </x:c>
      <x:c r="B137" s="16" t="n">
        <x:v>46310</x:v>
      </x:c>
      <x:c r="C137" t="str">
        <x:v>Q4</x:v>
      </x:c>
      <x:c r="D137" t="str">
        <x:v>2026-10</x:v>
      </x:c>
      <x:c r="E137" t="str">
        <x:v>Trường THPT đối tác</x:v>
      </x:c>
      <x:c r="F137" t="str">
        <x:v>Đào tạo cộng tác viên tuyển sinh</x:v>
      </x:c>
      <x:c r="G137" t="str">
        <x:v>Chi phí diễn giả</x:v>
      </x:c>
      <x:c r="H137" t="str">
        <x:v>Thanh toán chi phí diễn giả cho đào tạo cộng tác viên tuyển sinh</x:v>
      </x:c>
      <x:c r="I137" s="12" t="n">
        <x:v>5000000</x:v>
      </x:c>
      <x:c r="J137" s="12" t="n">
        <x:f>I137*10%</x:f>
        <x:v>500000</x:v>
      </x:c>
      <x:c r="K137" s="12" t="n">
        <x:f>I137+J137</x:f>
        <x:v>5500000</x:v>
      </x:c>
      <x:c r="L137" t="str">
        <x:v>Tài trợ đối tác</x:v>
      </x:c>
      <x:c r="M137" t="str">
        <x:v>Cần bổ sung hồ sơ</x:v>
      </x:c>
      <x:c r="N137" t="str">
        <x:v>Admissions Officer</x:v>
      </x:c>
      <x:c r="O137" t="str">
        <x:v>PO-TS-5781</x:v>
      </x:c>
      <x:c r="P137" t="str"/>
    </x:row>
    <x:row r="138">
      <x:c r="A138" t="str">
        <x:v>DN-TS-2026-137</x:v>
      </x:c>
      <x:c r="B138" s="16" t="n">
        <x:v>46238</x:v>
      </x:c>
      <x:c r="C138" t="str">
        <x:v>Q3</x:v>
      </x:c>
      <x:c r="D138" t="str">
        <x:v>2026-08</x:v>
      </x:c>
      <x:c r="E138" t="str">
        <x:v>Dịch vụ Logistics Thành Công</x:v>
      </x:c>
      <x:c r="F138" t="str">
        <x:v>Tư vấn tuyển sinh THPT</x:v>
      </x:c>
      <x:c r="G138" t="str">
        <x:v>Học bổng đầu vào</x:v>
      </x:c>
      <x:c r="H138" t="str">
        <x:v>Thanh toán học bổng đầu vào cho tư vấn tuyển sinh thpt</x:v>
      </x:c>
      <x:c r="I138" s="12" t="n">
        <x:v>30000000</x:v>
      </x:c>
      <x:c r="J138" s="12" t="n">
        <x:f>I138*10%</x:f>
        <x:v>3000000</x:v>
      </x:c>
      <x:c r="K138" s="12" t="n">
        <x:f>I138+J138</x:f>
        <x:v>33000000</x:v>
      </x:c>
      <x:c r="L138" t="str">
        <x:v>Ngân sách truyền thông</x:v>
      </x:c>
      <x:c r="M138" t="str">
        <x:v>Đã thanh toán</x:v>
      </x:c>
      <x:c r="N138" t="str">
        <x:v>Admissions Manager</x:v>
      </x:c>
      <x:c r="O138" t="str">
        <x:v>PO-TS-7237</x:v>
      </x:c>
      <x:c r="P138" t="str"/>
    </x:row>
    <x:row r="139">
      <x:c r="A139" t="str">
        <x:v>DN-TS-2026-138</x:v>
      </x:c>
      <x:c r="B139" s="16" t="n">
        <x:v>46113</x:v>
      </x:c>
      <x:c r="C139" t="str">
        <x:v>Q2</x:v>
      </x:c>
      <x:c r="D139" t="str">
        <x:v>2026-04</x:v>
      </x:c>
      <x:c r="E139" t="str">
        <x:v>Công ty In ấn Minh Long</x:v>
      </x:c>
      <x:c r="F139" t="str">
        <x:v>Học bổng tuyển sinh</x:v>
      </x:c>
      <x:c r="G139" t="str">
        <x:v>In ấn brochure</x:v>
      </x:c>
      <x:c r="H139" t="str">
        <x:v>Thanh toán in ấn brochure cho học bổng tuyển sinh</x:v>
      </x:c>
      <x:c r="I139" s="12" t="n">
        <x:v>8000000</x:v>
      </x:c>
      <x:c r="J139" s="12" t="n">
        <x:f>I139*10%</x:f>
        <x:v>800000</x:v>
      </x:c>
      <x:c r="K139" s="12" t="n">
        <x:f>I139+J139</x:f>
        <x:v>8800000</x:v>
      </x:c>
      <x:c r="L139" t="str">
        <x:v>Quỹ học bổng</x:v>
      </x:c>
      <x:c r="M139" t="str">
        <x:v>Chờ duyệt</x:v>
      </x:c>
      <x:c r="N139" t="str">
        <x:v>Admissions Manager</x:v>
      </x:c>
      <x:c r="O139" t="str">
        <x:v>PO-TS-8121</x:v>
      </x:c>
      <x:c r="P139" t="str"/>
    </x:row>
    <x:row r="140">
      <x:c r="A140" t="str">
        <x:v>DN-TS-2026-139</x:v>
      </x:c>
      <x:c r="B140" s="16" t="n">
        <x:v>46168</x:v>
      </x:c>
      <x:c r="C140" t="str">
        <x:v>Q2</x:v>
      </x:c>
      <x:c r="D140" t="str">
        <x:v>2026-05</x:v>
      </x:c>
      <x:c r="E140" t="str">
        <x:v>Trường THPT đối tác</x:v>
      </x:c>
      <x:c r="F140" t="str">
        <x:v>Học bổng tuyển sinh</x:v>
      </x:c>
      <x:c r="G140" t="str">
        <x:v>Thuê địa điểm sự kiện</x:v>
      </x:c>
      <x:c r="H140" t="str">
        <x:v>Thanh toán thuê địa điểm sự kiện cho học bổng tuyển sinh</x:v>
      </x:c>
      <x:c r="I140" s="12" t="n">
        <x:v>30000000</x:v>
      </x:c>
      <x:c r="J140" s="12" t="n">
        <x:f>I140*10%</x:f>
        <x:v>3000000</x:v>
      </x:c>
      <x:c r="K140" s="12" t="n">
        <x:f>I140+J140</x:f>
        <x:v>33000000</x:v>
      </x:c>
      <x:c r="L140" t="str">
        <x:v>Ngân sách tuyển sinh</x:v>
      </x:c>
      <x:c r="M140" t="str">
        <x:v>Đã duyệt</x:v>
      </x:c>
      <x:c r="N140" t="str">
        <x:v>Admissions Manager</x:v>
      </x:c>
      <x:c r="O140" t="str">
        <x:v>PO-TS-9123</x:v>
      </x:c>
      <x:c r="P140" t="str"/>
    </x:row>
    <x:row r="141">
      <x:c r="A141" t="str">
        <x:v>DN-TS-2026-140</x:v>
      </x:c>
      <x:c r="B141" s="16" t="n">
        <x:v>46331</x:v>
      </x:c>
      <x:c r="C141" t="str">
        <x:v>Q4</x:v>
      </x:c>
      <x:c r="D141" t="str">
        <x:v>2026-11</x:v>
      </x:c>
      <x:c r="E141" t="str">
        <x:v>Meta Ads Vietnam</x:v>
      </x:c>
      <x:c r="F141" t="str">
        <x:v>Digital Admission Campaign</x:v>
      </x:c>
      <x:c r="G141" t="str">
        <x:v>Thuê địa điểm sự kiện</x:v>
      </x:c>
      <x:c r="H141" t="str">
        <x:v>Thanh toán thuê địa điểm sự kiện cho digital admission campaign</x:v>
      </x:c>
      <x:c r="I141" s="12" t="n">
        <x:v>100000000</x:v>
      </x:c>
      <x:c r="J141" s="12" t="n">
        <x:f>I141*10%</x:f>
        <x:v>10000000</x:v>
      </x:c>
      <x:c r="K141" s="12" t="n">
        <x:f>I141+J141</x:f>
        <x:v>110000000</x:v>
      </x:c>
      <x:c r="L141" t="str">
        <x:v>Ngân sách truyền thông</x:v>
      </x:c>
      <x:c r="M141" t="str">
        <x:v>Đã duyệt</x:v>
      </x:c>
      <x:c r="N141" t="str">
        <x:v>Event Coordinator</x:v>
      </x:c>
      <x:c r="O141" t="str">
        <x:v>PO-TS-6443</x:v>
      </x:c>
      <x:c r="P141" t="str"/>
    </x:row>
    <x:row r="142">
      <x:c r="A142" t="str">
        <x:v>DN-TS-2026-141</x:v>
      </x:c>
      <x:c r="B142" s="16" t="n">
        <x:v>46344</x:v>
      </x:c>
      <x:c r="C142" t="str">
        <x:v>Q4</x:v>
      </x:c>
      <x:c r="D142" t="str">
        <x:v>2026-11</x:v>
      </x:c>
      <x:c r="E142" t="str">
        <x:v>Nền tảng CRM EduFlow</x:v>
      </x:c>
      <x:c r="F142" t="str">
        <x:v>Sự kiện phụ huynh</x:v>
      </x:c>
      <x:c r="G142" t="str">
        <x:v>Thuê địa điểm sự kiện</x:v>
      </x:c>
      <x:c r="H142" t="str">
        <x:v>Thanh toán thuê địa điểm sự kiện cho sự kiện phụ huynh</x:v>
      </x:c>
      <x:c r="I142" s="12" t="n">
        <x:v>30000000</x:v>
      </x:c>
      <x:c r="J142" s="12" t="n">
        <x:f>I142*10%</x:f>
        <x:v>3000000</x:v>
      </x:c>
      <x:c r="K142" s="12" t="n">
        <x:f>I142+J142</x:f>
        <x:v>33000000</x:v>
      </x:c>
      <x:c r="L142" t="str">
        <x:v>Quỹ học bổng</x:v>
      </x:c>
      <x:c r="M142" t="str">
        <x:v>Đã thanh toán</x:v>
      </x:c>
      <x:c r="N142" t="str">
        <x:v>Scholarship Officer</x:v>
      </x:c>
      <x:c r="O142" t="str">
        <x:v>PO-TS-3230</x:v>
      </x:c>
      <x:c r="P142" t="str"/>
    </x:row>
    <x:row r="143">
      <x:c r="A143" t="str">
        <x:v>DN-TS-2026-142</x:v>
      </x:c>
      <x:c r="B143" s="16" t="n">
        <x:v>46180</x:v>
      </x:c>
      <x:c r="C143" t="str">
        <x:v>Q2</x:v>
      </x:c>
      <x:c r="D143" t="str">
        <x:v>2026-06</x:v>
      </x:c>
      <x:c r="E143" t="str">
        <x:v>Công ty EventPlus</x:v>
      </x:c>
      <x:c r="F143" t="str">
        <x:v>Đào tạo cộng tác viên tuyển sinh</x:v>
      </x:c>
      <x:c r="G143" t="str">
        <x:v>Học bổng đầu vào</x:v>
      </x:c>
      <x:c r="H143" t="str">
        <x:v>Thanh toán học bổng đầu vào cho đào tạo cộng tác viên tuyển sinh</x:v>
      </x:c>
      <x:c r="I143" s="12" t="n">
        <x:v>20000000</x:v>
      </x:c>
      <x:c r="J143" s="12" t="n">
        <x:f>I143*10%</x:f>
        <x:v>2000000</x:v>
      </x:c>
      <x:c r="K143" s="12" t="n">
        <x:f>I143+J143</x:f>
        <x:v>22000000</x:v>
      </x:c>
      <x:c r="L143" t="str">
        <x:v>Quỹ học bổng</x:v>
      </x:c>
      <x:c r="M143" t="str">
        <x:v>Đã duyệt</x:v>
      </x:c>
      <x:c r="N143" t="str">
        <x:v>Event Coordinator</x:v>
      </x:c>
      <x:c r="O143" t="str">
        <x:v>PO-TS-6228</x:v>
      </x:c>
      <x:c r="P143" t="str"/>
    </x:row>
    <x:row r="144">
      <x:c r="A144" t="str">
        <x:v>DN-TS-2026-143</x:v>
      </x:c>
      <x:c r="B144" s="16" t="n">
        <x:v>46176</x:v>
      </x:c>
      <x:c r="C144" t="str">
        <x:v>Q2</x:v>
      </x:c>
      <x:c r="D144" t="str">
        <x:v>2026-06</x:v>
      </x:c>
      <x:c r="E144" t="str">
        <x:v>Trường THPT đối tác</x:v>
      </x:c>
      <x:c r="F144" t="str">
        <x:v>International Recruitment</x:v>
      </x:c>
      <x:c r="G144" t="str">
        <x:v>Chi phí diễn giả</x:v>
      </x:c>
      <x:c r="H144" t="str">
        <x:v>Thanh toán chi phí diễn giả cho international recruitment</x:v>
      </x:c>
      <x:c r="I144" s="12" t="n">
        <x:v>150000000</x:v>
      </x:c>
      <x:c r="J144" s="12" t="n">
        <x:f>I144*10%</x:f>
        <x:v>15000000</x:v>
      </x:c>
      <x:c r="K144" s="12" t="n">
        <x:f>I144+J144</x:f>
        <x:v>165000000</x:v>
      </x:c>
      <x:c r="L144" t="str">
        <x:v>Ngân sách truyền thông</x:v>
      </x:c>
      <x:c r="M144" t="str">
        <x:v>Đã duyệt</x:v>
      </x:c>
      <x:c r="N144" t="str">
        <x:v>Digital Lead</x:v>
      </x:c>
      <x:c r="O144" t="str">
        <x:v>PO-TS-7437</x:v>
      </x:c>
      <x:c r="P144" t="str"/>
    </x:row>
    <x:row r="145">
      <x:c r="A145" t="str">
        <x:v>DN-TS-2026-144</x:v>
      </x:c>
      <x:c r="B145" s="16" t="n">
        <x:v>46213</x:v>
      </x:c>
      <x:c r="C145" t="str">
        <x:v>Q3</x:v>
      </x:c>
      <x:c r="D145" t="str">
        <x:v>2026-07</x:v>
      </x:c>
      <x:c r="E145" t="str">
        <x:v>Công ty Sản xuất Video FrameX</x:v>
      </x:c>
      <x:c r="F145" t="str">
        <x:v>Đào tạo cộng tác viên tuyển sinh</x:v>
      </x:c>
      <x:c r="G145" t="str">
        <x:v>Thiết kế landing page</x:v>
      </x:c>
      <x:c r="H145" t="str">
        <x:v>Thanh toán thiết kế landing page cho đào tạo cộng tác viên tuyển sinh</x:v>
      </x:c>
      <x:c r="I145" s="12" t="n">
        <x:v>5000000</x:v>
      </x:c>
      <x:c r="J145" s="12" t="n">
        <x:f>I145*10%</x:f>
        <x:v>500000</x:v>
      </x:c>
      <x:c r="K145" s="12" t="n">
        <x:f>I145+J145</x:f>
        <x:v>5500000</x:v>
      </x:c>
      <x:c r="L145" t="str">
        <x:v>Ngân sách truyền thông</x:v>
      </x:c>
      <x:c r="M145" t="str">
        <x:v>Đã thanh toán</x:v>
      </x:c>
      <x:c r="N145" t="str">
        <x:v>Scholarship Officer</x:v>
      </x:c>
      <x:c r="O145" t="str">
        <x:v>PO-TS-1440</x:v>
      </x:c>
      <x:c r="P145" t="str"/>
    </x:row>
    <x:row r="146">
      <x:c r="A146" t="str">
        <x:v>DN-TS-2026-145</x:v>
      </x:c>
      <x:c r="B146" s="16" t="n">
        <x:v>46263</x:v>
      </x:c>
      <x:c r="C146" t="str">
        <x:v>Q3</x:v>
      </x:c>
      <x:c r="D146" t="str">
        <x:v>2026-08</x:v>
      </x:c>
      <x:c r="E146" t="str">
        <x:v>Công ty In ấn Minh Long</x:v>
      </x:c>
      <x:c r="F146" t="str">
        <x:v>International Recruitment</x:v>
      </x:c>
      <x:c r="G146" t="str">
        <x:v>Chi phí email/SMS</x:v>
      </x:c>
      <x:c r="H146" t="str">
        <x:v>Thanh toán chi phí email/sms cho international recruitment</x:v>
      </x:c>
      <x:c r="I146" s="12" t="n">
        <x:v>12000000</x:v>
      </x:c>
      <x:c r="J146" s="12" t="n">
        <x:f>I146*10%</x:f>
        <x:v>1200000</x:v>
      </x:c>
      <x:c r="K146" s="12" t="n">
        <x:f>I146+J146</x:f>
        <x:v>13200000</x:v>
      </x:c>
      <x:c r="L146" t="str">
        <x:v>Ngân sách tuyển sinh</x:v>
      </x:c>
      <x:c r="M146" t="str">
        <x:v>Đã thanh toán</x:v>
      </x:c>
      <x:c r="N146" t="str">
        <x:v>Event Coordinator</x:v>
      </x:c>
      <x:c r="O146" t="str">
        <x:v>PO-TS-9180</x:v>
      </x:c>
      <x:c r="P146" t="str"/>
    </x:row>
    <x:row r="147">
      <x:c r="A147" t="str">
        <x:v>DN-TS-2026-146</x:v>
      </x:c>
      <x:c r="B147" s="16" t="n">
        <x:v>46098</x:v>
      </x:c>
      <x:c r="C147" t="str">
        <x:v>Q1</x:v>
      </x:c>
      <x:c r="D147" t="str">
        <x:v>2026-03</x:v>
      </x:c>
      <x:c r="E147" t="str">
        <x:v>Công ty In ấn Minh Long</x:v>
      </x:c>
      <x:c r="F147" t="str">
        <x:v>Học bổng tuyển sinh</x:v>
      </x:c>
      <x:c r="G147" t="str">
        <x:v>Thiết kế landing page</x:v>
      </x:c>
      <x:c r="H147" t="str">
        <x:v>Thanh toán thiết kế landing page cho học bổng tuyển sinh</x:v>
      </x:c>
      <x:c r="I147" s="12" t="n">
        <x:v>150000000</x:v>
      </x:c>
      <x:c r="J147" s="12" t="n">
        <x:f>I147*10%</x:f>
        <x:v>15000000</x:v>
      </x:c>
      <x:c r="K147" s="12" t="n">
        <x:f>I147+J147</x:f>
        <x:v>165000000</x:v>
      </x:c>
      <x:c r="L147" t="str">
        <x:v>Ngân sách truyền thông</x:v>
      </x:c>
      <x:c r="M147" t="str">
        <x:v>Đã thanh toán</x:v>
      </x:c>
      <x:c r="N147" t="str">
        <x:v>Event Coordinator</x:v>
      </x:c>
      <x:c r="O147" t="str">
        <x:v>PO-TS-2211</x:v>
      </x:c>
      <x:c r="P147" t="str"/>
    </x:row>
    <x:row r="148">
      <x:c r="A148" t="str">
        <x:v>DN-TS-2026-147</x:v>
      </x:c>
      <x:c r="B148" s="16" t="n">
        <x:v>46256</x:v>
      </x:c>
      <x:c r="C148" t="str">
        <x:v>Q3</x:v>
      </x:c>
      <x:c r="D148" t="str">
        <x:v>2026-08</x:v>
      </x:c>
      <x:c r="E148" t="str">
        <x:v>Công ty Quà tặng ABC</x:v>
      </x:c>
      <x:c r="F148" t="str">
        <x:v>International Recruitment</x:v>
      </x:c>
      <x:c r="G148" t="str">
        <x:v>Chi phí diễn giả</x:v>
      </x:c>
      <x:c r="H148" t="str">
        <x:v>Thanh toán chi phí diễn giả cho international recruitment</x:v>
      </x:c>
      <x:c r="I148" s="12" t="n">
        <x:v>100000000</x:v>
      </x:c>
      <x:c r="J148" s="12" t="n">
        <x:f>I148*10%</x:f>
        <x:v>10000000</x:v>
      </x:c>
      <x:c r="K148" s="12" t="n">
        <x:f>I148+J148</x:f>
        <x:v>110000000</x:v>
      </x:c>
      <x:c r="L148" t="str">
        <x:v>Quỹ học bổng</x:v>
      </x:c>
      <x:c r="M148" t="str">
        <x:v>Đã thanh toán</x:v>
      </x:c>
      <x:c r="N148" t="str">
        <x:v>Digital Lead</x:v>
      </x:c>
      <x:c r="O148" t="str">
        <x:v>PO-TS-9796</x:v>
      </x:c>
      <x:c r="P148" t="str"/>
    </x:row>
    <x:row r="149">
      <x:c r="A149" t="str">
        <x:v>DN-TS-2026-148</x:v>
      </x:c>
      <x:c r="B149" s="16" t="n">
        <x:v>46331</x:v>
      </x:c>
      <x:c r="C149" t="str">
        <x:v>Q4</x:v>
      </x:c>
      <x:c r="D149" t="str">
        <x:v>2026-11</x:v>
      </x:c>
      <x:c r="E149" t="str">
        <x:v>Trường THPT đối tác</x:v>
      </x:c>
      <x:c r="F149" t="str">
        <x:v>Tư vấn tuyển sinh THPT</x:v>
      </x:c>
      <x:c r="G149" t="str">
        <x:v>Quảng cáo Google Search</x:v>
      </x:c>
      <x:c r="H149" t="str">
        <x:v>Thanh toán quảng cáo google search cho tư vấn tuyển sinh thpt</x:v>
      </x:c>
      <x:c r="I149" s="12" t="n">
        <x:v>150000000</x:v>
      </x:c>
      <x:c r="J149" s="12" t="n">
        <x:f>I149*10%</x:f>
        <x:v>15000000</x:v>
      </x:c>
      <x:c r="K149" s="12" t="n">
        <x:f>I149+J149</x:f>
        <x:v>165000000</x:v>
      </x:c>
      <x:c r="L149" t="str">
        <x:v>Ngân sách truyền thông</x:v>
      </x:c>
      <x:c r="M149" t="str">
        <x:v>Đã thanh toán</x:v>
      </x:c>
      <x:c r="N149" t="str">
        <x:v>Digital Lead</x:v>
      </x:c>
      <x:c r="O149" t="str">
        <x:v>PO-TS-3725</x:v>
      </x:c>
      <x:c r="P149" t="str"/>
    </x:row>
    <x:row r="150">
      <x:c r="A150" t="str">
        <x:v>DN-TS-2026-149</x:v>
      </x:c>
      <x:c r="B150" s="16" t="n">
        <x:v>46358</x:v>
      </x:c>
      <x:c r="C150" t="str">
        <x:v>Q4</x:v>
      </x:c>
      <x:c r="D150" t="str">
        <x:v>2026-12</x:v>
      </x:c>
      <x:c r="E150" t="str">
        <x:v>Nhà cung cấp Email/SMS EduConnect</x:v>
      </x:c>
      <x:c r="F150" t="str">
        <x:v>Tuyển sinh đại học chính quy</x:v>
      </x:c>
      <x:c r="G150" t="str">
        <x:v>Chi phí diễn giả</x:v>
      </x:c>
      <x:c r="H150" t="str">
        <x:v>Thanh toán chi phí diễn giả cho tuyển sinh đại học chính quy</x:v>
      </x:c>
      <x:c r="I150" s="12" t="n">
        <x:v>100000000</x:v>
      </x:c>
      <x:c r="J150" s="12" t="n">
        <x:f>I150*10%</x:f>
        <x:v>10000000</x:v>
      </x:c>
      <x:c r="K150" s="12" t="n">
        <x:f>I150+J150</x:f>
        <x:v>110000000</x:v>
      </x:c>
      <x:c r="L150" t="str">
        <x:v>Quỹ học bổng</x:v>
      </x:c>
      <x:c r="M150" t="str">
        <x:v>Tạm dừng</x:v>
      </x:c>
      <x:c r="N150" t="str">
        <x:v>Digital Lead</x:v>
      </x:c>
      <x:c r="O150" t="str">
        <x:v>PO-TS-8052</x:v>
      </x:c>
      <x:c r="P150" t="str"/>
    </x:row>
    <x:row r="151">
      <x:c r="A151" t="str">
        <x:v>DN-TS-2026-150</x:v>
      </x:c>
      <x:c r="B151" s="16" t="n">
        <x:v>46081</x:v>
      </x:c>
      <x:c r="C151" t="str">
        <x:v>Q1</x:v>
      </x:c>
      <x:c r="D151" t="str">
        <x:v>2026-02</x:v>
      </x:c>
      <x:c r="E151" t="str">
        <x:v>Công ty EventPlus</x:v>
      </x:c>
      <x:c r="F151" t="str">
        <x:v>Tư vấn tuyển sinh THPT</x:v>
      </x:c>
      <x:c r="G151" t="str">
        <x:v>In ấn brochure</x:v>
      </x:c>
      <x:c r="H151" t="str">
        <x:v>Thanh toán in ấn brochure cho tư vấn tuyển sinh thpt</x:v>
      </x:c>
      <x:c r="I151" s="12" t="n">
        <x:v>3000000</x:v>
      </x:c>
      <x:c r="J151" s="12" t="n">
        <x:f>I151*10%</x:f>
        <x:v>300000</x:v>
      </x:c>
      <x:c r="K151" s="12" t="n">
        <x:f>I151+J151</x:f>
        <x:v>3300000</x:v>
      </x:c>
      <x:c r="L151" t="str">
        <x:v>Ngân sách truyền thông</x:v>
      </x:c>
      <x:c r="M151" t="str">
        <x:v>Đã thanh toán</x:v>
      </x:c>
      <x:c r="N151" t="str">
        <x:v>Event Coordinator</x:v>
      </x:c>
      <x:c r="O151" t="str">
        <x:v>PO-TS-8586</x:v>
      </x:c>
      <x:c r="P151" t="str"/>
    </x:row>
    <x:row r="152">
      <x:c r="A152" t="str">
        <x:v>DN-TS-2026-151</x:v>
      </x:c>
      <x:c r="B152" s="16" t="n">
        <x:v>46374</x:v>
      </x:c>
      <x:c r="C152" t="str">
        <x:v>Q4</x:v>
      </x:c>
      <x:c r="D152" t="str">
        <x:v>2026-12</x:v>
      </x:c>
      <x:c r="E152" t="str">
        <x:v>Google Asia Pacific</x:v>
      </x:c>
      <x:c r="F152" t="str">
        <x:v>Sản xuất học liệu truyền thông</x:v>
      </x:c>
      <x:c r="G152" t="str">
        <x:v>Quà tặng thí sinh</x:v>
      </x:c>
      <x:c r="H152" t="str">
        <x:v>Thanh toán quà tặng thí sinh cho sản xuất học liệu truyền thông</x:v>
      </x:c>
      <x:c r="I152" s="12" t="n">
        <x:v>100000000</x:v>
      </x:c>
      <x:c r="J152" s="12" t="n">
        <x:f>I152*10%</x:f>
        <x:v>10000000</x:v>
      </x:c>
      <x:c r="K152" s="12" t="n">
        <x:f>I152+J152</x:f>
        <x:v>110000000</x:v>
      </x:c>
      <x:c r="L152" t="str">
        <x:v>Tài trợ đối tác</x:v>
      </x:c>
      <x:c r="M152" t="str">
        <x:v>Tạm dừng</x:v>
      </x:c>
      <x:c r="N152" t="str">
        <x:v>Event Coordinator</x:v>
      </x:c>
      <x:c r="O152" t="str">
        <x:v>PO-TS-2712</x:v>
      </x:c>
      <x:c r="P152" t="str"/>
    </x:row>
    <x:row r="153">
      <x:c r="A153" t="str">
        <x:v>DN-TS-2026-152</x:v>
      </x:c>
      <x:c r="B153" s="16" t="n">
        <x:v>46178</x:v>
      </x:c>
      <x:c r="C153" t="str">
        <x:v>Q2</x:v>
      </x:c>
      <x:c r="D153" t="str">
        <x:v>2026-06</x:v>
      </x:c>
      <x:c r="E153" t="str">
        <x:v>Công ty Nghiên cứu thị trường Insight</x:v>
      </x:c>
      <x:c r="F153" t="str">
        <x:v>Tư vấn tuyển sinh THPT</x:v>
      </x:c>
      <x:c r="G153" t="str">
        <x:v>Quảng cáo Google Search</x:v>
      </x:c>
      <x:c r="H153" t="str">
        <x:v>Thanh toán quảng cáo google search cho tư vấn tuyển sinh thpt</x:v>
      </x:c>
      <x:c r="I153" s="12" t="n">
        <x:v>30000000</x:v>
      </x:c>
      <x:c r="J153" s="12" t="n">
        <x:f>I153*10%</x:f>
        <x:v>3000000</x:v>
      </x:c>
      <x:c r="K153" s="12" t="n">
        <x:f>I153+J153</x:f>
        <x:v>33000000</x:v>
      </x:c>
      <x:c r="L153" t="str">
        <x:v>Ngân sách truyền thông</x:v>
      </x:c>
      <x:c r="M153" t="str">
        <x:v>Đã duyệt</x:v>
      </x:c>
      <x:c r="N153" t="str">
        <x:v>Digital Lead</x:v>
      </x:c>
      <x:c r="O153" t="str">
        <x:v>PO-TS-8460</x:v>
      </x:c>
      <x:c r="P153" t="str"/>
    </x:row>
    <x:row r="154">
      <x:c r="A154" t="str">
        <x:v>DN-TS-2026-153</x:v>
      </x:c>
      <x:c r="B154" s="16" t="n">
        <x:v>46132</x:v>
      </x:c>
      <x:c r="C154" t="str">
        <x:v>Q2</x:v>
      </x:c>
      <x:c r="D154" t="str">
        <x:v>2026-04</x:v>
      </x:c>
      <x:c r="E154" t="str">
        <x:v>Trung tâm Hội nghị Quốc gia</x:v>
      </x:c>
      <x:c r="F154" t="str">
        <x:v>International Recruitment</x:v>
      </x:c>
      <x:c r="G154" t="str">
        <x:v>Tổ chức booth tư vấn</x:v>
      </x:c>
      <x:c r="H154" t="str">
        <x:v>Thanh toán tổ chức booth tư vấn cho international recruitment</x:v>
      </x:c>
      <x:c r="I154" s="12" t="n">
        <x:v>80000000</x:v>
      </x:c>
      <x:c r="J154" s="12" t="n">
        <x:f>I154*10%</x:f>
        <x:v>8000000</x:v>
      </x:c>
      <x:c r="K154" s="12" t="n">
        <x:f>I154+J154</x:f>
        <x:v>88000000</x:v>
      </x:c>
      <x:c r="L154" t="str">
        <x:v>Ngân sách tuyển sinh</x:v>
      </x:c>
      <x:c r="M154" t="str">
        <x:v>Đã thanh toán</x:v>
      </x:c>
      <x:c r="N154" t="str">
        <x:v>Event Coordinator</x:v>
      </x:c>
      <x:c r="O154" t="str">
        <x:v>PO-TS-6225</x:v>
      </x:c>
      <x:c r="P154" t="str"/>
    </x:row>
    <x:row r="155">
      <x:c r="A155" t="str">
        <x:v>DN-TS-2026-154</x:v>
      </x:c>
      <x:c r="B155" s="16" t="n">
        <x:v>46061</x:v>
      </x:c>
      <x:c r="C155" t="str">
        <x:v>Q1</x:v>
      </x:c>
      <x:c r="D155" t="str">
        <x:v>2026-02</x:v>
      </x:c>
      <x:c r="E155" t="str">
        <x:v>Công ty Thiết kế Web Nova</x:v>
      </x:c>
      <x:c r="F155" t="str">
        <x:v>Tuyển sinh đại học chính quy</x:v>
      </x:c>
      <x:c r="G155" t="str">
        <x:v>Chi phí email/SMS</x:v>
      </x:c>
      <x:c r="H155" t="str">
        <x:v>Thanh toán chi phí email/sms cho tuyển sinh đại học chính quy</x:v>
      </x:c>
      <x:c r="I155" s="12" t="n">
        <x:v>15000000</x:v>
      </x:c>
      <x:c r="J155" s="12" t="n">
        <x:f>I155*10%</x:f>
        <x:v>1500000</x:v>
      </x:c>
      <x:c r="K155" s="12" t="n">
        <x:f>I155+J155</x:f>
        <x:v>16500000</x:v>
      </x:c>
      <x:c r="L155" t="str">
        <x:v>Ngân sách tuyển sinh</x:v>
      </x:c>
      <x:c r="M155" t="str">
        <x:v>Chờ duyệt</x:v>
      </x:c>
      <x:c r="N155" t="str">
        <x:v>Digital Lead</x:v>
      </x:c>
      <x:c r="O155" t="str">
        <x:v>PO-TS-2791</x:v>
      </x:c>
      <x:c r="P155" t="str"/>
    </x:row>
    <x:row r="156">
      <x:c r="A156" t="str">
        <x:v>DN-TS-2026-155</x:v>
      </x:c>
      <x:c r="B156" s="16" t="n">
        <x:v>46373</x:v>
      </x:c>
      <x:c r="C156" t="str">
        <x:v>Q4</x:v>
      </x:c>
      <x:c r="D156" t="str">
        <x:v>2026-12</x:v>
      </x:c>
      <x:c r="E156" t="str">
        <x:v>Dịch vụ Logistics Thành Công</x:v>
      </x:c>
      <x:c r="F156" t="str">
        <x:v>Sản xuất học liệu truyền thông</x:v>
      </x:c>
      <x:c r="G156" t="str">
        <x:v>Thiết kế landing page</x:v>
      </x:c>
      <x:c r="H156" t="str">
        <x:v>Thanh toán thiết kế landing page cho sản xuất học liệu truyền thông</x:v>
      </x:c>
      <x:c r="I156" s="12" t="n">
        <x:v>8000000</x:v>
      </x:c>
      <x:c r="J156" s="12" t="n">
        <x:f>I156*10%</x:f>
        <x:v>800000</x:v>
      </x:c>
      <x:c r="K156" s="12" t="n">
        <x:f>I156+J156</x:f>
        <x:v>8800000</x:v>
      </x:c>
      <x:c r="L156" t="str">
        <x:v>Ngân sách truyền thông</x:v>
      </x:c>
      <x:c r="M156" t="str">
        <x:v>Đã thanh toán</x:v>
      </x:c>
      <x:c r="N156" t="str">
        <x:v>Digital Lead</x:v>
      </x:c>
      <x:c r="O156" t="str">
        <x:v>PO-TS-7985</x:v>
      </x:c>
      <x:c r="P156" t="str"/>
    </x:row>
    <x:row r="157">
      <x:c r="A157" t="str">
        <x:v>DN-TS-2026-156</x:v>
      </x:c>
      <x:c r="B157" s="16" t="n">
        <x:v>46263</x:v>
      </x:c>
      <x:c r="C157" t="str">
        <x:v>Q3</x:v>
      </x:c>
      <x:c r="D157" t="str">
        <x:v>2026-08</x:v>
      </x:c>
      <x:c r="E157" t="str">
        <x:v>Google Asia Pacific</x:v>
      </x:c>
      <x:c r="F157" t="str">
        <x:v>Tuyển sinh sau đại học</x:v>
      </x:c>
      <x:c r="G157" t="str">
        <x:v>Phần mềm CRM</x:v>
      </x:c>
      <x:c r="H157" t="str">
        <x:v>Thanh toán phần mềm crm cho tuyển sinh sau đại học</x:v>
      </x:c>
      <x:c r="I157" s="12" t="n">
        <x:v>12000000</x:v>
      </x:c>
      <x:c r="J157" s="12" t="n">
        <x:f>I157*10%</x:f>
        <x:v>1200000</x:v>
      </x:c>
      <x:c r="K157" s="12" t="n">
        <x:f>I157+J157</x:f>
        <x:v>13200000</x:v>
      </x:c>
      <x:c r="L157" t="str">
        <x:v>Ngân sách truyền thông</x:v>
      </x:c>
      <x:c r="M157" t="str">
        <x:v>Đã thanh toán</x:v>
      </x:c>
      <x:c r="N157" t="str">
        <x:v>Event Coordinator</x:v>
      </x:c>
      <x:c r="O157" t="str">
        <x:v>PO-TS-7481</x:v>
      </x:c>
      <x:c r="P157" t="str"/>
    </x:row>
    <x:row r="158">
      <x:c r="A158" t="str">
        <x:v>DN-TS-2026-157</x:v>
      </x:c>
      <x:c r="B158" s="16" t="n">
        <x:v>46041</x:v>
      </x:c>
      <x:c r="C158" t="str">
        <x:v>Q1</x:v>
      </x:c>
      <x:c r="D158" t="str">
        <x:v>2026-01</x:v>
      </x:c>
      <x:c r="E158" t="str">
        <x:v>Công ty Sản xuất Video FrameX</x:v>
      </x:c>
      <x:c r="F158" t="str">
        <x:v>Digital Admission Campaign</x:v>
      </x:c>
      <x:c r="G158" t="str">
        <x:v>Thuê địa điểm sự kiện</x:v>
      </x:c>
      <x:c r="H158" t="str">
        <x:v>Thanh toán thuê địa điểm sự kiện cho digital admission campaign</x:v>
      </x:c>
      <x:c r="I158" s="12" t="n">
        <x:v>100000000</x:v>
      </x:c>
      <x:c r="J158" s="12" t="n">
        <x:f>I158*10%</x:f>
        <x:v>10000000</x:v>
      </x:c>
      <x:c r="K158" s="12" t="n">
        <x:f>I158+J158</x:f>
        <x:v>110000000</x:v>
      </x:c>
      <x:c r="L158" t="str">
        <x:v>Quỹ học bổng</x:v>
      </x:c>
      <x:c r="M158" t="str">
        <x:v>Đã duyệt</x:v>
      </x:c>
      <x:c r="N158" t="str">
        <x:v>Admissions Manager</x:v>
      </x:c>
      <x:c r="O158" t="str">
        <x:v>PO-TS-4371</x:v>
      </x:c>
      <x:c r="P158" t="str"/>
    </x:row>
    <x:row r="159">
      <x:c r="A159" t="str">
        <x:v>DN-TS-2026-158</x:v>
      </x:c>
      <x:c r="B159" s="16" t="n">
        <x:v>46169</x:v>
      </x:c>
      <x:c r="C159" t="str">
        <x:v>Q2</x:v>
      </x:c>
      <x:c r="D159" t="str">
        <x:v>2026-05</x:v>
      </x:c>
      <x:c r="E159" t="str">
        <x:v>Trường THPT đối tác</x:v>
      </x:c>
      <x:c r="F159" t="str">
        <x:v>Đào tạo cộng tác viên tuyển sinh</x:v>
      </x:c>
      <x:c r="G159" t="str">
        <x:v>Quảng cáo Google Search</x:v>
      </x:c>
      <x:c r="H159" t="str">
        <x:v>Thanh toán quảng cáo google search cho đào tạo cộng tác viên tuyển sinh</x:v>
      </x:c>
      <x:c r="I159" s="12" t="n">
        <x:v>5000000</x:v>
      </x:c>
      <x:c r="J159" s="12" t="n">
        <x:f>I159*10%</x:f>
        <x:v>500000</x:v>
      </x:c>
      <x:c r="K159" s="12" t="n">
        <x:f>I159+J159</x:f>
        <x:v>5500000</x:v>
      </x:c>
      <x:c r="L159" t="str">
        <x:v>Ngân sách truyền thông</x:v>
      </x:c>
      <x:c r="M159" t="str">
        <x:v>Đã duyệt</x:v>
      </x:c>
      <x:c r="N159" t="str">
        <x:v>Admissions Manager</x:v>
      </x:c>
      <x:c r="O159" t="str">
        <x:v>PO-TS-8496</x:v>
      </x:c>
      <x:c r="P159" t="str"/>
    </x:row>
    <x:row r="160">
      <x:c r="A160" t="str">
        <x:v>DN-TS-2026-159</x:v>
      </x:c>
      <x:c r="B160" s="16" t="n">
        <x:v>46085</x:v>
      </x:c>
      <x:c r="C160" t="str">
        <x:v>Q1</x:v>
      </x:c>
      <x:c r="D160" t="str">
        <x:v>2026-03</x:v>
      </x:c>
      <x:c r="E160" t="str">
        <x:v>Trung tâm Hội nghị Quốc gia</x:v>
      </x:c>
      <x:c r="F160" t="str">
        <x:v>Ngày hội tuyển sinh</x:v>
      </x:c>
      <x:c r="G160" t="str">
        <x:v>Đào tạo nhân sự</x:v>
      </x:c>
      <x:c r="H160" t="str">
        <x:v>Thanh toán đào tạo nhân sự cho ngày hội tuyển sinh</x:v>
      </x:c>
      <x:c r="I160" s="12" t="n">
        <x:v>15000000</x:v>
      </x:c>
      <x:c r="J160" s="12" t="n">
        <x:f>I160*10%</x:f>
        <x:v>1500000</x:v>
      </x:c>
      <x:c r="K160" s="12" t="n">
        <x:f>I160+J160</x:f>
        <x:v>16500000</x:v>
      </x:c>
      <x:c r="L160" t="str">
        <x:v>Tài trợ đối tác</x:v>
      </x:c>
      <x:c r="M160" t="str">
        <x:v>Đã thanh toán</x:v>
      </x:c>
      <x:c r="N160" t="str">
        <x:v>Scholarship Officer</x:v>
      </x:c>
      <x:c r="O160" t="str">
        <x:v>PO-TS-7431</x:v>
      </x:c>
      <x:c r="P160" t="str"/>
    </x:row>
    <x:row r="161">
      <x:c r="A161" t="str">
        <x:v>DN-TS-2026-160</x:v>
      </x:c>
      <x:c r="B161" s="16" t="n">
        <x:v>46327</x:v>
      </x:c>
      <x:c r="C161" t="str">
        <x:v>Q4</x:v>
      </x:c>
      <x:c r="D161" t="str">
        <x:v>2026-11</x:v>
      </x:c>
      <x:c r="E161" t="str">
        <x:v>Công ty Nghiên cứu thị trường Insight</x:v>
      </x:c>
      <x:c r="F161" t="str">
        <x:v>Sự kiện phụ huynh</x:v>
      </x:c>
      <x:c r="G161" t="str">
        <x:v>Tổ chức booth tư vấn</x:v>
      </x:c>
      <x:c r="H161" t="str">
        <x:v>Thanh toán tổ chức booth tư vấn cho sự kiện phụ huynh</x:v>
      </x:c>
      <x:c r="I161" s="12" t="n">
        <x:v>5000000</x:v>
      </x:c>
      <x:c r="J161" s="12" t="n">
        <x:f>I161*10%</x:f>
        <x:v>500000</x:v>
      </x:c>
      <x:c r="K161" s="12" t="n">
        <x:f>I161+J161</x:f>
        <x:v>5500000</x:v>
      </x:c>
      <x:c r="L161" t="str">
        <x:v>Quỹ học bổng</x:v>
      </x:c>
      <x:c r="M161" t="str">
        <x:v>Đã thanh toán</x:v>
      </x:c>
      <x:c r="N161" t="str">
        <x:v>Digital Lead</x:v>
      </x:c>
      <x:c r="O161" t="str">
        <x:v>PO-TS-2388</x:v>
      </x:c>
      <x:c r="P161" t="str"/>
    </x:row>
    <x:row r="162">
      <x:c r="A162" t="str">
        <x:v>DN-TS-2026-161</x:v>
      </x:c>
      <x:c r="B162" s="16" t="n">
        <x:v>46371</x:v>
      </x:c>
      <x:c r="C162" t="str">
        <x:v>Q4</x:v>
      </x:c>
      <x:c r="D162" t="str">
        <x:v>2026-12</x:v>
      </x:c>
      <x:c r="E162" t="str">
        <x:v>Công ty EventPlus</x:v>
      </x:c>
      <x:c r="F162" t="str">
        <x:v>Sự kiện phụ huynh</x:v>
      </x:c>
      <x:c r="G162" t="str">
        <x:v>Quảng cáo Google Search</x:v>
      </x:c>
      <x:c r="H162" t="str">
        <x:v>Thanh toán quảng cáo google search cho sự kiện phụ huynh</x:v>
      </x:c>
      <x:c r="I162" s="12" t="n">
        <x:v>8000000</x:v>
      </x:c>
      <x:c r="J162" s="12" t="n">
        <x:f>I162*10%</x:f>
        <x:v>800000</x:v>
      </x:c>
      <x:c r="K162" s="12" t="n">
        <x:f>I162+J162</x:f>
        <x:v>8800000</x:v>
      </x:c>
      <x:c r="L162" t="str">
        <x:v>Tài trợ đối tác</x:v>
      </x:c>
      <x:c r="M162" t="str">
        <x:v>Chờ duyệt</x:v>
      </x:c>
      <x:c r="N162" t="str">
        <x:v>Digital Lead</x:v>
      </x:c>
      <x:c r="O162" t="str">
        <x:v>PO-TS-3316</x:v>
      </x:c>
      <x:c r="P162" t="str"/>
    </x:row>
    <x:row r="163">
      <x:c r="A163" t="str">
        <x:v>DN-TS-2026-162</x:v>
      </x:c>
      <x:c r="B163" s="16" t="n">
        <x:v>46288</x:v>
      </x:c>
      <x:c r="C163" t="str">
        <x:v>Q3</x:v>
      </x:c>
      <x:c r="D163" t="str">
        <x:v>2026-09</x:v>
      </x:c>
      <x:c r="E163" t="str">
        <x:v>Google Asia Pacific</x:v>
      </x:c>
      <x:c r="F163" t="str">
        <x:v>Tuyển sinh sau đại học</x:v>
      </x:c>
      <x:c r="G163" t="str">
        <x:v>Chi phí diễn giả</x:v>
      </x:c>
      <x:c r="H163" t="str">
        <x:v>Thanh toán chi phí diễn giả cho tuyển sinh sau đại học</x:v>
      </x:c>
      <x:c r="I163" s="12" t="n">
        <x:v>30000000</x:v>
      </x:c>
      <x:c r="J163" s="12" t="n">
        <x:f>I163*10%</x:f>
        <x:v>3000000</x:v>
      </x:c>
      <x:c r="K163" s="12" t="n">
        <x:f>I163+J163</x:f>
        <x:v>33000000</x:v>
      </x:c>
      <x:c r="L163" t="str">
        <x:v>Quỹ học bổng</x:v>
      </x:c>
      <x:c r="M163" t="str">
        <x:v>Đã thanh toán</x:v>
      </x:c>
      <x:c r="N163" t="str">
        <x:v>Event Coordinator</x:v>
      </x:c>
      <x:c r="O163" t="str">
        <x:v>PO-TS-9804</x:v>
      </x:c>
      <x:c r="P163" t="str"/>
    </x:row>
    <x:row r="164">
      <x:c r="A164" t="str">
        <x:v>DN-TS-2026-163</x:v>
      </x:c>
      <x:c r="B164" s="16" t="n">
        <x:v>46357</x:v>
      </x:c>
      <x:c r="C164" t="str">
        <x:v>Q4</x:v>
      </x:c>
      <x:c r="D164" t="str">
        <x:v>2026-12</x:v>
      </x:c>
      <x:c r="E164" t="str">
        <x:v>Trung tâm Hội nghị Quốc gia</x:v>
      </x:c>
      <x:c r="F164" t="str">
        <x:v>CRM &amp; Admission System</x:v>
      </x:c>
      <x:c r="G164" t="str">
        <x:v>Sản xuất video tuyển sinh</x:v>
      </x:c>
      <x:c r="H164" t="str">
        <x:v>Thanh toán sản xuất video tuyển sinh cho crm &amp; admission system</x:v>
      </x:c>
      <x:c r="I164" s="12" t="n">
        <x:v>8000000</x:v>
      </x:c>
      <x:c r="J164" s="12" t="n">
        <x:f>I164*10%</x:f>
        <x:v>800000</x:v>
      </x:c>
      <x:c r="K164" s="12" t="n">
        <x:f>I164+J164</x:f>
        <x:v>8800000</x:v>
      </x:c>
      <x:c r="L164" t="str">
        <x:v>Tài trợ đối tác</x:v>
      </x:c>
      <x:c r="M164" t="str">
        <x:v>Chờ duyệt</x:v>
      </x:c>
      <x:c r="N164" t="str">
        <x:v>Digital Lead</x:v>
      </x:c>
      <x:c r="O164" t="str">
        <x:v>PO-TS-8389</x:v>
      </x:c>
      <x:c r="P164" t="str"/>
    </x:row>
    <x:row r="165">
      <x:c r="A165" t="str">
        <x:v>DN-TS-2026-164</x:v>
      </x:c>
      <x:c r="B165" s="16" t="n">
        <x:v>46344</x:v>
      </x:c>
      <x:c r="C165" t="str">
        <x:v>Q4</x:v>
      </x:c>
      <x:c r="D165" t="str">
        <x:v>2026-11</x:v>
      </x:c>
      <x:c r="E165" t="str">
        <x:v>Trung tâm Hội nghị Quốc gia</x:v>
      </x:c>
      <x:c r="F165" t="str">
        <x:v>Sự kiện phụ huynh</x:v>
      </x:c>
      <x:c r="G165" t="str">
        <x:v>Quảng cáo Facebook/Instagram</x:v>
      </x:c>
      <x:c r="H165" t="str">
        <x:v>Thanh toán quảng cáo facebook/instagram cho sự kiện phụ huynh</x:v>
      </x:c>
      <x:c r="I165" s="12" t="n">
        <x:v>3000000</x:v>
      </x:c>
      <x:c r="J165" s="12" t="n">
        <x:f>I165*10%</x:f>
        <x:v>300000</x:v>
      </x:c>
      <x:c r="K165" s="12" t="n">
        <x:f>I165+J165</x:f>
        <x:v>3300000</x:v>
      </x:c>
      <x:c r="L165" t="str">
        <x:v>Ngân sách truyền thông</x:v>
      </x:c>
      <x:c r="M165" t="str">
        <x:v>Đã duyệt</x:v>
      </x:c>
      <x:c r="N165" t="str">
        <x:v>Event Coordinator</x:v>
      </x:c>
      <x:c r="O165" t="str">
        <x:v>PO-TS-9281</x:v>
      </x:c>
      <x:c r="P165" t="str"/>
    </x:row>
    <x:row r="166">
      <x:c r="A166" t="str">
        <x:v>DN-TS-2026-165</x:v>
      </x:c>
      <x:c r="B166" s="16" t="n">
        <x:v>46361</x:v>
      </x:c>
      <x:c r="C166" t="str">
        <x:v>Q4</x:v>
      </x:c>
      <x:c r="D166" t="str">
        <x:v>2026-12</x:v>
      </x:c>
      <x:c r="E166" t="str">
        <x:v>Trung tâm Hội nghị Quốc gia</x:v>
      </x:c>
      <x:c r="F166" t="str">
        <x:v>Tuyển sinh sau đại học</x:v>
      </x:c>
      <x:c r="G166" t="str">
        <x:v>Phần mềm CRM</x:v>
      </x:c>
      <x:c r="H166" t="str">
        <x:v>Thanh toán phần mềm crm cho tuyển sinh sau đại học</x:v>
      </x:c>
      <x:c r="I166" s="12" t="n">
        <x:v>50000000</x:v>
      </x:c>
      <x:c r="J166" s="12" t="n">
        <x:f>I166*10%</x:f>
        <x:v>5000000</x:v>
      </x:c>
      <x:c r="K166" s="12" t="n">
        <x:f>I166+J166</x:f>
        <x:v>55000000</x:v>
      </x:c>
      <x:c r="L166" t="str">
        <x:v>Quỹ học bổng</x:v>
      </x:c>
      <x:c r="M166" t="str">
        <x:v>Đã thanh toán</x:v>
      </x:c>
      <x:c r="N166" t="str">
        <x:v>Event Coordinator</x:v>
      </x:c>
      <x:c r="O166" t="str">
        <x:v>PO-TS-9006</x:v>
      </x:c>
      <x:c r="P166" t="str"/>
    </x:row>
    <x:row r="167">
      <x:c r="A167" t="str">
        <x:v>DN-TS-2026-166</x:v>
      </x:c>
      <x:c r="B167" s="16" t="n">
        <x:v>46112</x:v>
      </x:c>
      <x:c r="C167" t="str">
        <x:v>Q1</x:v>
      </x:c>
      <x:c r="D167" t="str">
        <x:v>2026-03</x:v>
      </x:c>
      <x:c r="E167" t="str">
        <x:v>Trường THPT đối tác</x:v>
      </x:c>
      <x:c r="F167" t="str">
        <x:v>Đào tạo cộng tác viên tuyển sinh</x:v>
      </x:c>
      <x:c r="G167" t="str">
        <x:v>Quảng cáo Facebook/Instagram</x:v>
      </x:c>
      <x:c r="H167" t="str">
        <x:v>Thanh toán quảng cáo facebook/instagram cho đào tạo cộng tác viên tuyển sinh</x:v>
      </x:c>
      <x:c r="I167" s="12" t="n">
        <x:v>5000000</x:v>
      </x:c>
      <x:c r="J167" s="12" t="n">
        <x:f>I167*10%</x:f>
        <x:v>500000</x:v>
      </x:c>
      <x:c r="K167" s="12" t="n">
        <x:f>I167+J167</x:f>
        <x:v>5500000</x:v>
      </x:c>
      <x:c r="L167" t="str">
        <x:v>Ngân sách truyền thông</x:v>
      </x:c>
      <x:c r="M167" t="str">
        <x:v>Đã duyệt</x:v>
      </x:c>
      <x:c r="N167" t="str">
        <x:v>Digital Lead</x:v>
      </x:c>
      <x:c r="O167" t="str">
        <x:v>PO-TS-4683</x:v>
      </x:c>
      <x:c r="P167" t="str"/>
    </x:row>
    <x:row r="168">
      <x:c r="A168" t="str">
        <x:v>DN-TS-2026-167</x:v>
      </x:c>
      <x:c r="B168" s="16" t="n">
        <x:v>46302</x:v>
      </x:c>
      <x:c r="C168" t="str">
        <x:v>Q4</x:v>
      </x:c>
      <x:c r="D168" t="str">
        <x:v>2026-10</x:v>
      </x:c>
      <x:c r="E168" t="str">
        <x:v>Trung tâm Hội nghị Quốc gia</x:v>
      </x:c>
      <x:c r="F168" t="str">
        <x:v>Open Day / Campus Tour</x:v>
      </x:c>
      <x:c r="G168" t="str">
        <x:v>Chi phí email/SMS</x:v>
      </x:c>
      <x:c r="H168" t="str">
        <x:v>Thanh toán chi phí email/sms cho open day / campus tour</x:v>
      </x:c>
      <x:c r="I168" s="12" t="n">
        <x:v>15000000</x:v>
      </x:c>
      <x:c r="J168" s="12" t="n">
        <x:f>I168*10%</x:f>
        <x:v>1500000</x:v>
      </x:c>
      <x:c r="K168" s="12" t="n">
        <x:f>I168+J168</x:f>
        <x:v>16500000</x:v>
      </x:c>
      <x:c r="L168" t="str">
        <x:v>Quỹ học bổng</x:v>
      </x:c>
      <x:c r="M168" t="str">
        <x:v>Đã thanh toán</x:v>
      </x:c>
      <x:c r="N168" t="str">
        <x:v>Admissions Officer</x:v>
      </x:c>
      <x:c r="O168" t="str">
        <x:v>PO-TS-2871</x:v>
      </x:c>
      <x:c r="P168" t="str"/>
    </x:row>
    <x:row r="169">
      <x:c r="A169" t="str">
        <x:v>DN-TS-2026-168</x:v>
      </x:c>
      <x:c r="B169" s="16" t="n">
        <x:v>46164</x:v>
      </x:c>
      <x:c r="C169" t="str">
        <x:v>Q2</x:v>
      </x:c>
      <x:c r="D169" t="str">
        <x:v>2026-05</x:v>
      </x:c>
      <x:c r="E169" t="str">
        <x:v>Công ty Nghiên cứu thị trường Insight</x:v>
      </x:c>
      <x:c r="F169" t="str">
        <x:v>Sự kiện phụ huynh</x:v>
      </x:c>
      <x:c r="G169" t="str">
        <x:v>Quà tặng thí sinh</x:v>
      </x:c>
      <x:c r="H169" t="str">
        <x:v>Thanh toán quà tặng thí sinh cho sự kiện phụ huynh</x:v>
      </x:c>
      <x:c r="I169" s="12" t="n">
        <x:v>80000000</x:v>
      </x:c>
      <x:c r="J169" s="12" t="n">
        <x:f>I169*10%</x:f>
        <x:v>8000000</x:v>
      </x:c>
      <x:c r="K169" s="12" t="n">
        <x:f>I169+J169</x:f>
        <x:v>88000000</x:v>
      </x:c>
      <x:c r="L169" t="str">
        <x:v>Ngân sách tuyển sinh</x:v>
      </x:c>
      <x:c r="M169" t="str">
        <x:v>Đã thanh toán</x:v>
      </x:c>
      <x:c r="N169" t="str">
        <x:v>Event Coordinator</x:v>
      </x:c>
      <x:c r="O169" t="str">
        <x:v>PO-TS-9951</x:v>
      </x:c>
      <x:c r="P169" t="str"/>
    </x:row>
    <x:row r="170">
      <x:c r="A170" t="str">
        <x:v>DN-TS-2026-169</x:v>
      </x:c>
      <x:c r="B170" s="16" t="n">
        <x:v>46138</x:v>
      </x:c>
      <x:c r="C170" t="str">
        <x:v>Q2</x:v>
      </x:c>
      <x:c r="D170" t="str">
        <x:v>2026-04</x:v>
      </x:c>
      <x:c r="E170" t="str">
        <x:v>Công ty Nghiên cứu thị trường Insight</x:v>
      </x:c>
      <x:c r="F170" t="str">
        <x:v>Tư vấn tuyển sinh THPT</x:v>
      </x:c>
      <x:c r="G170" t="str">
        <x:v>Học bổng đầu vào</x:v>
      </x:c>
      <x:c r="H170" t="str">
        <x:v>Thanh toán học bổng đầu vào cho tư vấn tuyển sinh thpt</x:v>
      </x:c>
      <x:c r="I170" s="12" t="n">
        <x:v>30000000</x:v>
      </x:c>
      <x:c r="J170" s="12" t="n">
        <x:f>I170*10%</x:f>
        <x:v>3000000</x:v>
      </x:c>
      <x:c r="K170" s="12" t="n">
        <x:f>I170+J170</x:f>
        <x:v>33000000</x:v>
      </x:c>
      <x:c r="L170" t="str">
        <x:v>Ngân sách truyền thông</x:v>
      </x:c>
      <x:c r="M170" t="str">
        <x:v>Đã duyệt</x:v>
      </x:c>
      <x:c r="N170" t="str">
        <x:v>Admissions Officer</x:v>
      </x:c>
      <x:c r="O170" t="str">
        <x:v>PO-TS-8368</x:v>
      </x:c>
      <x:c r="P170" t="str"/>
    </x:row>
    <x:row r="171">
      <x:c r="A171" t="str">
        <x:v>DN-TS-2026-170</x:v>
      </x:c>
      <x:c r="B171" s="16" t="n">
        <x:v>46161</x:v>
      </x:c>
      <x:c r="C171" t="str">
        <x:v>Q2</x:v>
      </x:c>
      <x:c r="D171" t="str">
        <x:v>2026-05</x:v>
      </x:c>
      <x:c r="E171" t="str">
        <x:v>Công ty Nghiên cứu thị trường Insight</x:v>
      </x:c>
      <x:c r="F171" t="str">
        <x:v>Tư vấn tuyển sinh THPT</x:v>
      </x:c>
      <x:c r="G171" t="str">
        <x:v>Thuê địa điểm sự kiện</x:v>
      </x:c>
      <x:c r="H171" t="str">
        <x:v>Thanh toán thuê địa điểm sự kiện cho tư vấn tuyển sinh thpt</x:v>
      </x:c>
      <x:c r="I171" s="12" t="n">
        <x:v>20000000</x:v>
      </x:c>
      <x:c r="J171" s="12" t="n">
        <x:f>I171*10%</x:f>
        <x:v>2000000</x:v>
      </x:c>
      <x:c r="K171" s="12" t="n">
        <x:f>I171+J171</x:f>
        <x:v>22000000</x:v>
      </x:c>
      <x:c r="L171" t="str">
        <x:v>Ngân sách tuyển sinh</x:v>
      </x:c>
      <x:c r="M171" t="str">
        <x:v>Đã thanh toán</x:v>
      </x:c>
      <x:c r="N171" t="str">
        <x:v>Admissions Manager</x:v>
      </x:c>
      <x:c r="O171" t="str">
        <x:v>PO-TS-4438</x:v>
      </x:c>
      <x:c r="P171" t="str"/>
    </x:row>
    <x:row r="172">
      <x:c r="A172" t="str">
        <x:v>DN-TS-2026-171</x:v>
      </x:c>
      <x:c r="B172" s="16" t="n">
        <x:v>46328</x:v>
      </x:c>
      <x:c r="C172" t="str">
        <x:v>Q4</x:v>
      </x:c>
      <x:c r="D172" t="str">
        <x:v>2026-11</x:v>
      </x:c>
      <x:c r="E172" t="str">
        <x:v>Nhà cung cấp Email/SMS EduConnect</x:v>
      </x:c>
      <x:c r="F172" t="str">
        <x:v>Sản xuất học liệu truyền thông</x:v>
      </x:c>
      <x:c r="G172" t="str">
        <x:v>Chi phí diễn giả</x:v>
      </x:c>
      <x:c r="H172" t="str">
        <x:v>Thanh toán chi phí diễn giả cho sản xuất học liệu truyền thông</x:v>
      </x:c>
      <x:c r="I172" s="12" t="n">
        <x:v>20000000</x:v>
      </x:c>
      <x:c r="J172" s="12" t="n">
        <x:f>I172*10%</x:f>
        <x:v>2000000</x:v>
      </x:c>
      <x:c r="K172" s="12" t="n">
        <x:f>I172+J172</x:f>
        <x:v>22000000</x:v>
      </x:c>
      <x:c r="L172" t="str">
        <x:v>Quỹ học bổng</x:v>
      </x:c>
      <x:c r="M172" t="str">
        <x:v>Đã duyệt</x:v>
      </x:c>
      <x:c r="N172" t="str">
        <x:v>Admissions Manager</x:v>
      </x:c>
      <x:c r="O172" t="str">
        <x:v>PO-TS-4385</x:v>
      </x:c>
      <x:c r="P172" t="str"/>
    </x:row>
    <x:row r="173">
      <x:c r="A173" t="str">
        <x:v>DN-TS-2026-172</x:v>
      </x:c>
      <x:c r="B173" s="16" t="n">
        <x:v>46132</x:v>
      </x:c>
      <x:c r="C173" t="str">
        <x:v>Q2</x:v>
      </x:c>
      <x:c r="D173" t="str">
        <x:v>2026-04</x:v>
      </x:c>
      <x:c r="E173" t="str">
        <x:v>Dịch vụ Logistics Thành Công</x:v>
      </x:c>
      <x:c r="F173" t="str">
        <x:v>Đào tạo cộng tác viên tuyển sinh</x:v>
      </x:c>
      <x:c r="G173" t="str">
        <x:v>Tổ chức booth tư vấn</x:v>
      </x:c>
      <x:c r="H173" t="str">
        <x:v>Thanh toán tổ chức booth tư vấn cho đào tạo cộng tác viên tuyển sinh</x:v>
      </x:c>
      <x:c r="I173" s="12" t="n">
        <x:v>3000000</x:v>
      </x:c>
      <x:c r="J173" s="12" t="n">
        <x:f>I173*10%</x:f>
        <x:v>300000</x:v>
      </x:c>
      <x:c r="K173" s="12" t="n">
        <x:f>I173+J173</x:f>
        <x:v>3300000</x:v>
      </x:c>
      <x:c r="L173" t="str">
        <x:v>Tài trợ đối tác</x:v>
      </x:c>
      <x:c r="M173" t="str">
        <x:v>Đã thanh toán</x:v>
      </x:c>
      <x:c r="N173" t="str">
        <x:v>Admissions Manager</x:v>
      </x:c>
      <x:c r="O173" t="str">
        <x:v>PO-TS-6302</x:v>
      </x:c>
      <x:c r="P173" t="str"/>
    </x:row>
    <x:row r="174">
      <x:c r="A174" t="str">
        <x:v>DN-TS-2026-173</x:v>
      </x:c>
      <x:c r="B174" s="16" t="n">
        <x:v>46176</x:v>
      </x:c>
      <x:c r="C174" t="str">
        <x:v>Q2</x:v>
      </x:c>
      <x:c r="D174" t="str">
        <x:v>2026-06</x:v>
      </x:c>
      <x:c r="E174" t="str">
        <x:v>Công ty Nghiên cứu thị trường Insight</x:v>
      </x:c>
      <x:c r="F174" t="str">
        <x:v>Đào tạo cộng tác viên tuyển sinh</x:v>
      </x:c>
      <x:c r="G174" t="str">
        <x:v>In ấn brochure</x:v>
      </x:c>
      <x:c r="H174" t="str">
        <x:v>Thanh toán in ấn brochure cho đào tạo cộng tác viên tuyển sinh</x:v>
      </x:c>
      <x:c r="I174" s="12" t="n">
        <x:v>15000000</x:v>
      </x:c>
      <x:c r="J174" s="12" t="n">
        <x:f>I174*10%</x:f>
        <x:v>1500000</x:v>
      </x:c>
      <x:c r="K174" s="12" t="n">
        <x:f>I174+J174</x:f>
        <x:v>16500000</x:v>
      </x:c>
      <x:c r="L174" t="str">
        <x:v>Ngân sách tuyển sinh</x:v>
      </x:c>
      <x:c r="M174" t="str">
        <x:v>Chờ duyệt</x:v>
      </x:c>
      <x:c r="N174" t="str">
        <x:v>Event Coordinator</x:v>
      </x:c>
      <x:c r="O174" t="str">
        <x:v>PO-TS-1971</x:v>
      </x:c>
      <x:c r="P174" t="str"/>
    </x:row>
    <x:row r="175">
      <x:c r="A175" t="str">
        <x:v>DN-TS-2026-174</x:v>
      </x:c>
      <x:c r="B175" s="16" t="n">
        <x:v>46168</x:v>
      </x:c>
      <x:c r="C175" t="str">
        <x:v>Q2</x:v>
      </x:c>
      <x:c r="D175" t="str">
        <x:v>2026-05</x:v>
      </x:c>
      <x:c r="E175" t="str">
        <x:v>Công ty Nghiên cứu thị trường Insight</x:v>
      </x:c>
      <x:c r="F175" t="str">
        <x:v>Open Day / Campus Tour</x:v>
      </x:c>
      <x:c r="G175" t="str">
        <x:v>Học bổng đầu vào</x:v>
      </x:c>
      <x:c r="H175" t="str">
        <x:v>Thanh toán học bổng đầu vào cho open day / campus tour</x:v>
      </x:c>
      <x:c r="I175" s="12" t="n">
        <x:v>150000000</x:v>
      </x:c>
      <x:c r="J175" s="12" t="n">
        <x:f>I175*10%</x:f>
        <x:v>15000000</x:v>
      </x:c>
      <x:c r="K175" s="12" t="n">
        <x:f>I175+J175</x:f>
        <x:v>165000000</x:v>
      </x:c>
      <x:c r="L175" t="str">
        <x:v>Ngân sách truyền thông</x:v>
      </x:c>
      <x:c r="M175" t="str">
        <x:v>Đã duyệt</x:v>
      </x:c>
      <x:c r="N175" t="str">
        <x:v>Digital Lead</x:v>
      </x:c>
      <x:c r="O175" t="str">
        <x:v>PO-TS-5055</x:v>
      </x:c>
      <x:c r="P175" t="str"/>
    </x:row>
    <x:row r="176">
      <x:c r="A176" t="str">
        <x:v>DN-TS-2026-175</x:v>
      </x:c>
      <x:c r="B176" s="16" t="n">
        <x:v>46373</x:v>
      </x:c>
      <x:c r="C176" t="str">
        <x:v>Q4</x:v>
      </x:c>
      <x:c r="D176" t="str">
        <x:v>2026-12</x:v>
      </x:c>
      <x:c r="E176" t="str">
        <x:v>Công ty Sản xuất Video FrameX</x:v>
      </x:c>
      <x:c r="F176" t="str">
        <x:v>International Recruitment</x:v>
      </x:c>
      <x:c r="G176" t="str">
        <x:v>Sản xuất video tuyển sinh</x:v>
      </x:c>
      <x:c r="H176" t="str">
        <x:v>Thanh toán sản xuất video tuyển sinh cho international recruitment</x:v>
      </x:c>
      <x:c r="I176" s="12" t="n">
        <x:v>30000000</x:v>
      </x:c>
      <x:c r="J176" s="12" t="n">
        <x:f>I176*10%</x:f>
        <x:v>3000000</x:v>
      </x:c>
      <x:c r="K176" s="12" t="n">
        <x:f>I176+J176</x:f>
        <x:v>33000000</x:v>
      </x:c>
      <x:c r="L176" t="str">
        <x:v>Tài trợ đối tác</x:v>
      </x:c>
      <x:c r="M176" t="str">
        <x:v>Đã thanh toán</x:v>
      </x:c>
      <x:c r="N176" t="str">
        <x:v>Event Coordinator</x:v>
      </x:c>
      <x:c r="O176" t="str">
        <x:v>PO-TS-8405</x:v>
      </x:c>
      <x:c r="P176" t="str"/>
    </x:row>
    <x:row r="177">
      <x:c r="A177" t="str">
        <x:v>DN-TS-2026-176</x:v>
      </x:c>
      <x:c r="B177" s="16" t="n">
        <x:v>46065</x:v>
      </x:c>
      <x:c r="C177" t="str">
        <x:v>Q1</x:v>
      </x:c>
      <x:c r="D177" t="str">
        <x:v>2026-02</x:v>
      </x:c>
      <x:c r="E177" t="str">
        <x:v>Dịch vụ Logistics Thành Công</x:v>
      </x:c>
      <x:c r="F177" t="str">
        <x:v>Tư vấn tuyển sinh THPT</x:v>
      </x:c>
      <x:c r="G177" t="str">
        <x:v>Chi phí đi lại công tác</x:v>
      </x:c>
      <x:c r="H177" t="str">
        <x:v>Thanh toán chi phí đi lại công tác cho tư vấn tuyển sinh thpt</x:v>
      </x:c>
      <x:c r="I177" s="12" t="n">
        <x:v>150000000</x:v>
      </x:c>
      <x:c r="J177" s="12" t="n">
        <x:f>I177*10%</x:f>
        <x:v>15000000</x:v>
      </x:c>
      <x:c r="K177" s="12" t="n">
        <x:f>I177+J177</x:f>
        <x:v>165000000</x:v>
      </x:c>
      <x:c r="L177" t="str">
        <x:v>Tài trợ đối tác</x:v>
      </x:c>
      <x:c r="M177" t="str">
        <x:v>Đã thanh toán</x:v>
      </x:c>
      <x:c r="N177" t="str">
        <x:v>Digital Lead</x:v>
      </x:c>
      <x:c r="O177" t="str">
        <x:v>PO-TS-8449</x:v>
      </x:c>
      <x:c r="P177" t="str"/>
    </x:row>
    <x:row r="178">
      <x:c r="A178" t="str">
        <x:v>DN-TS-2026-177</x:v>
      </x:c>
      <x:c r="B178" s="16" t="n">
        <x:v>46276</x:v>
      </x:c>
      <x:c r="C178" t="str">
        <x:v>Q3</x:v>
      </x:c>
      <x:c r="D178" t="str">
        <x:v>2026-09</x:v>
      </x:c>
      <x:c r="E178" t="str">
        <x:v>Công ty Nghiên cứu thị trường Insight</x:v>
      </x:c>
      <x:c r="F178" t="str">
        <x:v>Đào tạo cộng tác viên tuyển sinh</x:v>
      </x:c>
      <x:c r="G178" t="str">
        <x:v>Quảng cáo Facebook/Instagram</x:v>
      </x:c>
      <x:c r="H178" t="str">
        <x:v>Thanh toán quảng cáo facebook/instagram cho đào tạo cộng tác viên tuyển sinh</x:v>
      </x:c>
      <x:c r="I178" s="12" t="n">
        <x:v>20000000</x:v>
      </x:c>
      <x:c r="J178" s="12" t="n">
        <x:f>I178*10%</x:f>
        <x:v>2000000</x:v>
      </x:c>
      <x:c r="K178" s="12" t="n">
        <x:f>I178+J178</x:f>
        <x:v>22000000</x:v>
      </x:c>
      <x:c r="L178" t="str">
        <x:v>Ngân sách tuyển sinh</x:v>
      </x:c>
      <x:c r="M178" t="str">
        <x:v>Đã thanh toán</x:v>
      </x:c>
      <x:c r="N178" t="str">
        <x:v>Event Coordinator</x:v>
      </x:c>
      <x:c r="O178" t="str">
        <x:v>PO-TS-6869</x:v>
      </x:c>
      <x:c r="P178" t="str"/>
    </x:row>
    <x:row r="179">
      <x:c r="A179" t="str">
        <x:v>DN-TS-2026-178</x:v>
      </x:c>
      <x:c r="B179" s="16" t="n">
        <x:v>46059</x:v>
      </x:c>
      <x:c r="C179" t="str">
        <x:v>Q1</x:v>
      </x:c>
      <x:c r="D179" t="str">
        <x:v>2026-02</x:v>
      </x:c>
      <x:c r="E179" t="str">
        <x:v>Công ty Quà tặng ABC</x:v>
      </x:c>
      <x:c r="F179" t="str">
        <x:v>Tuyển sinh sau đại học</x:v>
      </x:c>
      <x:c r="G179" t="str">
        <x:v>Thiết kế landing page</x:v>
      </x:c>
      <x:c r="H179" t="str">
        <x:v>Thanh toán thiết kế landing page cho tuyển sinh sau đại học</x:v>
      </x:c>
      <x:c r="I179" s="12" t="n">
        <x:v>80000000</x:v>
      </x:c>
      <x:c r="J179" s="12" t="n">
        <x:f>I179*10%</x:f>
        <x:v>8000000</x:v>
      </x:c>
      <x:c r="K179" s="12" t="n">
        <x:f>I179+J179</x:f>
        <x:v>88000000</x:v>
      </x:c>
      <x:c r="L179" t="str">
        <x:v>Ngân sách truyền thông</x:v>
      </x:c>
      <x:c r="M179" t="str">
        <x:v>Đã thanh toán</x:v>
      </x:c>
      <x:c r="N179" t="str">
        <x:v>Digital Lead</x:v>
      </x:c>
      <x:c r="O179" t="str">
        <x:v>PO-TS-5646</x:v>
      </x:c>
      <x:c r="P179" t="str"/>
    </x:row>
    <x:row r="180">
      <x:c r="A180" t="str">
        <x:v>DN-TS-2026-179</x:v>
      </x:c>
      <x:c r="B180" s="16" t="n">
        <x:v>46199</x:v>
      </x:c>
      <x:c r="C180" t="str">
        <x:v>Q2</x:v>
      </x:c>
      <x:c r="D180" t="str">
        <x:v>2026-06</x:v>
      </x:c>
      <x:c r="E180" t="str">
        <x:v>Công ty Sản xuất Video FrameX</x:v>
      </x:c>
      <x:c r="F180" t="str">
        <x:v>Đào tạo cộng tác viên tuyển sinh</x:v>
      </x:c>
      <x:c r="G180" t="str">
        <x:v>Sản xuất video tuyển sinh</x:v>
      </x:c>
      <x:c r="H180" t="str">
        <x:v>Thanh toán sản xuất video tuyển sinh cho đào tạo cộng tác viên tuyển sinh</x:v>
      </x:c>
      <x:c r="I180" s="12" t="n">
        <x:v>80000000</x:v>
      </x:c>
      <x:c r="J180" s="12" t="n">
        <x:f>I180*10%</x:f>
        <x:v>8000000</x:v>
      </x:c>
      <x:c r="K180" s="12" t="n">
        <x:f>I180+J180</x:f>
        <x:v>88000000</x:v>
      </x:c>
      <x:c r="L180" t="str">
        <x:v>Quỹ học bổng</x:v>
      </x:c>
      <x:c r="M180" t="str">
        <x:v>Đã thanh toán</x:v>
      </x:c>
      <x:c r="N180" t="str">
        <x:v>Admissions Officer</x:v>
      </x:c>
      <x:c r="O180" t="str">
        <x:v>PO-TS-1752</x:v>
      </x:c>
      <x:c r="P180" t="str"/>
    </x:row>
    <x:row r="181">
      <x:c r="A181" t="str">
        <x:v>DN-TS-2026-180</x:v>
      </x:c>
      <x:c r="B181" s="16" t="n">
        <x:v>46077</x:v>
      </x:c>
      <x:c r="C181" t="str">
        <x:v>Q1</x:v>
      </x:c>
      <x:c r="D181" t="str">
        <x:v>2026-02</x:v>
      </x:c>
      <x:c r="E181" t="str">
        <x:v>Meta Ads Vietnam</x:v>
      </x:c>
      <x:c r="F181" t="str">
        <x:v>International Recruitment</x:v>
      </x:c>
      <x:c r="G181" t="str">
        <x:v>Quảng cáo Facebook/Instagram</x:v>
      </x:c>
      <x:c r="H181" t="str">
        <x:v>Thanh toán quảng cáo facebook/instagram cho international recruitment</x:v>
      </x:c>
      <x:c r="I181" s="12" t="n">
        <x:v>150000000</x:v>
      </x:c>
      <x:c r="J181" s="12" t="n">
        <x:f>I181*10%</x:f>
        <x:v>15000000</x:v>
      </x:c>
      <x:c r="K181" s="12" t="n">
        <x:f>I181+J181</x:f>
        <x:v>165000000</x:v>
      </x:c>
      <x:c r="L181" t="str">
        <x:v>Ngân sách truyền thông</x:v>
      </x:c>
      <x:c r="M181" t="str">
        <x:v>Đã thanh toán</x:v>
      </x:c>
      <x:c r="N181" t="str">
        <x:v>Admissions Officer</x:v>
      </x:c>
      <x:c r="O181" t="str">
        <x:v>PO-TS-8009</x:v>
      </x:c>
      <x:c r="P181" t="str"/>
    </x:row>
    <x:row r="182">
      <x:c r="A182" t="str">
        <x:v>DN-TS-2026-181</x:v>
      </x:c>
      <x:c r="B182" s="16" t="n">
        <x:v>46130</x:v>
      </x:c>
      <x:c r="C182" t="str">
        <x:v>Q2</x:v>
      </x:c>
      <x:c r="D182" t="str">
        <x:v>2026-04</x:v>
      </x:c>
      <x:c r="E182" t="str">
        <x:v>Google Asia Pacific</x:v>
      </x:c>
      <x:c r="F182" t="str">
        <x:v>Ngày hội tuyển sinh</x:v>
      </x:c>
      <x:c r="G182" t="str">
        <x:v>In ấn brochure</x:v>
      </x:c>
      <x:c r="H182" t="str">
        <x:v>Thanh toán in ấn brochure cho ngày hội tuyển sinh</x:v>
      </x:c>
      <x:c r="I182" s="12" t="n">
        <x:v>8000000</x:v>
      </x:c>
      <x:c r="J182" s="12" t="n">
        <x:f>I182*10%</x:f>
        <x:v>800000</x:v>
      </x:c>
      <x:c r="K182" s="12" t="n">
        <x:f>I182+J182</x:f>
        <x:v>8800000</x:v>
      </x:c>
      <x:c r="L182" t="str">
        <x:v>Tài trợ đối tác</x:v>
      </x:c>
      <x:c r="M182" t="str">
        <x:v>Chờ duyệt</x:v>
      </x:c>
      <x:c r="N182" t="str">
        <x:v>Digital Lead</x:v>
      </x:c>
      <x:c r="O182" t="str">
        <x:v>PO-TS-5102</x:v>
      </x:c>
      <x:c r="P182" t="str"/>
    </x:row>
    <x:row r="183">
      <x:c r="A183" t="str">
        <x:v>DN-TS-2026-182</x:v>
      </x:c>
      <x:c r="B183" s="16" t="n">
        <x:v>46069</x:v>
      </x:c>
      <x:c r="C183" t="str">
        <x:v>Q1</x:v>
      </x:c>
      <x:c r="D183" t="str">
        <x:v>2026-02</x:v>
      </x:c>
      <x:c r="E183" t="str">
        <x:v>Nhà cung cấp Email/SMS EduConnect</x:v>
      </x:c>
      <x:c r="F183" t="str">
        <x:v>Ngày hội tuyển sinh</x:v>
      </x:c>
      <x:c r="G183" t="str">
        <x:v>Livestream tư vấn</x:v>
      </x:c>
      <x:c r="H183" t="str">
        <x:v>Thanh toán livestream tư vấn cho ngày hội tuyển sinh</x:v>
      </x:c>
      <x:c r="I183" s="12" t="n">
        <x:v>20000000</x:v>
      </x:c>
      <x:c r="J183" s="12" t="n">
        <x:f>I183*10%</x:f>
        <x:v>2000000</x:v>
      </x:c>
      <x:c r="K183" s="12" t="n">
        <x:f>I183+J183</x:f>
        <x:v>22000000</x:v>
      </x:c>
      <x:c r="L183" t="str">
        <x:v>Ngân sách truyền thông</x:v>
      </x:c>
      <x:c r="M183" t="str">
        <x:v>Chờ duyệt</x:v>
      </x:c>
      <x:c r="N183" t="str">
        <x:v>Digital Lead</x:v>
      </x:c>
      <x:c r="O183" t="str">
        <x:v>PO-TS-4836</x:v>
      </x:c>
      <x:c r="P183" t="str"/>
    </x:row>
    <x:row r="184">
      <x:c r="A184" t="str">
        <x:v>DN-TS-2026-183</x:v>
      </x:c>
      <x:c r="B184" s="16" t="n">
        <x:v>46246</x:v>
      </x:c>
      <x:c r="C184" t="str">
        <x:v>Q3</x:v>
      </x:c>
      <x:c r="D184" t="str">
        <x:v>2026-08</x:v>
      </x:c>
      <x:c r="E184" t="str">
        <x:v>Meta Ads Vietnam</x:v>
      </x:c>
      <x:c r="F184" t="str">
        <x:v>Tư vấn tuyển sinh THPT</x:v>
      </x:c>
      <x:c r="G184" t="str">
        <x:v>Học bổng đầu vào</x:v>
      </x:c>
      <x:c r="H184" t="str">
        <x:v>Thanh toán học bổng đầu vào cho tư vấn tuyển sinh thpt</x:v>
      </x:c>
      <x:c r="I184" s="12" t="n">
        <x:v>150000000</x:v>
      </x:c>
      <x:c r="J184" s="12" t="n">
        <x:f>I184*10%</x:f>
        <x:v>15000000</x:v>
      </x:c>
      <x:c r="K184" s="12" t="n">
        <x:f>I184+J184</x:f>
        <x:v>165000000</x:v>
      </x:c>
      <x:c r="L184" t="str">
        <x:v>Ngân sách tuyển sinh</x:v>
      </x:c>
      <x:c r="M184" t="str">
        <x:v>Đã duyệt</x:v>
      </x:c>
      <x:c r="N184" t="str">
        <x:v>Admissions Officer</x:v>
      </x:c>
      <x:c r="O184" t="str">
        <x:v>PO-TS-3174</x:v>
      </x:c>
      <x:c r="P184" t="str"/>
    </x:row>
    <x:row r="185">
      <x:c r="A185" t="str">
        <x:v>DN-TS-2026-184</x:v>
      </x:c>
      <x:c r="B185" s="16" t="n">
        <x:v>46330</x:v>
      </x:c>
      <x:c r="C185" t="str">
        <x:v>Q4</x:v>
      </x:c>
      <x:c r="D185" t="str">
        <x:v>2026-11</x:v>
      </x:c>
      <x:c r="E185" t="str">
        <x:v>Trung tâm Hội nghị Quốc gia</x:v>
      </x:c>
      <x:c r="F185" t="str">
        <x:v>CRM &amp; Admission System</x:v>
      </x:c>
      <x:c r="G185" t="str">
        <x:v>Phần mềm CRM</x:v>
      </x:c>
      <x:c r="H185" t="str">
        <x:v>Thanh toán phần mềm crm cho crm &amp; admission system</x:v>
      </x:c>
      <x:c r="I185" s="12" t="n">
        <x:v>12000000</x:v>
      </x:c>
      <x:c r="J185" s="12" t="n">
        <x:f>I185*10%</x:f>
        <x:v>1200000</x:v>
      </x:c>
      <x:c r="K185" s="12" t="n">
        <x:f>I185+J185</x:f>
        <x:v>13200000</x:v>
      </x:c>
      <x:c r="L185" t="str">
        <x:v>Ngân sách tuyển sinh</x:v>
      </x:c>
      <x:c r="M185" t="str">
        <x:v>Chờ duyệt</x:v>
      </x:c>
      <x:c r="N185" t="str">
        <x:v>Digital Lead</x:v>
      </x:c>
      <x:c r="O185" t="str">
        <x:v>PO-TS-2975</x:v>
      </x:c>
      <x:c r="P185" t="str"/>
    </x:row>
    <x:row r="186">
      <x:c r="A186" t="str">
        <x:v>DN-TS-2026-185</x:v>
      </x:c>
      <x:c r="B186" s="16" t="n">
        <x:v>46243</x:v>
      </x:c>
      <x:c r="C186" t="str">
        <x:v>Q3</x:v>
      </x:c>
      <x:c r="D186" t="str">
        <x:v>2026-08</x:v>
      </x:c>
      <x:c r="E186" t="str">
        <x:v>Công ty EventPlus</x:v>
      </x:c>
      <x:c r="F186" t="str">
        <x:v>International Recruitment</x:v>
      </x:c>
      <x:c r="G186" t="str">
        <x:v>Quảng cáo Google Search</x:v>
      </x:c>
      <x:c r="H186" t="str">
        <x:v>Thanh toán quảng cáo google search cho international recruitment</x:v>
      </x:c>
      <x:c r="I186" s="12" t="n">
        <x:v>8000000</x:v>
      </x:c>
      <x:c r="J186" s="12" t="n">
        <x:f>I186*10%</x:f>
        <x:v>800000</x:v>
      </x:c>
      <x:c r="K186" s="12" t="n">
        <x:f>I186+J186</x:f>
        <x:v>8800000</x:v>
      </x:c>
      <x:c r="L186" t="str">
        <x:v>Quỹ học bổng</x:v>
      </x:c>
      <x:c r="M186" t="str">
        <x:v>Chờ duyệt</x:v>
      </x:c>
      <x:c r="N186" t="str">
        <x:v>Admissions Officer</x:v>
      </x:c>
      <x:c r="O186" t="str">
        <x:v>PO-TS-2690</x:v>
      </x:c>
      <x:c r="P186" t="str"/>
    </x:row>
    <x:row r="187">
      <x:c r="A187" t="str">
        <x:v>DN-TS-2026-186</x:v>
      </x:c>
      <x:c r="B187" s="16" t="n">
        <x:v>46187</x:v>
      </x:c>
      <x:c r="C187" t="str">
        <x:v>Q2</x:v>
      </x:c>
      <x:c r="D187" t="str">
        <x:v>2026-06</x:v>
      </x:c>
      <x:c r="E187" t="str">
        <x:v>Công ty Quà tặng ABC</x:v>
      </x:c>
      <x:c r="F187" t="str">
        <x:v>Học bổng tuyển sinh</x:v>
      </x:c>
      <x:c r="G187" t="str">
        <x:v>Sản xuất video tuyển sinh</x:v>
      </x:c>
      <x:c r="H187" t="str">
        <x:v>Thanh toán sản xuất video tuyển sinh cho học bổng tuyển sinh</x:v>
      </x:c>
      <x:c r="I187" s="12" t="n">
        <x:v>20000000</x:v>
      </x:c>
      <x:c r="J187" s="12" t="n">
        <x:f>I187*10%</x:f>
        <x:v>2000000</x:v>
      </x:c>
      <x:c r="K187" s="12" t="n">
        <x:f>I187+J187</x:f>
        <x:v>22000000</x:v>
      </x:c>
      <x:c r="L187" t="str">
        <x:v>Ngân sách truyền thông</x:v>
      </x:c>
      <x:c r="M187" t="str">
        <x:v>Đã thanh toán</x:v>
      </x:c>
      <x:c r="N187" t="str">
        <x:v>Admissions Manager</x:v>
      </x:c>
      <x:c r="O187" t="str">
        <x:v>PO-TS-2120</x:v>
      </x:c>
      <x:c r="P187" t="str"/>
    </x:row>
    <x:row r="188">
      <x:c r="A188" t="str">
        <x:v>DN-TS-2026-187</x:v>
      </x:c>
      <x:c r="B188" s="16" t="n">
        <x:v>46298</x:v>
      </x:c>
      <x:c r="C188" t="str">
        <x:v>Q4</x:v>
      </x:c>
      <x:c r="D188" t="str">
        <x:v>2026-10</x:v>
      </x:c>
      <x:c r="E188" t="str">
        <x:v>Nhà cung cấp Email/SMS EduConnect</x:v>
      </x:c>
      <x:c r="F188" t="str">
        <x:v>Tuyển sinh đại học chính quy</x:v>
      </x:c>
      <x:c r="G188" t="str">
        <x:v>Chi phí diễn giả</x:v>
      </x:c>
      <x:c r="H188" t="str">
        <x:v>Thanh toán chi phí diễn giả cho tuyển sinh đại học chính quy</x:v>
      </x:c>
      <x:c r="I188" s="12" t="n">
        <x:v>100000000</x:v>
      </x:c>
      <x:c r="J188" s="12" t="n">
        <x:f>I188*10%</x:f>
        <x:v>10000000</x:v>
      </x:c>
      <x:c r="K188" s="12" t="n">
        <x:f>I188+J188</x:f>
        <x:v>110000000</x:v>
      </x:c>
      <x:c r="L188" t="str">
        <x:v>Ngân sách truyền thông</x:v>
      </x:c>
      <x:c r="M188" t="str">
        <x:v>Đã thanh toán</x:v>
      </x:c>
      <x:c r="N188" t="str">
        <x:v>Admissions Manager</x:v>
      </x:c>
      <x:c r="O188" t="str">
        <x:v>PO-TS-3480</x:v>
      </x:c>
      <x:c r="P188" t="str"/>
    </x:row>
    <x:row r="189">
      <x:c r="A189" t="str">
        <x:v>DN-TS-2026-188</x:v>
      </x:c>
      <x:c r="B189" s="16" t="n">
        <x:v>46237</x:v>
      </x:c>
      <x:c r="C189" t="str">
        <x:v>Q3</x:v>
      </x:c>
      <x:c r="D189" t="str">
        <x:v>2026-08</x:v>
      </x:c>
      <x:c r="E189" t="str">
        <x:v>Công ty Nghiên cứu thị trường Insight</x:v>
      </x:c>
      <x:c r="F189" t="str">
        <x:v>Ngày hội tuyển sinh</x:v>
      </x:c>
      <x:c r="G189" t="str">
        <x:v>Thuê địa điểm sự kiện</x:v>
      </x:c>
      <x:c r="H189" t="str">
        <x:v>Thanh toán thuê địa điểm sự kiện cho ngày hội tuyển sinh</x:v>
      </x:c>
      <x:c r="I189" s="12" t="n">
        <x:v>100000000</x:v>
      </x:c>
      <x:c r="J189" s="12" t="n">
        <x:f>I189*10%</x:f>
        <x:v>10000000</x:v>
      </x:c>
      <x:c r="K189" s="12" t="n">
        <x:f>I189+J189</x:f>
        <x:v>110000000</x:v>
      </x:c>
      <x:c r="L189" t="str">
        <x:v>Ngân sách truyền thông</x:v>
      </x:c>
      <x:c r="M189" t="str">
        <x:v>Chờ duyệt</x:v>
      </x:c>
      <x:c r="N189" t="str">
        <x:v>Admissions Officer</x:v>
      </x:c>
      <x:c r="O189" t="str">
        <x:v>PO-TS-3293</x:v>
      </x:c>
      <x:c r="P189" t="str"/>
    </x:row>
    <x:row r="190">
      <x:c r="A190" t="str">
        <x:v>DN-TS-2026-189</x:v>
      </x:c>
      <x:c r="B190" s="16" t="n">
        <x:v>46090</x:v>
      </x:c>
      <x:c r="C190" t="str">
        <x:v>Q1</x:v>
      </x:c>
      <x:c r="D190" t="str">
        <x:v>2026-03</x:v>
      </x:c>
      <x:c r="E190" t="str">
        <x:v>Nền tảng CRM EduFlow</x:v>
      </x:c>
      <x:c r="F190" t="str">
        <x:v>Sản xuất học liệu truyền thông</x:v>
      </x:c>
      <x:c r="G190" t="str">
        <x:v>Chi phí đi lại công tác</x:v>
      </x:c>
      <x:c r="H190" t="str">
        <x:v>Thanh toán chi phí đi lại công tác cho sản xuất học liệu truyền thông</x:v>
      </x:c>
      <x:c r="I190" s="12" t="n">
        <x:v>100000000</x:v>
      </x:c>
      <x:c r="J190" s="12" t="n">
        <x:f>I190*10%</x:f>
        <x:v>10000000</x:v>
      </x:c>
      <x:c r="K190" s="12" t="n">
        <x:f>I190+J190</x:f>
        <x:v>110000000</x:v>
      </x:c>
      <x:c r="L190" t="str">
        <x:v>Quỹ học bổng</x:v>
      </x:c>
      <x:c r="M190" t="str">
        <x:v>Đã duyệt</x:v>
      </x:c>
      <x:c r="N190" t="str">
        <x:v>Admissions Manager</x:v>
      </x:c>
      <x:c r="O190" t="str">
        <x:v>PO-TS-5059</x:v>
      </x:c>
      <x:c r="P190" t="str"/>
    </x:row>
    <x:row r="191">
      <x:c r="A191" t="str">
        <x:v>DN-TS-2026-190</x:v>
      </x:c>
      <x:c r="B191" s="16" t="n">
        <x:v>46168</x:v>
      </x:c>
      <x:c r="C191" t="str">
        <x:v>Q2</x:v>
      </x:c>
      <x:c r="D191" t="str">
        <x:v>2026-05</x:v>
      </x:c>
      <x:c r="E191" t="str">
        <x:v>Dịch vụ Logistics Thành Công</x:v>
      </x:c>
      <x:c r="F191" t="str">
        <x:v>Tư vấn tuyển sinh THPT</x:v>
      </x:c>
      <x:c r="G191" t="str">
        <x:v>Thiết kế landing page</x:v>
      </x:c>
      <x:c r="H191" t="str">
        <x:v>Thanh toán thiết kế landing page cho tư vấn tuyển sinh thpt</x:v>
      </x:c>
      <x:c r="I191" s="12" t="n">
        <x:v>150000000</x:v>
      </x:c>
      <x:c r="J191" s="12" t="n">
        <x:f>I191*10%</x:f>
        <x:v>15000000</x:v>
      </x:c>
      <x:c r="K191" s="12" t="n">
        <x:f>I191+J191</x:f>
        <x:v>165000000</x:v>
      </x:c>
      <x:c r="L191" t="str">
        <x:v>Tài trợ đối tác</x:v>
      </x:c>
      <x:c r="M191" t="str">
        <x:v>Đã thanh toán</x:v>
      </x:c>
      <x:c r="N191" t="str">
        <x:v>Admissions Officer</x:v>
      </x:c>
      <x:c r="O191" t="str">
        <x:v>PO-TS-5942</x:v>
      </x:c>
      <x:c r="P191" t="str"/>
    </x:row>
    <x:row r="192">
      <x:c r="A192" t="str">
        <x:v>DN-TS-2026-191</x:v>
      </x:c>
      <x:c r="B192" s="16" t="n">
        <x:v>46132</x:v>
      </x:c>
      <x:c r="C192" t="str">
        <x:v>Q2</x:v>
      </x:c>
      <x:c r="D192" t="str">
        <x:v>2026-04</x:v>
      </x:c>
      <x:c r="E192" t="str">
        <x:v>Công ty EventPlus</x:v>
      </x:c>
      <x:c r="F192" t="str">
        <x:v>Đào tạo cộng tác viên tuyển sinh</x:v>
      </x:c>
      <x:c r="G192" t="str">
        <x:v>Quà tặng thí sinh</x:v>
      </x:c>
      <x:c r="H192" t="str">
        <x:v>Thanh toán quà tặng thí sinh cho đào tạo cộng tác viên tuyển sinh</x:v>
      </x:c>
      <x:c r="I192" s="12" t="n">
        <x:v>80000000</x:v>
      </x:c>
      <x:c r="J192" s="12" t="n">
        <x:f>I192*10%</x:f>
        <x:v>8000000</x:v>
      </x:c>
      <x:c r="K192" s="12" t="n">
        <x:f>I192+J192</x:f>
        <x:v>88000000</x:v>
      </x:c>
      <x:c r="L192" t="str">
        <x:v>Quỹ học bổng</x:v>
      </x:c>
      <x:c r="M192" t="str">
        <x:v>Đã duyệt</x:v>
      </x:c>
      <x:c r="N192" t="str">
        <x:v>Admissions Officer</x:v>
      </x:c>
      <x:c r="O192" t="str">
        <x:v>PO-TS-4921</x:v>
      </x:c>
      <x:c r="P192" t="str"/>
    </x:row>
    <x:row r="193">
      <x:c r="A193" t="str">
        <x:v>DN-TS-2026-192</x:v>
      </x:c>
      <x:c r="B193" s="16" t="n">
        <x:v>46280</x:v>
      </x:c>
      <x:c r="C193" t="str">
        <x:v>Q3</x:v>
      </x:c>
      <x:c r="D193" t="str">
        <x:v>2026-09</x:v>
      </x:c>
      <x:c r="E193" t="str">
        <x:v>Trung tâm Hội nghị Quốc gia</x:v>
      </x:c>
      <x:c r="F193" t="str">
        <x:v>Tư vấn tuyển sinh THPT</x:v>
      </x:c>
      <x:c r="G193" t="str">
        <x:v>Thiết kế landing page</x:v>
      </x:c>
      <x:c r="H193" t="str">
        <x:v>Thanh toán thiết kế landing page cho tư vấn tuyển sinh thpt</x:v>
      </x:c>
      <x:c r="I193" s="12" t="n">
        <x:v>30000000</x:v>
      </x:c>
      <x:c r="J193" s="12" t="n">
        <x:f>I193*10%</x:f>
        <x:v>3000000</x:v>
      </x:c>
      <x:c r="K193" s="12" t="n">
        <x:f>I193+J193</x:f>
        <x:v>33000000</x:v>
      </x:c>
      <x:c r="L193" t="str">
        <x:v>Ngân sách tuyển sinh</x:v>
      </x:c>
      <x:c r="M193" t="str">
        <x:v>Đã thanh toán</x:v>
      </x:c>
      <x:c r="N193" t="str">
        <x:v>Admissions Officer</x:v>
      </x:c>
      <x:c r="O193" t="str">
        <x:v>PO-TS-6916</x:v>
      </x:c>
      <x:c r="P193" t="str"/>
    </x:row>
    <x:row r="194">
      <x:c r="A194" t="str">
        <x:v>DN-TS-2026-193</x:v>
      </x:c>
      <x:c r="B194" s="16" t="n">
        <x:v>46189</x:v>
      </x:c>
      <x:c r="C194" t="str">
        <x:v>Q2</x:v>
      </x:c>
      <x:c r="D194" t="str">
        <x:v>2026-06</x:v>
      </x:c>
      <x:c r="E194" t="str">
        <x:v>Công ty Nghiên cứu thị trường Insight</x:v>
      </x:c>
      <x:c r="F194" t="str">
        <x:v>Tuyển sinh sau đại học</x:v>
      </x:c>
      <x:c r="G194" t="str">
        <x:v>Đào tạo nhân sự</x:v>
      </x:c>
      <x:c r="H194" t="str">
        <x:v>Thanh toán đào tạo nhân sự cho tuyển sinh sau đại học</x:v>
      </x:c>
      <x:c r="I194" s="12" t="n">
        <x:v>8000000</x:v>
      </x:c>
      <x:c r="J194" s="12" t="n">
        <x:f>I194*10%</x:f>
        <x:v>800000</x:v>
      </x:c>
      <x:c r="K194" s="12" t="n">
        <x:f>I194+J194</x:f>
        <x:v>8800000</x:v>
      </x:c>
      <x:c r="L194" t="str">
        <x:v>Quỹ học bổng</x:v>
      </x:c>
      <x:c r="M194" t="str">
        <x:v>Đã duyệt</x:v>
      </x:c>
      <x:c r="N194" t="str">
        <x:v>Admissions Manager</x:v>
      </x:c>
      <x:c r="O194" t="str">
        <x:v>PO-TS-8717</x:v>
      </x:c>
      <x:c r="P194" t="str"/>
    </x:row>
    <x:row r="195">
      <x:c r="A195" t="str">
        <x:v>DN-TS-2026-194</x:v>
      </x:c>
      <x:c r="B195" s="16" t="n">
        <x:v>46064</x:v>
      </x:c>
      <x:c r="C195" t="str">
        <x:v>Q1</x:v>
      </x:c>
      <x:c r="D195" t="str">
        <x:v>2026-02</x:v>
      </x:c>
      <x:c r="E195" t="str">
        <x:v>Công ty Truyền thông Sao Việt</x:v>
      </x:c>
      <x:c r="F195" t="str">
        <x:v>Đào tạo cộng tác viên tuyển sinh</x:v>
      </x:c>
      <x:c r="G195" t="str">
        <x:v>Quảng cáo Google Search</x:v>
      </x:c>
      <x:c r="H195" t="str">
        <x:v>Thanh toán quảng cáo google search cho đào tạo cộng tác viên tuyển sinh</x:v>
      </x:c>
      <x:c r="I195" s="12" t="n">
        <x:v>3000000</x:v>
      </x:c>
      <x:c r="J195" s="12" t="n">
        <x:f>I195*10%</x:f>
        <x:v>300000</x:v>
      </x:c>
      <x:c r="K195" s="12" t="n">
        <x:f>I195+J195</x:f>
        <x:v>3300000</x:v>
      </x:c>
      <x:c r="L195" t="str">
        <x:v>Tài trợ đối tác</x:v>
      </x:c>
      <x:c r="M195" t="str">
        <x:v>Đã duyệt</x:v>
      </x:c>
      <x:c r="N195" t="str">
        <x:v>Admissions Officer</x:v>
      </x:c>
      <x:c r="O195" t="str">
        <x:v>PO-TS-7520</x:v>
      </x:c>
      <x:c r="P195" t="str"/>
    </x:row>
    <x:row r="196">
      <x:c r="A196" t="str">
        <x:v>DN-TS-2026-195</x:v>
      </x:c>
      <x:c r="B196" s="16" t="n">
        <x:v>46286</x:v>
      </x:c>
      <x:c r="C196" t="str">
        <x:v>Q3</x:v>
      </x:c>
      <x:c r="D196" t="str">
        <x:v>2026-09</x:v>
      </x:c>
      <x:c r="E196" t="str">
        <x:v>Dịch vụ Logistics Thành Công</x:v>
      </x:c>
      <x:c r="F196" t="str">
        <x:v>Ngày hội tuyển sinh</x:v>
      </x:c>
      <x:c r="G196" t="str">
        <x:v>Học bổng đầu vào</x:v>
      </x:c>
      <x:c r="H196" t="str">
        <x:v>Thanh toán học bổng đầu vào cho ngày hội tuyển sinh</x:v>
      </x:c>
      <x:c r="I196" s="12" t="n">
        <x:v>15000000</x:v>
      </x:c>
      <x:c r="J196" s="12" t="n">
        <x:f>I196*10%</x:f>
        <x:v>1500000</x:v>
      </x:c>
      <x:c r="K196" s="12" t="n">
        <x:f>I196+J196</x:f>
        <x:v>16500000</x:v>
      </x:c>
      <x:c r="L196" t="str">
        <x:v>Quỹ học bổng</x:v>
      </x:c>
      <x:c r="M196" t="str">
        <x:v>Đã thanh toán</x:v>
      </x:c>
      <x:c r="N196" t="str">
        <x:v>Event Coordinator</x:v>
      </x:c>
      <x:c r="O196" t="str">
        <x:v>PO-TS-2350</x:v>
      </x:c>
      <x:c r="P196" t="str"/>
    </x:row>
    <x:row r="197">
      <x:c r="A197" t="str">
        <x:v>DN-TS-2026-196</x:v>
      </x:c>
      <x:c r="B197" s="16" t="n">
        <x:v>46354</x:v>
      </x:c>
      <x:c r="C197" t="str">
        <x:v>Q4</x:v>
      </x:c>
      <x:c r="D197" t="str">
        <x:v>2026-11</x:v>
      </x:c>
      <x:c r="E197" t="str">
        <x:v>Google Asia Pacific</x:v>
      </x:c>
      <x:c r="F197" t="str">
        <x:v>CRM &amp; Admission System</x:v>
      </x:c>
      <x:c r="G197" t="str">
        <x:v>Chi phí diễn giả</x:v>
      </x:c>
      <x:c r="H197" t="str">
        <x:v>Thanh toán chi phí diễn giả cho crm &amp; admission system</x:v>
      </x:c>
      <x:c r="I197" s="12" t="n">
        <x:v>80000000</x:v>
      </x:c>
      <x:c r="J197" s="12" t="n">
        <x:f>I197*10%</x:f>
        <x:v>8000000</x:v>
      </x:c>
      <x:c r="K197" s="12" t="n">
        <x:f>I197+J197</x:f>
        <x:v>88000000</x:v>
      </x:c>
      <x:c r="L197" t="str">
        <x:v>Tài trợ đối tác</x:v>
      </x:c>
      <x:c r="M197" t="str">
        <x:v>Chờ duyệt</x:v>
      </x:c>
      <x:c r="N197" t="str">
        <x:v>Admissions Officer</x:v>
      </x:c>
      <x:c r="O197" t="str">
        <x:v>PO-TS-9377</x:v>
      </x:c>
      <x:c r="P197" t="str"/>
    </x:row>
    <x:row r="198">
      <x:c r="A198" t="str">
        <x:v>DN-TS-2026-197</x:v>
      </x:c>
      <x:c r="B198" s="16" t="n">
        <x:v>46131</x:v>
      </x:c>
      <x:c r="C198" t="str">
        <x:v>Q2</x:v>
      </x:c>
      <x:c r="D198" t="str">
        <x:v>2026-04</x:v>
      </x:c>
      <x:c r="E198" t="str">
        <x:v>Công ty Quà tặng ABC</x:v>
      </x:c>
      <x:c r="F198" t="str">
        <x:v>CRM &amp; Admission System</x:v>
      </x:c>
      <x:c r="G198" t="str">
        <x:v>Tổ chức booth tư vấn</x:v>
      </x:c>
      <x:c r="H198" t="str">
        <x:v>Thanh toán tổ chức booth tư vấn cho crm &amp; admission system</x:v>
      </x:c>
      <x:c r="I198" s="12" t="n">
        <x:v>8000000</x:v>
      </x:c>
      <x:c r="J198" s="12" t="n">
        <x:f>I198*10%</x:f>
        <x:v>800000</x:v>
      </x:c>
      <x:c r="K198" s="12" t="n">
        <x:f>I198+J198</x:f>
        <x:v>8800000</x:v>
      </x:c>
      <x:c r="L198" t="str">
        <x:v>Ngân sách tuyển sinh</x:v>
      </x:c>
      <x:c r="M198" t="str">
        <x:v>Đã duyệt</x:v>
      </x:c>
      <x:c r="N198" t="str">
        <x:v>Event Coordinator</x:v>
      </x:c>
      <x:c r="O198" t="str">
        <x:v>PO-TS-4909</x:v>
      </x:c>
      <x:c r="P198" t="str"/>
    </x:row>
    <x:row r="199">
      <x:c r="A199" t="str">
        <x:v>DN-TS-2026-198</x:v>
      </x:c>
      <x:c r="B199" s="16" t="n">
        <x:v>46056</x:v>
      </x:c>
      <x:c r="C199" t="str">
        <x:v>Q1</x:v>
      </x:c>
      <x:c r="D199" t="str">
        <x:v>2026-02</x:v>
      </x:c>
      <x:c r="E199" t="str">
        <x:v>Công ty Quà tặng ABC</x:v>
      </x:c>
      <x:c r="F199" t="str">
        <x:v>Tư vấn tuyển sinh THPT</x:v>
      </x:c>
      <x:c r="G199" t="str">
        <x:v>Livestream tư vấn</x:v>
      </x:c>
      <x:c r="H199" t="str">
        <x:v>Thanh toán livestream tư vấn cho tư vấn tuyển sinh thpt</x:v>
      </x:c>
      <x:c r="I199" s="12" t="n">
        <x:v>12000000</x:v>
      </x:c>
      <x:c r="J199" s="12" t="n">
        <x:f>I199*10%</x:f>
        <x:v>1200000</x:v>
      </x:c>
      <x:c r="K199" s="12" t="n">
        <x:f>I199+J199</x:f>
        <x:v>13200000</x:v>
      </x:c>
      <x:c r="L199" t="str">
        <x:v>Ngân sách tuyển sinh</x:v>
      </x:c>
      <x:c r="M199" t="str">
        <x:v>Đã thanh toán</x:v>
      </x:c>
      <x:c r="N199" t="str">
        <x:v>Scholarship Officer</x:v>
      </x:c>
      <x:c r="O199" t="str">
        <x:v>PO-TS-1901</x:v>
      </x:c>
      <x:c r="P199" t="str"/>
    </x:row>
    <x:row r="200">
      <x:c r="A200" t="str">
        <x:v>DN-TS-2026-199</x:v>
      </x:c>
      <x:c r="B200" s="16" t="n">
        <x:v>46185</x:v>
      </x:c>
      <x:c r="C200" t="str">
        <x:v>Q2</x:v>
      </x:c>
      <x:c r="D200" t="str">
        <x:v>2026-06</x:v>
      </x:c>
      <x:c r="E200" t="str">
        <x:v>Công ty Thiết kế Web Nova</x:v>
      </x:c>
      <x:c r="F200" t="str">
        <x:v>Sản xuất học liệu truyền thông</x:v>
      </x:c>
      <x:c r="G200" t="str">
        <x:v>Phần mềm CRM</x:v>
      </x:c>
      <x:c r="H200" t="str">
        <x:v>Thanh toán phần mềm crm cho sản xuất học liệu truyền thông</x:v>
      </x:c>
      <x:c r="I200" s="12" t="n">
        <x:v>150000000</x:v>
      </x:c>
      <x:c r="J200" s="12" t="n">
        <x:f>I200*10%</x:f>
        <x:v>15000000</x:v>
      </x:c>
      <x:c r="K200" s="12" t="n">
        <x:f>I200+J200</x:f>
        <x:v>165000000</x:v>
      </x:c>
      <x:c r="L200" t="str">
        <x:v>Ngân sách truyền thông</x:v>
      </x:c>
      <x:c r="M200" t="str">
        <x:v>Chờ duyệt</x:v>
      </x:c>
      <x:c r="N200" t="str">
        <x:v>Admissions Manager</x:v>
      </x:c>
      <x:c r="O200" t="str">
        <x:v>PO-TS-1185</x:v>
      </x:c>
      <x:c r="P200" t="str"/>
    </x:row>
    <x:row r="201">
      <x:c r="A201" t="str">
        <x:v>DN-TS-2026-200</x:v>
      </x:c>
      <x:c r="B201" s="16" t="n">
        <x:v>46110</x:v>
      </x:c>
      <x:c r="C201" t="str">
        <x:v>Q1</x:v>
      </x:c>
      <x:c r="D201" t="str">
        <x:v>2026-03</x:v>
      </x:c>
      <x:c r="E201" t="str">
        <x:v>Dịch vụ Logistics Thành Công</x:v>
      </x:c>
      <x:c r="F201" t="str">
        <x:v>Sự kiện phụ huynh</x:v>
      </x:c>
      <x:c r="G201" t="str">
        <x:v>Quà tặng thí sinh</x:v>
      </x:c>
      <x:c r="H201" t="str">
        <x:v>Thanh toán quà tặng thí sinh cho sự kiện phụ huynh</x:v>
      </x:c>
      <x:c r="I201" s="12" t="n">
        <x:v>50000000</x:v>
      </x:c>
      <x:c r="J201" s="12" t="n">
        <x:f>I201*10%</x:f>
        <x:v>5000000</x:v>
      </x:c>
      <x:c r="K201" s="12" t="n">
        <x:f>I201+J201</x:f>
        <x:v>55000000</x:v>
      </x:c>
      <x:c r="L201" t="str">
        <x:v>Tài trợ đối tác</x:v>
      </x:c>
      <x:c r="M201" t="str">
        <x:v>Đã duyệt</x:v>
      </x:c>
      <x:c r="N201" t="str">
        <x:v>Admissions Manager</x:v>
      </x:c>
      <x:c r="O201" t="str">
        <x:v>PO-TS-5403</x:v>
      </x:c>
      <x:c r="P201" t="str"/>
    </x:row>
    <x:row r="202">
      <x:c r="A202" t="str">
        <x:v>DN-TS-2026-201</x:v>
      </x:c>
      <x:c r="B202" s="16" t="n">
        <x:v>46087</x:v>
      </x:c>
      <x:c r="C202" t="str">
        <x:v>Q1</x:v>
      </x:c>
      <x:c r="D202" t="str">
        <x:v>2026-03</x:v>
      </x:c>
      <x:c r="E202" t="str">
        <x:v>Công ty Quà tặng ABC</x:v>
      </x:c>
      <x:c r="F202" t="str">
        <x:v>Sự kiện phụ huynh</x:v>
      </x:c>
      <x:c r="G202" t="str">
        <x:v>Chi phí email/SMS</x:v>
      </x:c>
      <x:c r="H202" t="str">
        <x:v>Thanh toán chi phí email/sms cho sự kiện phụ huynh</x:v>
      </x:c>
      <x:c r="I202" s="12" t="n">
        <x:v>3000000</x:v>
      </x:c>
      <x:c r="J202" s="12" t="n">
        <x:f>I202*10%</x:f>
        <x:v>300000</x:v>
      </x:c>
      <x:c r="K202" s="12" t="n">
        <x:f>I202+J202</x:f>
        <x:v>3300000</x:v>
      </x:c>
      <x:c r="L202" t="str">
        <x:v>Tài trợ đối tác</x:v>
      </x:c>
      <x:c r="M202" t="str">
        <x:v>Đã thanh toán</x:v>
      </x:c>
      <x:c r="N202" t="str">
        <x:v>Digital Lead</x:v>
      </x:c>
      <x:c r="O202" t="str">
        <x:v>PO-TS-2262</x:v>
      </x:c>
      <x:c r="P202" t="str"/>
    </x:row>
    <x:row r="203">
      <x:c r="A203" t="str">
        <x:v>DN-TS-2026-202</x:v>
      </x:c>
      <x:c r="B203" s="16" t="n">
        <x:v>46281</x:v>
      </x:c>
      <x:c r="C203" t="str">
        <x:v>Q3</x:v>
      </x:c>
      <x:c r="D203" t="str">
        <x:v>2026-09</x:v>
      </x:c>
      <x:c r="E203" t="str">
        <x:v>Công ty Truyền thông Sao Việt</x:v>
      </x:c>
      <x:c r="F203" t="str">
        <x:v>CRM &amp; Admission System</x:v>
      </x:c>
      <x:c r="G203" t="str">
        <x:v>Tổ chức booth tư vấn</x:v>
      </x:c>
      <x:c r="H203" t="str">
        <x:v>Thanh toán tổ chức booth tư vấn cho crm &amp; admission system</x:v>
      </x:c>
      <x:c r="I203" s="12" t="n">
        <x:v>50000000</x:v>
      </x:c>
      <x:c r="J203" s="12" t="n">
        <x:f>I203*10%</x:f>
        <x:v>5000000</x:v>
      </x:c>
      <x:c r="K203" s="12" t="n">
        <x:f>I203+J203</x:f>
        <x:v>55000000</x:v>
      </x:c>
      <x:c r="L203" t="str">
        <x:v>Quỹ học bổng</x:v>
      </x:c>
      <x:c r="M203" t="str">
        <x:v>Cần bổ sung hồ sơ</x:v>
      </x:c>
      <x:c r="N203" t="str">
        <x:v>Admissions Manager</x:v>
      </x:c>
      <x:c r="O203" t="str">
        <x:v>PO-TS-7024</x:v>
      </x:c>
      <x:c r="P203" t="str"/>
    </x:row>
    <x:row r="204">
      <x:c r="A204" t="str">
        <x:v>DN-TS-2026-203</x:v>
      </x:c>
      <x:c r="B204" s="16" t="n">
        <x:v>46107</x:v>
      </x:c>
      <x:c r="C204" t="str">
        <x:v>Q1</x:v>
      </x:c>
      <x:c r="D204" t="str">
        <x:v>2026-03</x:v>
      </x:c>
      <x:c r="E204" t="str">
        <x:v>Công ty Sản xuất Video FrameX</x:v>
      </x:c>
      <x:c r="F204" t="str">
        <x:v>Tư vấn tuyển sinh THPT</x:v>
      </x:c>
      <x:c r="G204" t="str">
        <x:v>Livestream tư vấn</x:v>
      </x:c>
      <x:c r="H204" t="str">
        <x:v>Thanh toán livestream tư vấn cho tư vấn tuyển sinh thpt</x:v>
      </x:c>
      <x:c r="I204" s="12" t="n">
        <x:v>15000000</x:v>
      </x:c>
      <x:c r="J204" s="12" t="n">
        <x:f>I204*10%</x:f>
        <x:v>1500000</x:v>
      </x:c>
      <x:c r="K204" s="12" t="n">
        <x:f>I204+J204</x:f>
        <x:v>16500000</x:v>
      </x:c>
      <x:c r="L204" t="str">
        <x:v>Ngân sách tuyển sinh</x:v>
      </x:c>
      <x:c r="M204" t="str">
        <x:v>Đã duyệt</x:v>
      </x:c>
      <x:c r="N204" t="str">
        <x:v>Scholarship Officer</x:v>
      </x:c>
      <x:c r="O204" t="str">
        <x:v>PO-TS-1042</x:v>
      </x:c>
      <x:c r="P204" t="str"/>
    </x:row>
    <x:row r="205">
      <x:c r="A205" t="str">
        <x:v>DN-TS-2026-204</x:v>
      </x:c>
      <x:c r="B205" s="16" t="n">
        <x:v>46049</x:v>
      </x:c>
      <x:c r="C205" t="str">
        <x:v>Q1</x:v>
      </x:c>
      <x:c r="D205" t="str">
        <x:v>2026-01</x:v>
      </x:c>
      <x:c r="E205" t="str">
        <x:v>Trung tâm Hội nghị Quốc gia</x:v>
      </x:c>
      <x:c r="F205" t="str">
        <x:v>Digital Admission Campaign</x:v>
      </x:c>
      <x:c r="G205" t="str">
        <x:v>Quảng cáo Facebook/Instagram</x:v>
      </x:c>
      <x:c r="H205" t="str">
        <x:v>Thanh toán quảng cáo facebook/instagram cho digital admission campaign</x:v>
      </x:c>
      <x:c r="I205" s="12" t="n">
        <x:v>3000000</x:v>
      </x:c>
      <x:c r="J205" s="12" t="n">
        <x:f>I205*10%</x:f>
        <x:v>300000</x:v>
      </x:c>
      <x:c r="K205" s="12" t="n">
        <x:f>I205+J205</x:f>
        <x:v>3300000</x:v>
      </x:c>
      <x:c r="L205" t="str">
        <x:v>Tài trợ đối tác</x:v>
      </x:c>
      <x:c r="M205" t="str">
        <x:v>Đã duyệt</x:v>
      </x:c>
      <x:c r="N205" t="str">
        <x:v>Admissions Manager</x:v>
      </x:c>
      <x:c r="O205" t="str">
        <x:v>PO-TS-3932</x:v>
      </x:c>
      <x:c r="P205" t="str"/>
    </x:row>
    <x:row r="206">
      <x:c r="A206" t="str">
        <x:v>DN-TS-2026-205</x:v>
      </x:c>
      <x:c r="B206" s="16" t="n">
        <x:v>46045</x:v>
      </x:c>
      <x:c r="C206" t="str">
        <x:v>Q1</x:v>
      </x:c>
      <x:c r="D206" t="str">
        <x:v>2026-01</x:v>
      </x:c>
      <x:c r="E206" t="str">
        <x:v>Nhà cung cấp Email/SMS EduConnect</x:v>
      </x:c>
      <x:c r="F206" t="str">
        <x:v>Sản xuất học liệu truyền thông</x:v>
      </x:c>
      <x:c r="G206" t="str">
        <x:v>Học bổng đầu vào</x:v>
      </x:c>
      <x:c r="H206" t="str">
        <x:v>Thanh toán học bổng đầu vào cho sản xuất học liệu truyền thông</x:v>
      </x:c>
      <x:c r="I206" s="12" t="n">
        <x:v>80000000</x:v>
      </x:c>
      <x:c r="J206" s="12" t="n">
        <x:f>I206*10%</x:f>
        <x:v>8000000</x:v>
      </x:c>
      <x:c r="K206" s="12" t="n">
        <x:f>I206+J206</x:f>
        <x:v>88000000</x:v>
      </x:c>
      <x:c r="L206" t="str">
        <x:v>Quỹ học bổng</x:v>
      </x:c>
      <x:c r="M206" t="str">
        <x:v>Đã duyệt</x:v>
      </x:c>
      <x:c r="N206" t="str">
        <x:v>Admissions Manager</x:v>
      </x:c>
      <x:c r="O206" t="str">
        <x:v>PO-TS-7819</x:v>
      </x:c>
      <x:c r="P206" t="str"/>
    </x:row>
    <x:row r="207">
      <x:c r="A207" t="str">
        <x:v>DN-TS-2026-206</x:v>
      </x:c>
      <x:c r="B207" s="16" t="n">
        <x:v>46190</x:v>
      </x:c>
      <x:c r="C207" t="str">
        <x:v>Q2</x:v>
      </x:c>
      <x:c r="D207" t="str">
        <x:v>2026-06</x:v>
      </x:c>
      <x:c r="E207" t="str">
        <x:v>Nền tảng CRM EduFlow</x:v>
      </x:c>
      <x:c r="F207" t="str">
        <x:v>Tư vấn tuyển sinh THPT</x:v>
      </x:c>
      <x:c r="G207" t="str">
        <x:v>Chi phí diễn giả</x:v>
      </x:c>
      <x:c r="H207" t="str">
        <x:v>Thanh toán chi phí diễn giả cho tư vấn tuyển sinh thpt</x:v>
      </x:c>
      <x:c r="I207" s="12" t="n">
        <x:v>15000000</x:v>
      </x:c>
      <x:c r="J207" s="12" t="n">
        <x:f>I207*10%</x:f>
        <x:v>1500000</x:v>
      </x:c>
      <x:c r="K207" s="12" t="n">
        <x:f>I207+J207</x:f>
        <x:v>16500000</x:v>
      </x:c>
      <x:c r="L207" t="str">
        <x:v>Ngân sách tuyển sinh</x:v>
      </x:c>
      <x:c r="M207" t="str">
        <x:v>Đã thanh toán</x:v>
      </x:c>
      <x:c r="N207" t="str">
        <x:v>Admissions Officer</x:v>
      </x:c>
      <x:c r="O207" t="str">
        <x:v>PO-TS-3938</x:v>
      </x:c>
      <x:c r="P207" t="str"/>
    </x:row>
    <x:row r="208">
      <x:c r="A208" t="str">
        <x:v>DN-TS-2026-207</x:v>
      </x:c>
      <x:c r="B208" s="16" t="n">
        <x:v>46141</x:v>
      </x:c>
      <x:c r="C208" t="str">
        <x:v>Q2</x:v>
      </x:c>
      <x:c r="D208" t="str">
        <x:v>2026-04</x:v>
      </x:c>
      <x:c r="E208" t="str">
        <x:v>Meta Ads Vietnam</x:v>
      </x:c>
      <x:c r="F208" t="str">
        <x:v>Tuyển sinh đại học chính quy</x:v>
      </x:c>
      <x:c r="G208" t="str">
        <x:v>Chi phí đi lại công tác</x:v>
      </x:c>
      <x:c r="H208" t="str">
        <x:v>Thanh toán chi phí đi lại công tác cho tuyển sinh đại học chính quy</x:v>
      </x:c>
      <x:c r="I208" s="12" t="n">
        <x:v>80000000</x:v>
      </x:c>
      <x:c r="J208" s="12" t="n">
        <x:f>I208*10%</x:f>
        <x:v>8000000</x:v>
      </x:c>
      <x:c r="K208" s="12" t="n">
        <x:f>I208+J208</x:f>
        <x:v>88000000</x:v>
      </x:c>
      <x:c r="L208" t="str">
        <x:v>Quỹ học bổng</x:v>
      </x:c>
      <x:c r="M208" t="str">
        <x:v>Cần bổ sung hồ sơ</x:v>
      </x:c>
      <x:c r="N208" t="str">
        <x:v>Digital Lead</x:v>
      </x:c>
      <x:c r="O208" t="str">
        <x:v>PO-TS-6362</x:v>
      </x:c>
      <x:c r="P208" t="str"/>
    </x:row>
    <x:row r="209">
      <x:c r="A209" t="str">
        <x:v>DN-TS-2026-208</x:v>
      </x:c>
      <x:c r="B209" s="16" t="n">
        <x:v>46071</x:v>
      </x:c>
      <x:c r="C209" t="str">
        <x:v>Q1</x:v>
      </x:c>
      <x:c r="D209" t="str">
        <x:v>2026-02</x:v>
      </x:c>
      <x:c r="E209" t="str">
        <x:v>Nền tảng CRM EduFlow</x:v>
      </x:c>
      <x:c r="F209" t="str">
        <x:v>International Recruitment</x:v>
      </x:c>
      <x:c r="G209" t="str">
        <x:v>Quảng cáo Facebook/Instagram</x:v>
      </x:c>
      <x:c r="H209" t="str">
        <x:v>Thanh toán quảng cáo facebook/instagram cho international recruitment</x:v>
      </x:c>
      <x:c r="I209" s="12" t="n">
        <x:v>80000000</x:v>
      </x:c>
      <x:c r="J209" s="12" t="n">
        <x:f>I209*10%</x:f>
        <x:v>8000000</x:v>
      </x:c>
      <x:c r="K209" s="12" t="n">
        <x:f>I209+J209</x:f>
        <x:v>88000000</x:v>
      </x:c>
      <x:c r="L209" t="str">
        <x:v>Ngân sách truyền thông</x:v>
      </x:c>
      <x:c r="M209" t="str">
        <x:v>Đã duyệt</x:v>
      </x:c>
      <x:c r="N209" t="str">
        <x:v>Digital Lead</x:v>
      </x:c>
      <x:c r="O209" t="str">
        <x:v>PO-TS-4974</x:v>
      </x:c>
      <x:c r="P209" t="str"/>
    </x:row>
    <x:row r="210">
      <x:c r="A210" t="str">
        <x:v>DN-TS-2026-209</x:v>
      </x:c>
      <x:c r="B210" s="16" t="n">
        <x:v>46264</x:v>
      </x:c>
      <x:c r="C210" t="str">
        <x:v>Q3</x:v>
      </x:c>
      <x:c r="D210" t="str">
        <x:v>2026-08</x:v>
      </x:c>
      <x:c r="E210" t="str">
        <x:v>Trường THPT đối tác</x:v>
      </x:c>
      <x:c r="F210" t="str">
        <x:v>Đào tạo cộng tác viên tuyển sinh</x:v>
      </x:c>
      <x:c r="G210" t="str">
        <x:v>Thuê địa điểm sự kiện</x:v>
      </x:c>
      <x:c r="H210" t="str">
        <x:v>Thanh toán thuê địa điểm sự kiện cho đào tạo cộng tác viên tuyển sinh</x:v>
      </x:c>
      <x:c r="I210" s="12" t="n">
        <x:v>20000000</x:v>
      </x:c>
      <x:c r="J210" s="12" t="n">
        <x:f>I210*10%</x:f>
        <x:v>2000000</x:v>
      </x:c>
      <x:c r="K210" s="12" t="n">
        <x:f>I210+J210</x:f>
        <x:v>22000000</x:v>
      </x:c>
      <x:c r="L210" t="str">
        <x:v>Ngân sách truyền thông</x:v>
      </x:c>
      <x:c r="M210" t="str">
        <x:v>Đã thanh toán</x:v>
      </x:c>
      <x:c r="N210" t="str">
        <x:v>Scholarship Officer</x:v>
      </x:c>
      <x:c r="O210" t="str">
        <x:v>PO-TS-5016</x:v>
      </x:c>
      <x:c r="P210" t="str"/>
    </x:row>
    <x:row r="211">
      <x:c r="A211" t="str">
        <x:v>DN-TS-2026-210</x:v>
      </x:c>
      <x:c r="B211" s="16" t="n">
        <x:v>46104</x:v>
      </x:c>
      <x:c r="C211" t="str">
        <x:v>Q1</x:v>
      </x:c>
      <x:c r="D211" t="str">
        <x:v>2026-03</x:v>
      </x:c>
      <x:c r="E211" t="str">
        <x:v>Công ty EventPlus</x:v>
      </x:c>
      <x:c r="F211" t="str">
        <x:v>Tuyển sinh sau đại học</x:v>
      </x:c>
      <x:c r="G211" t="str">
        <x:v>Quảng cáo Facebook/Instagram</x:v>
      </x:c>
      <x:c r="H211" t="str">
        <x:v>Thanh toán quảng cáo facebook/instagram cho tuyển sinh sau đại học</x:v>
      </x:c>
      <x:c r="I211" s="12" t="n">
        <x:v>3000000</x:v>
      </x:c>
      <x:c r="J211" s="12" t="n">
        <x:f>I211*10%</x:f>
        <x:v>300000</x:v>
      </x:c>
      <x:c r="K211" s="12" t="n">
        <x:f>I211+J211</x:f>
        <x:v>3300000</x:v>
      </x:c>
      <x:c r="L211" t="str">
        <x:v>Tài trợ đối tác</x:v>
      </x:c>
      <x:c r="M211" t="str">
        <x:v>Đã thanh toán</x:v>
      </x:c>
      <x:c r="N211" t="str">
        <x:v>Admissions Officer</x:v>
      </x:c>
      <x:c r="O211" t="str">
        <x:v>PO-TS-6488</x:v>
      </x:c>
      <x:c r="P211" t="str"/>
    </x:row>
    <x:row r="212">
      <x:c r="A212" t="str">
        <x:v>DN-TS-2026-211</x:v>
      </x:c>
      <x:c r="B212" s="16" t="n">
        <x:v>46027</x:v>
      </x:c>
      <x:c r="C212" t="str">
        <x:v>Q1</x:v>
      </x:c>
      <x:c r="D212" t="str">
        <x:v>2026-01</x:v>
      </x:c>
      <x:c r="E212" t="str">
        <x:v>Công ty Thiết kế Web Nova</x:v>
      </x:c>
      <x:c r="F212" t="str">
        <x:v>Tuyển sinh sau đại học</x:v>
      </x:c>
      <x:c r="G212" t="str">
        <x:v>Đào tạo nhân sự</x:v>
      </x:c>
      <x:c r="H212" t="str">
        <x:v>Thanh toán đào tạo nhân sự cho tuyển sinh sau đại học</x:v>
      </x:c>
      <x:c r="I212" s="12" t="n">
        <x:v>150000000</x:v>
      </x:c>
      <x:c r="J212" s="12" t="n">
        <x:f>I212*10%</x:f>
        <x:v>15000000</x:v>
      </x:c>
      <x:c r="K212" s="12" t="n">
        <x:f>I212+J212</x:f>
        <x:v>165000000</x:v>
      </x:c>
      <x:c r="L212" t="str">
        <x:v>Tài trợ đối tác</x:v>
      </x:c>
      <x:c r="M212" t="str">
        <x:v>Chờ duyệt</x:v>
      </x:c>
      <x:c r="N212" t="str">
        <x:v>Scholarship Officer</x:v>
      </x:c>
      <x:c r="O212" t="str">
        <x:v>PO-TS-4902</x:v>
      </x:c>
      <x:c r="P212" t="str"/>
    </x:row>
    <x:row r="213">
      <x:c r="A213" t="str">
        <x:v>DN-TS-2026-212</x:v>
      </x:c>
      <x:c r="B213" s="16" t="n">
        <x:v>46241</x:v>
      </x:c>
      <x:c r="C213" t="str">
        <x:v>Q3</x:v>
      </x:c>
      <x:c r="D213" t="str">
        <x:v>2026-08</x:v>
      </x:c>
      <x:c r="E213" t="str">
        <x:v>Công ty Thiết kế Web Nova</x:v>
      </x:c>
      <x:c r="F213" t="str">
        <x:v>Tuyển sinh đại học chính quy</x:v>
      </x:c>
      <x:c r="G213" t="str">
        <x:v>Sản xuất video tuyển sinh</x:v>
      </x:c>
      <x:c r="H213" t="str">
        <x:v>Thanh toán sản xuất video tuyển sinh cho tuyển sinh đại học chính quy</x:v>
      </x:c>
      <x:c r="I213" s="12" t="n">
        <x:v>50000000</x:v>
      </x:c>
      <x:c r="J213" s="12" t="n">
        <x:f>I213*10%</x:f>
        <x:v>5000000</x:v>
      </x:c>
      <x:c r="K213" s="12" t="n">
        <x:f>I213+J213</x:f>
        <x:v>55000000</x:v>
      </x:c>
      <x:c r="L213" t="str">
        <x:v>Tài trợ đối tác</x:v>
      </x:c>
      <x:c r="M213" t="str">
        <x:v>Chờ duyệt</x:v>
      </x:c>
      <x:c r="N213" t="str">
        <x:v>Admissions Manager</x:v>
      </x:c>
      <x:c r="O213" t="str">
        <x:v>PO-TS-9515</x:v>
      </x:c>
      <x:c r="P213" t="str"/>
    </x:row>
    <x:row r="214">
      <x:c r="A214" t="str">
        <x:v>DN-TS-2026-213</x:v>
      </x:c>
      <x:c r="B214" s="16" t="n">
        <x:v>46238</x:v>
      </x:c>
      <x:c r="C214" t="str">
        <x:v>Q3</x:v>
      </x:c>
      <x:c r="D214" t="str">
        <x:v>2026-08</x:v>
      </x:c>
      <x:c r="E214" t="str">
        <x:v>Meta Ads Vietnam</x:v>
      </x:c>
      <x:c r="F214" t="str">
        <x:v>International Recruitment</x:v>
      </x:c>
      <x:c r="G214" t="str">
        <x:v>Học bổng đầu vào</x:v>
      </x:c>
      <x:c r="H214" t="str">
        <x:v>Thanh toán học bổng đầu vào cho international recruitment</x:v>
      </x:c>
      <x:c r="I214" s="12" t="n">
        <x:v>20000000</x:v>
      </x:c>
      <x:c r="J214" s="12" t="n">
        <x:f>I214*10%</x:f>
        <x:v>2000000</x:v>
      </x:c>
      <x:c r="K214" s="12" t="n">
        <x:f>I214+J214</x:f>
        <x:v>22000000</x:v>
      </x:c>
      <x:c r="L214" t="str">
        <x:v>Ngân sách tuyển sinh</x:v>
      </x:c>
      <x:c r="M214" t="str">
        <x:v>Đã thanh toán</x:v>
      </x:c>
      <x:c r="N214" t="str">
        <x:v>Event Coordinator</x:v>
      </x:c>
      <x:c r="O214" t="str">
        <x:v>PO-TS-2226</x:v>
      </x:c>
      <x:c r="P214" t="str"/>
    </x:row>
    <x:row r="215">
      <x:c r="A215" t="str">
        <x:v>DN-TS-2026-214</x:v>
      </x:c>
      <x:c r="B215" s="16" t="n">
        <x:v>46330</x:v>
      </x:c>
      <x:c r="C215" t="str">
        <x:v>Q4</x:v>
      </x:c>
      <x:c r="D215" t="str">
        <x:v>2026-11</x:v>
      </x:c>
      <x:c r="E215" t="str">
        <x:v>Nhà cung cấp Email/SMS EduConnect</x:v>
      </x:c>
      <x:c r="F215" t="str">
        <x:v>Tuyển sinh đại học chính quy</x:v>
      </x:c>
      <x:c r="G215" t="str">
        <x:v>Chi phí đi lại công tác</x:v>
      </x:c>
      <x:c r="H215" t="str">
        <x:v>Thanh toán chi phí đi lại công tác cho tuyển sinh đại học chính quy</x:v>
      </x:c>
      <x:c r="I215" s="12" t="n">
        <x:v>100000000</x:v>
      </x:c>
      <x:c r="J215" s="12" t="n">
        <x:f>I215*10%</x:f>
        <x:v>10000000</x:v>
      </x:c>
      <x:c r="K215" s="12" t="n">
        <x:f>I215+J215</x:f>
        <x:v>110000000</x:v>
      </x:c>
      <x:c r="L215" t="str">
        <x:v>Ngân sách truyền thông</x:v>
      </x:c>
      <x:c r="M215" t="str">
        <x:v>Đã duyệt</x:v>
      </x:c>
      <x:c r="N215" t="str">
        <x:v>Digital Lead</x:v>
      </x:c>
      <x:c r="O215" t="str">
        <x:v>PO-TS-6161</x:v>
      </x:c>
      <x:c r="P215" t="str"/>
    </x:row>
    <x:row r="216">
      <x:c r="A216" t="str">
        <x:v>DN-TS-2026-215</x:v>
      </x:c>
      <x:c r="B216" s="16" t="n">
        <x:v>46228</x:v>
      </x:c>
      <x:c r="C216" t="str">
        <x:v>Q3</x:v>
      </x:c>
      <x:c r="D216" t="str">
        <x:v>2026-07</x:v>
      </x:c>
      <x:c r="E216" t="str">
        <x:v>Công ty In ấn Minh Long</x:v>
      </x:c>
      <x:c r="F216" t="str">
        <x:v>Sự kiện phụ huynh</x:v>
      </x:c>
      <x:c r="G216" t="str">
        <x:v>Thuê địa điểm sự kiện</x:v>
      </x:c>
      <x:c r="H216" t="str">
        <x:v>Thanh toán thuê địa điểm sự kiện cho sự kiện phụ huynh</x:v>
      </x:c>
      <x:c r="I216" s="12" t="n">
        <x:v>20000000</x:v>
      </x:c>
      <x:c r="J216" s="12" t="n">
        <x:f>I216*10%</x:f>
        <x:v>2000000</x:v>
      </x:c>
      <x:c r="K216" s="12" t="n">
        <x:f>I216+J216</x:f>
        <x:v>22000000</x:v>
      </x:c>
      <x:c r="L216" t="str">
        <x:v>Ngân sách truyền thông</x:v>
      </x:c>
      <x:c r="M216" t="str">
        <x:v>Chờ duyệt</x:v>
      </x:c>
      <x:c r="N216" t="str">
        <x:v>Admissions Manager</x:v>
      </x:c>
      <x:c r="O216" t="str">
        <x:v>PO-TS-3230</x:v>
      </x:c>
      <x:c r="P216" t="str"/>
    </x:row>
    <x:row r="217">
      <x:c r="A217" t="str">
        <x:v>DN-TS-2026-216</x:v>
      </x:c>
      <x:c r="B217" s="16" t="n">
        <x:v>46326</x:v>
      </x:c>
      <x:c r="C217" t="str">
        <x:v>Q4</x:v>
      </x:c>
      <x:c r="D217" t="str">
        <x:v>2026-10</x:v>
      </x:c>
      <x:c r="E217" t="str">
        <x:v>Google Asia Pacific</x:v>
      </x:c>
      <x:c r="F217" t="str">
        <x:v>Open Day / Campus Tour</x:v>
      </x:c>
      <x:c r="G217" t="str">
        <x:v>Quảng cáo Google Search</x:v>
      </x:c>
      <x:c r="H217" t="str">
        <x:v>Thanh toán quảng cáo google search cho open day / campus tour</x:v>
      </x:c>
      <x:c r="I217" s="12" t="n">
        <x:v>5000000</x:v>
      </x:c>
      <x:c r="J217" s="12" t="n">
        <x:f>I217*10%</x:f>
        <x:v>500000</x:v>
      </x:c>
      <x:c r="K217" s="12" t="n">
        <x:f>I217+J217</x:f>
        <x:v>5500000</x:v>
      </x:c>
      <x:c r="L217" t="str">
        <x:v>Quỹ học bổng</x:v>
      </x:c>
      <x:c r="M217" t="str">
        <x:v>Đã thanh toán</x:v>
      </x:c>
      <x:c r="N217" t="str">
        <x:v>Event Coordinator</x:v>
      </x:c>
      <x:c r="O217" t="str">
        <x:v>PO-TS-2978</x:v>
      </x:c>
      <x:c r="P217" t="str"/>
    </x:row>
    <x:row r="218">
      <x:c r="A218" t="str">
        <x:v>DN-TS-2026-217</x:v>
      </x:c>
      <x:c r="B218" s="16" t="n">
        <x:v>46301</x:v>
      </x:c>
      <x:c r="C218" t="str">
        <x:v>Q4</x:v>
      </x:c>
      <x:c r="D218" t="str">
        <x:v>2026-10</x:v>
      </x:c>
      <x:c r="E218" t="str">
        <x:v>Công ty In ấn Minh Long</x:v>
      </x:c>
      <x:c r="F218" t="str">
        <x:v>Digital Admission Campaign</x:v>
      </x:c>
      <x:c r="G218" t="str">
        <x:v>Thuê địa điểm sự kiện</x:v>
      </x:c>
      <x:c r="H218" t="str">
        <x:v>Thanh toán thuê địa điểm sự kiện cho digital admission campaign</x:v>
      </x:c>
      <x:c r="I218" s="12" t="n">
        <x:v>20000000</x:v>
      </x:c>
      <x:c r="J218" s="12" t="n">
        <x:f>I218*10%</x:f>
        <x:v>2000000</x:v>
      </x:c>
      <x:c r="K218" s="12" t="n">
        <x:f>I218+J218</x:f>
        <x:v>22000000</x:v>
      </x:c>
      <x:c r="L218" t="str">
        <x:v>Quỹ học bổng</x:v>
      </x:c>
      <x:c r="M218" t="str">
        <x:v>Đã duyệt</x:v>
      </x:c>
      <x:c r="N218" t="str">
        <x:v>Admissions Officer</x:v>
      </x:c>
      <x:c r="O218" t="str">
        <x:v>PO-TS-2481</x:v>
      </x:c>
      <x:c r="P218" t="str"/>
    </x:row>
    <x:row r="219">
      <x:c r="A219" t="str">
        <x:v>DN-TS-2026-218</x:v>
      </x:c>
      <x:c r="B219" s="16" t="n">
        <x:v>46107</x:v>
      </x:c>
      <x:c r="C219" t="str">
        <x:v>Q1</x:v>
      </x:c>
      <x:c r="D219" t="str">
        <x:v>2026-03</x:v>
      </x:c>
      <x:c r="E219" t="str">
        <x:v>Công ty Thiết kế Web Nova</x:v>
      </x:c>
      <x:c r="F219" t="str">
        <x:v>Học bổng tuyển sinh</x:v>
      </x:c>
      <x:c r="G219" t="str">
        <x:v>Đào tạo nhân sự</x:v>
      </x:c>
      <x:c r="H219" t="str">
        <x:v>Thanh toán đào tạo nhân sự cho học bổng tuyển sinh</x:v>
      </x:c>
      <x:c r="I219" s="12" t="n">
        <x:v>150000000</x:v>
      </x:c>
      <x:c r="J219" s="12" t="n">
        <x:f>I219*10%</x:f>
        <x:v>15000000</x:v>
      </x:c>
      <x:c r="K219" s="12" t="n">
        <x:f>I219+J219</x:f>
        <x:v>165000000</x:v>
      </x:c>
      <x:c r="L219" t="str">
        <x:v>Ngân sách tuyển sinh</x:v>
      </x:c>
      <x:c r="M219" t="str">
        <x:v>Đã duyệt</x:v>
      </x:c>
      <x:c r="N219" t="str">
        <x:v>Digital Lead</x:v>
      </x:c>
      <x:c r="O219" t="str">
        <x:v>PO-TS-3430</x:v>
      </x:c>
      <x:c r="P219" t="str"/>
    </x:row>
    <x:row r="220">
      <x:c r="A220" t="str">
        <x:v>DN-TS-2026-219</x:v>
      </x:c>
      <x:c r="B220" s="16" t="n">
        <x:v>46073</x:v>
      </x:c>
      <x:c r="C220" t="str">
        <x:v>Q1</x:v>
      </x:c>
      <x:c r="D220" t="str">
        <x:v>2026-02</x:v>
      </x:c>
      <x:c r="E220" t="str">
        <x:v>Dịch vụ Logistics Thành Công</x:v>
      </x:c>
      <x:c r="F220" t="str">
        <x:v>Sự kiện phụ huynh</x:v>
      </x:c>
      <x:c r="G220" t="str">
        <x:v>Chi phí đi lại công tác</x:v>
      </x:c>
      <x:c r="H220" t="str">
        <x:v>Thanh toán chi phí đi lại công tác cho sự kiện phụ huynh</x:v>
      </x:c>
      <x:c r="I220" s="12" t="n">
        <x:v>12000000</x:v>
      </x:c>
      <x:c r="J220" s="12" t="n">
        <x:f>I220*10%</x:f>
        <x:v>1200000</x:v>
      </x:c>
      <x:c r="K220" s="12" t="n">
        <x:f>I220+J220</x:f>
        <x:v>13200000</x:v>
      </x:c>
      <x:c r="L220" t="str">
        <x:v>Ngân sách tuyển sinh</x:v>
      </x:c>
      <x:c r="M220" t="str">
        <x:v>Đã thanh toán</x:v>
      </x:c>
      <x:c r="N220" t="str">
        <x:v>Digital Lead</x:v>
      </x:c>
      <x:c r="O220" t="str">
        <x:v>PO-TS-3848</x:v>
      </x:c>
      <x:c r="P220" t="str"/>
    </x:row>
    <x:row r="221">
      <x:c r="A221" t="str">
        <x:v>DN-TS-2026-220</x:v>
      </x:c>
      <x:c r="B221" s="16" t="n">
        <x:v>46042</x:v>
      </x:c>
      <x:c r="C221" t="str">
        <x:v>Q1</x:v>
      </x:c>
      <x:c r="D221" t="str">
        <x:v>2026-01</x:v>
      </x:c>
      <x:c r="E221" t="str">
        <x:v>Công ty Thiết kế Web Nova</x:v>
      </x:c>
      <x:c r="F221" t="str">
        <x:v>International Recruitment</x:v>
      </x:c>
      <x:c r="G221" t="str">
        <x:v>Quà tặng thí sinh</x:v>
      </x:c>
      <x:c r="H221" t="str">
        <x:v>Thanh toán quà tặng thí sinh cho international recruitment</x:v>
      </x:c>
      <x:c r="I221" s="12" t="n">
        <x:v>30000000</x:v>
      </x:c>
      <x:c r="J221" s="12" t="n">
        <x:f>I221*10%</x:f>
        <x:v>3000000</x:v>
      </x:c>
      <x:c r="K221" s="12" t="n">
        <x:f>I221+J221</x:f>
        <x:v>33000000</x:v>
      </x:c>
      <x:c r="L221" t="str">
        <x:v>Ngân sách truyền thông</x:v>
      </x:c>
      <x:c r="M221" t="str">
        <x:v>Chờ duyệt</x:v>
      </x:c>
      <x:c r="N221" t="str">
        <x:v>Admissions Officer</x:v>
      </x:c>
      <x:c r="O221" t="str">
        <x:v>PO-TS-3290</x:v>
      </x:c>
      <x:c r="P221" t="str"/>
    </x:row>
    <x:row r="222">
      <x:c r="A222" t="str">
        <x:v>DN-TS-2026-221</x:v>
      </x:c>
      <x:c r="B222" s="16" t="n">
        <x:v>46089</x:v>
      </x:c>
      <x:c r="C222" t="str">
        <x:v>Q1</x:v>
      </x:c>
      <x:c r="D222" t="str">
        <x:v>2026-03</x:v>
      </x:c>
      <x:c r="E222" t="str">
        <x:v>Trường THPT đối tác</x:v>
      </x:c>
      <x:c r="F222" t="str">
        <x:v>Tuyển sinh đại học chính quy</x:v>
      </x:c>
      <x:c r="G222" t="str">
        <x:v>Đào tạo nhân sự</x:v>
      </x:c>
      <x:c r="H222" t="str">
        <x:v>Thanh toán đào tạo nhân sự cho tuyển sinh đại học chính quy</x:v>
      </x:c>
      <x:c r="I222" s="12" t="n">
        <x:v>3000000</x:v>
      </x:c>
      <x:c r="J222" s="12" t="n">
        <x:f>I222*10%</x:f>
        <x:v>300000</x:v>
      </x:c>
      <x:c r="K222" s="12" t="n">
        <x:f>I222+J222</x:f>
        <x:v>3300000</x:v>
      </x:c>
      <x:c r="L222" t="str">
        <x:v>Ngân sách truyền thông</x:v>
      </x:c>
      <x:c r="M222" t="str">
        <x:v>Chờ duyệt</x:v>
      </x:c>
      <x:c r="N222" t="str">
        <x:v>Event Coordinator</x:v>
      </x:c>
      <x:c r="O222" t="str">
        <x:v>PO-TS-7098</x:v>
      </x:c>
      <x:c r="P222" t="str"/>
    </x:row>
    <x:row r="223">
      <x:c r="A223" t="str">
        <x:v>DN-TS-2026-222</x:v>
      </x:c>
      <x:c r="B223" s="16" t="n">
        <x:v>46349</x:v>
      </x:c>
      <x:c r="C223" t="str">
        <x:v>Q4</x:v>
      </x:c>
      <x:c r="D223" t="str">
        <x:v>2026-11</x:v>
      </x:c>
      <x:c r="E223" t="str">
        <x:v>Công ty Sản xuất Video FrameX</x:v>
      </x:c>
      <x:c r="F223" t="str">
        <x:v>Tư vấn tuyển sinh THPT</x:v>
      </x:c>
      <x:c r="G223" t="str">
        <x:v>Chi phí diễn giả</x:v>
      </x:c>
      <x:c r="H223" t="str">
        <x:v>Thanh toán chi phí diễn giả cho tư vấn tuyển sinh thpt</x:v>
      </x:c>
      <x:c r="I223" s="12" t="n">
        <x:v>150000000</x:v>
      </x:c>
      <x:c r="J223" s="12" t="n">
        <x:f>I223*10%</x:f>
        <x:v>15000000</x:v>
      </x:c>
      <x:c r="K223" s="12" t="n">
        <x:f>I223+J223</x:f>
        <x:v>165000000</x:v>
      </x:c>
      <x:c r="L223" t="str">
        <x:v>Tài trợ đối tác</x:v>
      </x:c>
      <x:c r="M223" t="str">
        <x:v>Cần bổ sung hồ sơ</x:v>
      </x:c>
      <x:c r="N223" t="str">
        <x:v>Admissions Officer</x:v>
      </x:c>
      <x:c r="O223" t="str">
        <x:v>PO-TS-1357</x:v>
      </x:c>
      <x:c r="P223" t="str"/>
    </x:row>
    <x:row r="224">
      <x:c r="A224" t="str">
        <x:v>DN-TS-2026-223</x:v>
      </x:c>
      <x:c r="B224" s="16" t="n">
        <x:v>46060</x:v>
      </x:c>
      <x:c r="C224" t="str">
        <x:v>Q1</x:v>
      </x:c>
      <x:c r="D224" t="str">
        <x:v>2026-02</x:v>
      </x:c>
      <x:c r="E224" t="str">
        <x:v>Trường THPT đối tác</x:v>
      </x:c>
      <x:c r="F224" t="str">
        <x:v>Ngày hội tuyển sinh</x:v>
      </x:c>
      <x:c r="G224" t="str">
        <x:v>Thuê địa điểm sự kiện</x:v>
      </x:c>
      <x:c r="H224" t="str">
        <x:v>Thanh toán thuê địa điểm sự kiện cho ngày hội tuyển sinh</x:v>
      </x:c>
      <x:c r="I224" s="12" t="n">
        <x:v>12000000</x:v>
      </x:c>
      <x:c r="J224" s="12" t="n">
        <x:f>I224*10%</x:f>
        <x:v>1200000</x:v>
      </x:c>
      <x:c r="K224" s="12" t="n">
        <x:f>I224+J224</x:f>
        <x:v>13200000</x:v>
      </x:c>
      <x:c r="L224" t="str">
        <x:v>Ngân sách truyền thông</x:v>
      </x:c>
      <x:c r="M224" t="str">
        <x:v>Chờ duyệt</x:v>
      </x:c>
      <x:c r="N224" t="str">
        <x:v>Digital Lead</x:v>
      </x:c>
      <x:c r="O224" t="str">
        <x:v>PO-TS-3007</x:v>
      </x:c>
      <x:c r="P224" t="str"/>
    </x:row>
    <x:row r="225">
      <x:c r="A225" t="str">
        <x:v>DN-TS-2026-224</x:v>
      </x:c>
      <x:c r="B225" s="16" t="n">
        <x:v>46048</x:v>
      </x:c>
      <x:c r="C225" t="str">
        <x:v>Q1</x:v>
      </x:c>
      <x:c r="D225" t="str">
        <x:v>2026-01</x:v>
      </x:c>
      <x:c r="E225" t="str">
        <x:v>Công ty Sản xuất Video FrameX</x:v>
      </x:c>
      <x:c r="F225" t="str">
        <x:v>Tuyển sinh đại học chính quy</x:v>
      </x:c>
      <x:c r="G225" t="str">
        <x:v>Sản xuất video tuyển sinh</x:v>
      </x:c>
      <x:c r="H225" t="str">
        <x:v>Thanh toán sản xuất video tuyển sinh cho tuyển sinh đại học chính quy</x:v>
      </x:c>
      <x:c r="I225" s="12" t="n">
        <x:v>50000000</x:v>
      </x:c>
      <x:c r="J225" s="12" t="n">
        <x:f>I225*10%</x:f>
        <x:v>5000000</x:v>
      </x:c>
      <x:c r="K225" s="12" t="n">
        <x:f>I225+J225</x:f>
        <x:v>55000000</x:v>
      </x:c>
      <x:c r="L225" t="str">
        <x:v>Quỹ học bổng</x:v>
      </x:c>
      <x:c r="M225" t="str">
        <x:v>Đã thanh toán</x:v>
      </x:c>
      <x:c r="N225" t="str">
        <x:v>Event Coordinator</x:v>
      </x:c>
      <x:c r="O225" t="str">
        <x:v>PO-TS-9128</x:v>
      </x:c>
      <x:c r="P225" t="str"/>
    </x:row>
    <x:row r="226">
      <x:c r="A226" t="str">
        <x:v>DN-TS-2026-225</x:v>
      </x:c>
      <x:c r="B226" s="16" t="n">
        <x:v>46042</x:v>
      </x:c>
      <x:c r="C226" t="str">
        <x:v>Q1</x:v>
      </x:c>
      <x:c r="D226" t="str">
        <x:v>2026-01</x:v>
      </x:c>
      <x:c r="E226" t="str">
        <x:v>Google Asia Pacific</x:v>
      </x:c>
      <x:c r="F226" t="str">
        <x:v>Ngày hội tuyển sinh</x:v>
      </x:c>
      <x:c r="G226" t="str">
        <x:v>Chi phí đi lại công tác</x:v>
      </x:c>
      <x:c r="H226" t="str">
        <x:v>Thanh toán chi phí đi lại công tác cho ngày hội tuyển sinh</x:v>
      </x:c>
      <x:c r="I226" s="12" t="n">
        <x:v>30000000</x:v>
      </x:c>
      <x:c r="J226" s="12" t="n">
        <x:f>I226*10%</x:f>
        <x:v>3000000</x:v>
      </x:c>
      <x:c r="K226" s="12" t="n">
        <x:f>I226+J226</x:f>
        <x:v>33000000</x:v>
      </x:c>
      <x:c r="L226" t="str">
        <x:v>Tài trợ đối tác</x:v>
      </x:c>
      <x:c r="M226" t="str">
        <x:v>Đã duyệt</x:v>
      </x:c>
      <x:c r="N226" t="str">
        <x:v>Admissions Manager</x:v>
      </x:c>
      <x:c r="O226" t="str">
        <x:v>PO-TS-5505</x:v>
      </x:c>
      <x:c r="P226" t="str"/>
    </x:row>
    <x:row r="227">
      <x:c r="A227" t="str">
        <x:v>DN-TS-2026-226</x:v>
      </x:c>
      <x:c r="B227" s="16" t="n">
        <x:v>46170</x:v>
      </x:c>
      <x:c r="C227" t="str">
        <x:v>Q2</x:v>
      </x:c>
      <x:c r="D227" t="str">
        <x:v>2026-05</x:v>
      </x:c>
      <x:c r="E227" t="str">
        <x:v>Công ty Sản xuất Video FrameX</x:v>
      </x:c>
      <x:c r="F227" t="str">
        <x:v>Open Day / Campus Tour</x:v>
      </x:c>
      <x:c r="G227" t="str">
        <x:v>Quảng cáo Facebook/Instagram</x:v>
      </x:c>
      <x:c r="H227" t="str">
        <x:v>Thanh toán quảng cáo facebook/instagram cho open day / campus tour</x:v>
      </x:c>
      <x:c r="I227" s="12" t="n">
        <x:v>50000000</x:v>
      </x:c>
      <x:c r="J227" s="12" t="n">
        <x:f>I227*10%</x:f>
        <x:v>5000000</x:v>
      </x:c>
      <x:c r="K227" s="12" t="n">
        <x:f>I227+J227</x:f>
        <x:v>55000000</x:v>
      </x:c>
      <x:c r="L227" t="str">
        <x:v>Ngân sách truyền thông</x:v>
      </x:c>
      <x:c r="M227" t="str">
        <x:v>Đã thanh toán</x:v>
      </x:c>
      <x:c r="N227" t="str">
        <x:v>Event Coordinator</x:v>
      </x:c>
      <x:c r="O227" t="str">
        <x:v>PO-TS-7750</x:v>
      </x:c>
      <x:c r="P227" t="str"/>
    </x:row>
    <x:row r="228">
      <x:c r="A228" t="str">
        <x:v>DN-TS-2026-227</x:v>
      </x:c>
      <x:c r="B228" s="16" t="n">
        <x:v>46308</x:v>
      </x:c>
      <x:c r="C228" t="str">
        <x:v>Q4</x:v>
      </x:c>
      <x:c r="D228" t="str">
        <x:v>2026-10</x:v>
      </x:c>
      <x:c r="E228" t="str">
        <x:v>Công ty In ấn Minh Long</x:v>
      </x:c>
      <x:c r="F228" t="str">
        <x:v>Tuyển sinh đại học chính quy</x:v>
      </x:c>
      <x:c r="G228" t="str">
        <x:v>Quảng cáo Google Search</x:v>
      </x:c>
      <x:c r="H228" t="str">
        <x:v>Thanh toán quảng cáo google search cho tuyển sinh đại học chính quy</x:v>
      </x:c>
      <x:c r="I228" s="12" t="n">
        <x:v>50000000</x:v>
      </x:c>
      <x:c r="J228" s="12" t="n">
        <x:f>I228*10%</x:f>
        <x:v>5000000</x:v>
      </x:c>
      <x:c r="K228" s="12" t="n">
        <x:f>I228+J228</x:f>
        <x:v>55000000</x:v>
      </x:c>
      <x:c r="L228" t="str">
        <x:v>Quỹ học bổng</x:v>
      </x:c>
      <x:c r="M228" t="str">
        <x:v>Chờ duyệt</x:v>
      </x:c>
      <x:c r="N228" t="str">
        <x:v>Admissions Manager</x:v>
      </x:c>
      <x:c r="O228" t="str">
        <x:v>PO-TS-9614</x:v>
      </x:c>
      <x:c r="P228" t="str"/>
    </x:row>
    <x:row r="229">
      <x:c r="A229" t="str">
        <x:v>DN-TS-2026-228</x:v>
      </x:c>
      <x:c r="B229" s="16" t="n">
        <x:v>46154</x:v>
      </x:c>
      <x:c r="C229" t="str">
        <x:v>Q2</x:v>
      </x:c>
      <x:c r="D229" t="str">
        <x:v>2026-05</x:v>
      </x:c>
      <x:c r="E229" t="str">
        <x:v>Công ty Truyền thông Sao Việt</x:v>
      </x:c>
      <x:c r="F229" t="str">
        <x:v>CRM &amp; Admission System</x:v>
      </x:c>
      <x:c r="G229" t="str">
        <x:v>Chi phí email/SMS</x:v>
      </x:c>
      <x:c r="H229" t="str">
        <x:v>Thanh toán chi phí email/sms cho crm &amp; admission system</x:v>
      </x:c>
      <x:c r="I229" s="12" t="n">
        <x:v>150000000</x:v>
      </x:c>
      <x:c r="J229" s="12" t="n">
        <x:f>I229*10%</x:f>
        <x:v>15000000</x:v>
      </x:c>
      <x:c r="K229" s="12" t="n">
        <x:f>I229+J229</x:f>
        <x:v>165000000</x:v>
      </x:c>
      <x:c r="L229" t="str">
        <x:v>Quỹ học bổng</x:v>
      </x:c>
      <x:c r="M229" t="str">
        <x:v>Đã thanh toán</x:v>
      </x:c>
      <x:c r="N229" t="str">
        <x:v>Digital Lead</x:v>
      </x:c>
      <x:c r="O229" t="str">
        <x:v>PO-TS-8859</x:v>
      </x:c>
      <x:c r="P229" t="str"/>
    </x:row>
    <x:row r="230">
      <x:c r="A230" t="str">
        <x:v>DN-TS-2026-229</x:v>
      </x:c>
      <x:c r="B230" s="16" t="n">
        <x:v>46305</x:v>
      </x:c>
      <x:c r="C230" t="str">
        <x:v>Q4</x:v>
      </x:c>
      <x:c r="D230" t="str">
        <x:v>2026-10</x:v>
      </x:c>
      <x:c r="E230" t="str">
        <x:v>Công ty Sản xuất Video FrameX</x:v>
      </x:c>
      <x:c r="F230" t="str">
        <x:v>Sự kiện phụ huynh</x:v>
      </x:c>
      <x:c r="G230" t="str">
        <x:v>Livestream tư vấn</x:v>
      </x:c>
      <x:c r="H230" t="str">
        <x:v>Thanh toán livestream tư vấn cho sự kiện phụ huynh</x:v>
      </x:c>
      <x:c r="I230" s="12" t="n">
        <x:v>50000000</x:v>
      </x:c>
      <x:c r="J230" s="12" t="n">
        <x:f>I230*10%</x:f>
        <x:v>5000000</x:v>
      </x:c>
      <x:c r="K230" s="12" t="n">
        <x:f>I230+J230</x:f>
        <x:v>55000000</x:v>
      </x:c>
      <x:c r="L230" t="str">
        <x:v>Tài trợ đối tác</x:v>
      </x:c>
      <x:c r="M230" t="str">
        <x:v>Đã duyệt</x:v>
      </x:c>
      <x:c r="N230" t="str">
        <x:v>Admissions Manager</x:v>
      </x:c>
      <x:c r="O230" t="str">
        <x:v>PO-TS-1427</x:v>
      </x:c>
      <x:c r="P230" t="str"/>
    </x:row>
    <x:row r="231">
      <x:c r="A231" t="str">
        <x:v>DN-TS-2026-230</x:v>
      </x:c>
      <x:c r="B231" s="16" t="n">
        <x:v>46190</x:v>
      </x:c>
      <x:c r="C231" t="str">
        <x:v>Q2</x:v>
      </x:c>
      <x:c r="D231" t="str">
        <x:v>2026-06</x:v>
      </x:c>
      <x:c r="E231" t="str">
        <x:v>Trường THPT đối tác</x:v>
      </x:c>
      <x:c r="F231" t="str">
        <x:v>Digital Admission Campaign</x:v>
      </x:c>
      <x:c r="G231" t="str">
        <x:v>Quảng cáo Facebook/Instagram</x:v>
      </x:c>
      <x:c r="H231" t="str">
        <x:v>Thanh toán quảng cáo facebook/instagram cho digital admission campaign</x:v>
      </x:c>
      <x:c r="I231" s="12" t="n">
        <x:v>100000000</x:v>
      </x:c>
      <x:c r="J231" s="12" t="n">
        <x:f>I231*10%</x:f>
        <x:v>10000000</x:v>
      </x:c>
      <x:c r="K231" s="12" t="n">
        <x:f>I231+J231</x:f>
        <x:v>110000000</x:v>
      </x:c>
      <x:c r="L231" t="str">
        <x:v>Tài trợ đối tác</x:v>
      </x:c>
      <x:c r="M231" t="str">
        <x:v>Chờ duyệt</x:v>
      </x:c>
      <x:c r="N231" t="str">
        <x:v>Event Coordinator</x:v>
      </x:c>
      <x:c r="O231" t="str">
        <x:v>PO-TS-9674</x:v>
      </x:c>
      <x:c r="P231" t="str"/>
    </x:row>
    <x:row r="232">
      <x:c r="A232" t="str">
        <x:v>DN-TS-2026-231</x:v>
      </x:c>
      <x:c r="B232" s="16" t="n">
        <x:v>46210</x:v>
      </x:c>
      <x:c r="C232" t="str">
        <x:v>Q3</x:v>
      </x:c>
      <x:c r="D232" t="str">
        <x:v>2026-07</x:v>
      </x:c>
      <x:c r="E232" t="str">
        <x:v>Meta Ads Vietnam</x:v>
      </x:c>
      <x:c r="F232" t="str">
        <x:v>Digital Admission Campaign</x:v>
      </x:c>
      <x:c r="G232" t="str">
        <x:v>Sản xuất video tuyển sinh</x:v>
      </x:c>
      <x:c r="H232" t="str">
        <x:v>Thanh toán sản xuất video tuyển sinh cho digital admission campaign</x:v>
      </x:c>
      <x:c r="I232" s="12" t="n">
        <x:v>100000000</x:v>
      </x:c>
      <x:c r="J232" s="12" t="n">
        <x:f>I232*10%</x:f>
        <x:v>10000000</x:v>
      </x:c>
      <x:c r="K232" s="12" t="n">
        <x:f>I232+J232</x:f>
        <x:v>110000000</x:v>
      </x:c>
      <x:c r="L232" t="str">
        <x:v>Ngân sách truyền thông</x:v>
      </x:c>
      <x:c r="M232" t="str">
        <x:v>Đã thanh toán</x:v>
      </x:c>
      <x:c r="N232" t="str">
        <x:v>Digital Lead</x:v>
      </x:c>
      <x:c r="O232" t="str">
        <x:v>PO-TS-9743</x:v>
      </x:c>
      <x:c r="P232" t="str"/>
    </x:row>
    <x:row r="233">
      <x:c r="A233" t="str">
        <x:v>DN-TS-2026-232</x:v>
      </x:c>
      <x:c r="B233" s="16" t="n">
        <x:v>46055</x:v>
      </x:c>
      <x:c r="C233" t="str">
        <x:v>Q1</x:v>
      </x:c>
      <x:c r="D233" t="str">
        <x:v>2026-02</x:v>
      </x:c>
      <x:c r="E233" t="str">
        <x:v>Trường THPT đối tác</x:v>
      </x:c>
      <x:c r="F233" t="str">
        <x:v>Đào tạo cộng tác viên tuyển sinh</x:v>
      </x:c>
      <x:c r="G233" t="str">
        <x:v>Đào tạo nhân sự</x:v>
      </x:c>
      <x:c r="H233" t="str">
        <x:v>Thanh toán đào tạo nhân sự cho đào tạo cộng tác viên tuyển sinh</x:v>
      </x:c>
      <x:c r="I233" s="12" t="n">
        <x:v>12000000</x:v>
      </x:c>
      <x:c r="J233" s="12" t="n">
        <x:f>I233*10%</x:f>
        <x:v>1200000</x:v>
      </x:c>
      <x:c r="K233" s="12" t="n">
        <x:f>I233+J233</x:f>
        <x:v>13200000</x:v>
      </x:c>
      <x:c r="L233" t="str">
        <x:v>Quỹ học bổng</x:v>
      </x:c>
      <x:c r="M233" t="str">
        <x:v>Đã duyệt</x:v>
      </x:c>
      <x:c r="N233" t="str">
        <x:v>Admissions Manager</x:v>
      </x:c>
      <x:c r="O233" t="str">
        <x:v>PO-TS-3885</x:v>
      </x:c>
      <x:c r="P233" t="str"/>
    </x:row>
    <x:row r="234">
      <x:c r="A234" t="str">
        <x:v>DN-TS-2026-233</x:v>
      </x:c>
      <x:c r="B234" s="16" t="n">
        <x:v>46148</x:v>
      </x:c>
      <x:c r="C234" t="str">
        <x:v>Q2</x:v>
      </x:c>
      <x:c r="D234" t="str">
        <x:v>2026-05</x:v>
      </x:c>
      <x:c r="E234" t="str">
        <x:v>Công ty Thiết kế Web Nova</x:v>
      </x:c>
      <x:c r="F234" t="str">
        <x:v>Sự kiện phụ huynh</x:v>
      </x:c>
      <x:c r="G234" t="str">
        <x:v>Chi phí email/SMS</x:v>
      </x:c>
      <x:c r="H234" t="str">
        <x:v>Thanh toán chi phí email/sms cho sự kiện phụ huynh</x:v>
      </x:c>
      <x:c r="I234" s="12" t="n">
        <x:v>100000000</x:v>
      </x:c>
      <x:c r="J234" s="12" t="n">
        <x:f>I234*10%</x:f>
        <x:v>10000000</x:v>
      </x:c>
      <x:c r="K234" s="12" t="n">
        <x:f>I234+J234</x:f>
        <x:v>110000000</x:v>
      </x:c>
      <x:c r="L234" t="str">
        <x:v>Tài trợ đối tác</x:v>
      </x:c>
      <x:c r="M234" t="str">
        <x:v>Cần bổ sung hồ sơ</x:v>
      </x:c>
      <x:c r="N234" t="str">
        <x:v>Admissions Officer</x:v>
      </x:c>
      <x:c r="O234" t="str">
        <x:v>PO-TS-6761</x:v>
      </x:c>
      <x:c r="P234" t="str"/>
    </x:row>
    <x:row r="235">
      <x:c r="A235" t="str">
        <x:v>DN-TS-2026-234</x:v>
      </x:c>
      <x:c r="B235" s="16" t="n">
        <x:v>46317</x:v>
      </x:c>
      <x:c r="C235" t="str">
        <x:v>Q4</x:v>
      </x:c>
      <x:c r="D235" t="str">
        <x:v>2026-10</x:v>
      </x:c>
      <x:c r="E235" t="str">
        <x:v>Công ty EventPlus</x:v>
      </x:c>
      <x:c r="F235" t="str">
        <x:v>Open Day / Campus Tour</x:v>
      </x:c>
      <x:c r="G235" t="str">
        <x:v>Chi phí diễn giả</x:v>
      </x:c>
      <x:c r="H235" t="str">
        <x:v>Thanh toán chi phí diễn giả cho open day / campus tour</x:v>
      </x:c>
      <x:c r="I235" s="12" t="n">
        <x:v>100000000</x:v>
      </x:c>
      <x:c r="J235" s="12" t="n">
        <x:f>I235*10%</x:f>
        <x:v>10000000</x:v>
      </x:c>
      <x:c r="K235" s="12" t="n">
        <x:f>I235+J235</x:f>
        <x:v>110000000</x:v>
      </x:c>
      <x:c r="L235" t="str">
        <x:v>Quỹ học bổng</x:v>
      </x:c>
      <x:c r="M235" t="str">
        <x:v>Đã thanh toán</x:v>
      </x:c>
      <x:c r="N235" t="str">
        <x:v>Admissions Manager</x:v>
      </x:c>
      <x:c r="O235" t="str">
        <x:v>PO-TS-9035</x:v>
      </x:c>
      <x:c r="P235" t="str"/>
    </x:row>
    <x:row r="236">
      <x:c r="A236" t="str">
        <x:v>DN-TS-2026-235</x:v>
      </x:c>
      <x:c r="B236" s="16" t="n">
        <x:v>46046</x:v>
      </x:c>
      <x:c r="C236" t="str">
        <x:v>Q1</x:v>
      </x:c>
      <x:c r="D236" t="str">
        <x:v>2026-01</x:v>
      </x:c>
      <x:c r="E236" t="str">
        <x:v>Công ty Sản xuất Video FrameX</x:v>
      </x:c>
      <x:c r="F236" t="str">
        <x:v>Tuyển sinh đại học chính quy</x:v>
      </x:c>
      <x:c r="G236" t="str">
        <x:v>Thiết kế landing page</x:v>
      </x:c>
      <x:c r="H236" t="str">
        <x:v>Thanh toán thiết kế landing page cho tuyển sinh đại học chính quy</x:v>
      </x:c>
      <x:c r="I236" s="12" t="n">
        <x:v>5000000</x:v>
      </x:c>
      <x:c r="J236" s="12" t="n">
        <x:f>I236*10%</x:f>
        <x:v>500000</x:v>
      </x:c>
      <x:c r="K236" s="12" t="n">
        <x:f>I236+J236</x:f>
        <x:v>5500000</x:v>
      </x:c>
      <x:c r="L236" t="str">
        <x:v>Ngân sách truyền thông</x:v>
      </x:c>
      <x:c r="M236" t="str">
        <x:v>Chờ duyệt</x:v>
      </x:c>
      <x:c r="N236" t="str">
        <x:v>Event Coordinator</x:v>
      </x:c>
      <x:c r="O236" t="str">
        <x:v>PO-TS-1011</x:v>
      </x:c>
      <x:c r="P236" t="str"/>
    </x:row>
    <x:row r="237">
      <x:c r="A237" t="str">
        <x:v>DN-TS-2026-236</x:v>
      </x:c>
      <x:c r="B237" s="16" t="n">
        <x:v>46196</x:v>
      </x:c>
      <x:c r="C237" t="str">
        <x:v>Q2</x:v>
      </x:c>
      <x:c r="D237" t="str">
        <x:v>2026-06</x:v>
      </x:c>
      <x:c r="E237" t="str">
        <x:v>Google Asia Pacific</x:v>
      </x:c>
      <x:c r="F237" t="str">
        <x:v>Digital Admission Campaign</x:v>
      </x:c>
      <x:c r="G237" t="str">
        <x:v>Chi phí email/SMS</x:v>
      </x:c>
      <x:c r="H237" t="str">
        <x:v>Thanh toán chi phí email/sms cho digital admission campaign</x:v>
      </x:c>
      <x:c r="I237" s="12" t="n">
        <x:v>100000000</x:v>
      </x:c>
      <x:c r="J237" s="12" t="n">
        <x:f>I237*10%</x:f>
        <x:v>10000000</x:v>
      </x:c>
      <x:c r="K237" s="12" t="n">
        <x:f>I237+J237</x:f>
        <x:v>110000000</x:v>
      </x:c>
      <x:c r="L237" t="str">
        <x:v>Tài trợ đối tác</x:v>
      </x:c>
      <x:c r="M237" t="str">
        <x:v>Đã thanh toán</x:v>
      </x:c>
      <x:c r="N237" t="str">
        <x:v>Digital Lead</x:v>
      </x:c>
      <x:c r="O237" t="str">
        <x:v>PO-TS-1975</x:v>
      </x:c>
      <x:c r="P237" t="str"/>
    </x:row>
    <x:row r="238">
      <x:c r="A238" t="str">
        <x:v>DN-TS-2026-237</x:v>
      </x:c>
      <x:c r="B238" s="16" t="n">
        <x:v>46038</x:v>
      </x:c>
      <x:c r="C238" t="str">
        <x:v>Q1</x:v>
      </x:c>
      <x:c r="D238" t="str">
        <x:v>2026-01</x:v>
      </x:c>
      <x:c r="E238" t="str">
        <x:v>Google Asia Pacific</x:v>
      </x:c>
      <x:c r="F238" t="str">
        <x:v>Đào tạo cộng tác viên tuyển sinh</x:v>
      </x:c>
      <x:c r="G238" t="str">
        <x:v>Học bổng đầu vào</x:v>
      </x:c>
      <x:c r="H238" t="str">
        <x:v>Thanh toán học bổng đầu vào cho đào tạo cộng tác viên tuyển sinh</x:v>
      </x:c>
      <x:c r="I238" s="12" t="n">
        <x:v>8000000</x:v>
      </x:c>
      <x:c r="J238" s="12" t="n">
        <x:f>I238*10%</x:f>
        <x:v>800000</x:v>
      </x:c>
      <x:c r="K238" s="12" t="n">
        <x:f>I238+J238</x:f>
        <x:v>8800000</x:v>
      </x:c>
      <x:c r="L238" t="str">
        <x:v>Ngân sách tuyển sinh</x:v>
      </x:c>
      <x:c r="M238" t="str">
        <x:v>Đã thanh toán</x:v>
      </x:c>
      <x:c r="N238" t="str">
        <x:v>Digital Lead</x:v>
      </x:c>
      <x:c r="O238" t="str">
        <x:v>PO-TS-2188</x:v>
      </x:c>
      <x:c r="P238" t="str"/>
    </x:row>
    <x:row r="239">
      <x:c r="A239" t="str">
        <x:v>DN-TS-2026-238</x:v>
      </x:c>
      <x:c r="B239" s="16" t="n">
        <x:v>46218</x:v>
      </x:c>
      <x:c r="C239" t="str">
        <x:v>Q3</x:v>
      </x:c>
      <x:c r="D239" t="str">
        <x:v>2026-07</x:v>
      </x:c>
      <x:c r="E239" t="str">
        <x:v>Meta Ads Vietnam</x:v>
      </x:c>
      <x:c r="F239" t="str">
        <x:v>Tuyển sinh sau đại học</x:v>
      </x:c>
      <x:c r="G239" t="str">
        <x:v>Chi phí diễn giả</x:v>
      </x:c>
      <x:c r="H239" t="str">
        <x:v>Thanh toán chi phí diễn giả cho tuyển sinh sau đại học</x:v>
      </x:c>
      <x:c r="I239" s="12" t="n">
        <x:v>150000000</x:v>
      </x:c>
      <x:c r="J239" s="12" t="n">
        <x:f>I239*10%</x:f>
        <x:v>15000000</x:v>
      </x:c>
      <x:c r="K239" s="12" t="n">
        <x:f>I239+J239</x:f>
        <x:v>165000000</x:v>
      </x:c>
      <x:c r="L239" t="str">
        <x:v>Tài trợ đối tác</x:v>
      </x:c>
      <x:c r="M239" t="str">
        <x:v>Đã duyệt</x:v>
      </x:c>
      <x:c r="N239" t="str">
        <x:v>Admissions Manager</x:v>
      </x:c>
      <x:c r="O239" t="str">
        <x:v>PO-TS-3580</x:v>
      </x:c>
      <x:c r="P239" t="str"/>
    </x:row>
    <x:row r="240">
      <x:c r="A240" t="str">
        <x:v>DN-TS-2026-239</x:v>
      </x:c>
      <x:c r="B240" s="16" t="n">
        <x:v>46250</x:v>
      </x:c>
      <x:c r="C240" t="str">
        <x:v>Q3</x:v>
      </x:c>
      <x:c r="D240" t="str">
        <x:v>2026-08</x:v>
      </x:c>
      <x:c r="E240" t="str">
        <x:v>Nền tảng CRM EduFlow</x:v>
      </x:c>
      <x:c r="F240" t="str">
        <x:v>International Recruitment</x:v>
      </x:c>
      <x:c r="G240" t="str">
        <x:v>Phần mềm CRM</x:v>
      </x:c>
      <x:c r="H240" t="str">
        <x:v>Thanh toán phần mềm crm cho international recruitment</x:v>
      </x:c>
      <x:c r="I240" s="12" t="n">
        <x:v>150000000</x:v>
      </x:c>
      <x:c r="J240" s="12" t="n">
        <x:f>I240*10%</x:f>
        <x:v>15000000</x:v>
      </x:c>
      <x:c r="K240" s="12" t="n">
        <x:f>I240+J240</x:f>
        <x:v>165000000</x:v>
      </x:c>
      <x:c r="L240" t="str">
        <x:v>Ngân sách truyền thông</x:v>
      </x:c>
      <x:c r="M240" t="str">
        <x:v>Đã thanh toán</x:v>
      </x:c>
      <x:c r="N240" t="str">
        <x:v>Scholarship Officer</x:v>
      </x:c>
      <x:c r="O240" t="str">
        <x:v>PO-TS-6846</x:v>
      </x:c>
      <x:c r="P240" t="str"/>
    </x:row>
    <x:row r="241">
      <x:c r="A241" t="str">
        <x:v>DN-TS-2026-240</x:v>
      </x:c>
      <x:c r="B241" s="16" t="n">
        <x:v>46141</x:v>
      </x:c>
      <x:c r="C241" t="str">
        <x:v>Q2</x:v>
      </x:c>
      <x:c r="D241" t="str">
        <x:v>2026-04</x:v>
      </x:c>
      <x:c r="E241" t="str">
        <x:v>Google Asia Pacific</x:v>
      </x:c>
      <x:c r="F241" t="str">
        <x:v>Đào tạo cộng tác viên tuyển sinh</x:v>
      </x:c>
      <x:c r="G241" t="str">
        <x:v>Đào tạo nhân sự</x:v>
      </x:c>
      <x:c r="H241" t="str">
        <x:v>Thanh toán đào tạo nhân sự cho đào tạo cộng tác viên tuyển sinh</x:v>
      </x:c>
      <x:c r="I241" s="12" t="n">
        <x:v>150000000</x:v>
      </x:c>
      <x:c r="J241" s="12" t="n">
        <x:f>I241*10%</x:f>
        <x:v>15000000</x:v>
      </x:c>
      <x:c r="K241" s="12" t="n">
        <x:f>I241+J241</x:f>
        <x:v>165000000</x:v>
      </x:c>
      <x:c r="L241" t="str">
        <x:v>Quỹ học bổng</x:v>
      </x:c>
      <x:c r="M241" t="str">
        <x:v>Đã duyệt</x:v>
      </x:c>
      <x:c r="N241" t="str">
        <x:v>Digital Lead</x:v>
      </x:c>
      <x:c r="O241" t="str">
        <x:v>PO-TS-3086</x:v>
      </x:c>
      <x:c r="P241" t="str"/>
    </x:row>
    <x:row r="242">
      <x:c r="A242" t="str">
        <x:v>DN-TS-2026-241</x:v>
      </x:c>
      <x:c r="B242" s="16" t="n">
        <x:v>46117</x:v>
      </x:c>
      <x:c r="C242" t="str">
        <x:v>Q2</x:v>
      </x:c>
      <x:c r="D242" t="str">
        <x:v>2026-04</x:v>
      </x:c>
      <x:c r="E242" t="str">
        <x:v>Công ty Quà tặng ABC</x:v>
      </x:c>
      <x:c r="F242" t="str">
        <x:v>Sản xuất học liệu truyền thông</x:v>
      </x:c>
      <x:c r="G242" t="str">
        <x:v>Chi phí diễn giả</x:v>
      </x:c>
      <x:c r="H242" t="str">
        <x:v>Thanh toán chi phí diễn giả cho sản xuất học liệu truyền thông</x:v>
      </x:c>
      <x:c r="I242" s="12" t="n">
        <x:v>3000000</x:v>
      </x:c>
      <x:c r="J242" s="12" t="n">
        <x:f>I242*10%</x:f>
        <x:v>300000</x:v>
      </x:c>
      <x:c r="K242" s="12" t="n">
        <x:f>I242+J242</x:f>
        <x:v>3300000</x:v>
      </x:c>
      <x:c r="L242" t="str">
        <x:v>Ngân sách tuyển sinh</x:v>
      </x:c>
      <x:c r="M242" t="str">
        <x:v>Đã duyệt</x:v>
      </x:c>
      <x:c r="N242" t="str">
        <x:v>Digital Lead</x:v>
      </x:c>
      <x:c r="O242" t="str">
        <x:v>PO-TS-4619</x:v>
      </x:c>
      <x:c r="P242" t="str"/>
    </x:row>
    <x:row r="243">
      <x:c r="A243" t="str">
        <x:v>DN-TS-2026-242</x:v>
      </x:c>
      <x:c r="B243" s="16" t="n">
        <x:v>46354</x:v>
      </x:c>
      <x:c r="C243" t="str">
        <x:v>Q4</x:v>
      </x:c>
      <x:c r="D243" t="str">
        <x:v>2026-11</x:v>
      </x:c>
      <x:c r="E243" t="str">
        <x:v>Trung tâm Hội nghị Quốc gia</x:v>
      </x:c>
      <x:c r="F243" t="str">
        <x:v>Tư vấn tuyển sinh THPT</x:v>
      </x:c>
      <x:c r="G243" t="str">
        <x:v>Livestream tư vấn</x:v>
      </x:c>
      <x:c r="H243" t="str">
        <x:v>Thanh toán livestream tư vấn cho tư vấn tuyển sinh thpt</x:v>
      </x:c>
      <x:c r="I243" s="12" t="n">
        <x:v>100000000</x:v>
      </x:c>
      <x:c r="J243" s="12" t="n">
        <x:f>I243*10%</x:f>
        <x:v>10000000</x:v>
      </x:c>
      <x:c r="K243" s="12" t="n">
        <x:f>I243+J243</x:f>
        <x:v>110000000</x:v>
      </x:c>
      <x:c r="L243" t="str">
        <x:v>Ngân sách truyền thông</x:v>
      </x:c>
      <x:c r="M243" t="str">
        <x:v>Đã duyệt</x:v>
      </x:c>
      <x:c r="N243" t="str">
        <x:v>Admissions Officer</x:v>
      </x:c>
      <x:c r="O243" t="str">
        <x:v>PO-TS-4899</x:v>
      </x:c>
      <x:c r="P243" t="str"/>
    </x:row>
    <x:row r="244">
      <x:c r="A244" t="str">
        <x:v>DN-TS-2026-243</x:v>
      </x:c>
      <x:c r="B244" s="16" t="n">
        <x:v>46204</x:v>
      </x:c>
      <x:c r="C244" t="str">
        <x:v>Q3</x:v>
      </x:c>
      <x:c r="D244" t="str">
        <x:v>2026-07</x:v>
      </x:c>
      <x:c r="E244" t="str">
        <x:v>Meta Ads Vietnam</x:v>
      </x:c>
      <x:c r="F244" t="str">
        <x:v>Open Day / Campus Tour</x:v>
      </x:c>
      <x:c r="G244" t="str">
        <x:v>Phần mềm CRM</x:v>
      </x:c>
      <x:c r="H244" t="str">
        <x:v>Thanh toán phần mềm crm cho open day / campus tour</x:v>
      </x:c>
      <x:c r="I244" s="12" t="n">
        <x:v>20000000</x:v>
      </x:c>
      <x:c r="J244" s="12" t="n">
        <x:f>I244*10%</x:f>
        <x:v>2000000</x:v>
      </x:c>
      <x:c r="K244" s="12" t="n">
        <x:f>I244+J244</x:f>
        <x:v>22000000</x:v>
      </x:c>
      <x:c r="L244" t="str">
        <x:v>Tài trợ đối tác</x:v>
      </x:c>
      <x:c r="M244" t="str">
        <x:v>Đã thanh toán</x:v>
      </x:c>
      <x:c r="N244" t="str">
        <x:v>Digital Lead</x:v>
      </x:c>
      <x:c r="O244" t="str">
        <x:v>PO-TS-4435</x:v>
      </x:c>
      <x:c r="P244" t="str"/>
    </x:row>
    <x:row r="245">
      <x:c r="A245" t="str">
        <x:v>DN-TS-2026-244</x:v>
      </x:c>
      <x:c r="B245" s="16" t="n">
        <x:v>46154</x:v>
      </x:c>
      <x:c r="C245" t="str">
        <x:v>Q2</x:v>
      </x:c>
      <x:c r="D245" t="str">
        <x:v>2026-05</x:v>
      </x:c>
      <x:c r="E245" t="str">
        <x:v>Trường THPT đối tác</x:v>
      </x:c>
      <x:c r="F245" t="str">
        <x:v>Sự kiện phụ huynh</x:v>
      </x:c>
      <x:c r="G245" t="str">
        <x:v>In ấn brochure</x:v>
      </x:c>
      <x:c r="H245" t="str">
        <x:v>Thanh toán in ấn brochure cho sự kiện phụ huynh</x:v>
      </x:c>
      <x:c r="I245" s="12" t="n">
        <x:v>5000000</x:v>
      </x:c>
      <x:c r="J245" s="12" t="n">
        <x:f>I245*10%</x:f>
        <x:v>500000</x:v>
      </x:c>
      <x:c r="K245" s="12" t="n">
        <x:f>I245+J245</x:f>
        <x:v>5500000</x:v>
      </x:c>
      <x:c r="L245" t="str">
        <x:v>Ngân sách tuyển sinh</x:v>
      </x:c>
      <x:c r="M245" t="str">
        <x:v>Đã thanh toán</x:v>
      </x:c>
      <x:c r="N245" t="str">
        <x:v>Admissions Officer</x:v>
      </x:c>
      <x:c r="O245" t="str">
        <x:v>PO-TS-7323</x:v>
      </x:c>
      <x:c r="P245" t="str"/>
    </x:row>
    <x:row r="246">
      <x:c r="A246" t="str">
        <x:v>DN-TS-2026-245</x:v>
      </x:c>
      <x:c r="B246" s="16" t="n">
        <x:v>46251</x:v>
      </x:c>
      <x:c r="C246" t="str">
        <x:v>Q3</x:v>
      </x:c>
      <x:c r="D246" t="str">
        <x:v>2026-08</x:v>
      </x:c>
      <x:c r="E246" t="str">
        <x:v>Công ty Quà tặng ABC</x:v>
      </x:c>
      <x:c r="F246" t="str">
        <x:v>Open Day / Campus Tour</x:v>
      </x:c>
      <x:c r="G246" t="str">
        <x:v>Livestream tư vấn</x:v>
      </x:c>
      <x:c r="H246" t="str">
        <x:v>Thanh toán livestream tư vấn cho open day / campus tour</x:v>
      </x:c>
      <x:c r="I246" s="12" t="n">
        <x:v>30000000</x:v>
      </x:c>
      <x:c r="J246" s="12" t="n">
        <x:f>I246*10%</x:f>
        <x:v>3000000</x:v>
      </x:c>
      <x:c r="K246" s="12" t="n">
        <x:f>I246+J246</x:f>
        <x:v>33000000</x:v>
      </x:c>
      <x:c r="L246" t="str">
        <x:v>Quỹ học bổng</x:v>
      </x:c>
      <x:c r="M246" t="str">
        <x:v>Cần bổ sung hồ sơ</x:v>
      </x:c>
      <x:c r="N246" t="str">
        <x:v>Digital Lead</x:v>
      </x:c>
      <x:c r="O246" t="str">
        <x:v>PO-TS-9946</x:v>
      </x:c>
      <x:c r="P246" t="str"/>
    </x:row>
    <x:row r="247">
      <x:c r="A247" t="str">
        <x:v>DN-TS-2026-246</x:v>
      </x:c>
      <x:c r="B247" s="16" t="n">
        <x:v>46219</x:v>
      </x:c>
      <x:c r="C247" t="str">
        <x:v>Q3</x:v>
      </x:c>
      <x:c r="D247" t="str">
        <x:v>2026-07</x:v>
      </x:c>
      <x:c r="E247" t="str">
        <x:v>Công ty Nghiên cứu thị trường Insight</x:v>
      </x:c>
      <x:c r="F247" t="str">
        <x:v>International Recruitment</x:v>
      </x:c>
      <x:c r="G247" t="str">
        <x:v>Chi phí email/SMS</x:v>
      </x:c>
      <x:c r="H247" t="str">
        <x:v>Thanh toán chi phí email/sms cho international recruitment</x:v>
      </x:c>
      <x:c r="I247" s="12" t="n">
        <x:v>5000000</x:v>
      </x:c>
      <x:c r="J247" s="12" t="n">
        <x:f>I247*10%</x:f>
        <x:v>500000</x:v>
      </x:c>
      <x:c r="K247" s="12" t="n">
        <x:f>I247+J247</x:f>
        <x:v>5500000</x:v>
      </x:c>
      <x:c r="L247" t="str">
        <x:v>Ngân sách truyền thông</x:v>
      </x:c>
      <x:c r="M247" t="str">
        <x:v>Đã duyệt</x:v>
      </x:c>
      <x:c r="N247" t="str">
        <x:v>Admissions Officer</x:v>
      </x:c>
      <x:c r="O247" t="str">
        <x:v>PO-TS-1547</x:v>
      </x:c>
      <x:c r="P247" t="str"/>
    </x:row>
    <x:row r="248">
      <x:c r="A248" t="str">
        <x:v>DN-TS-2026-247</x:v>
      </x:c>
      <x:c r="B248" s="16" t="n">
        <x:v>46177</x:v>
      </x:c>
      <x:c r="C248" t="str">
        <x:v>Q2</x:v>
      </x:c>
      <x:c r="D248" t="str">
        <x:v>2026-06</x:v>
      </x:c>
      <x:c r="E248" t="str">
        <x:v>Meta Ads Vietnam</x:v>
      </x:c>
      <x:c r="F248" t="str">
        <x:v>Sự kiện phụ huynh</x:v>
      </x:c>
      <x:c r="G248" t="str">
        <x:v>In ấn brochure</x:v>
      </x:c>
      <x:c r="H248" t="str">
        <x:v>Thanh toán in ấn brochure cho sự kiện phụ huynh</x:v>
      </x:c>
      <x:c r="I248" s="12" t="n">
        <x:v>3000000</x:v>
      </x:c>
      <x:c r="J248" s="12" t="n">
        <x:f>I248*10%</x:f>
        <x:v>300000</x:v>
      </x:c>
      <x:c r="K248" s="12" t="n">
        <x:f>I248+J248</x:f>
        <x:v>3300000</x:v>
      </x:c>
      <x:c r="L248" t="str">
        <x:v>Ngân sách tuyển sinh</x:v>
      </x:c>
      <x:c r="M248" t="str">
        <x:v>Đã duyệt</x:v>
      </x:c>
      <x:c r="N248" t="str">
        <x:v>Event Coordinator</x:v>
      </x:c>
      <x:c r="O248" t="str">
        <x:v>PO-TS-3636</x:v>
      </x:c>
      <x:c r="P248" t="str"/>
    </x:row>
    <x:row r="249">
      <x:c r="A249" t="str">
        <x:v>DN-TS-2026-248</x:v>
      </x:c>
      <x:c r="B249" s="16" t="n">
        <x:v>46065</x:v>
      </x:c>
      <x:c r="C249" t="str">
        <x:v>Q1</x:v>
      </x:c>
      <x:c r="D249" t="str">
        <x:v>2026-02</x:v>
      </x:c>
      <x:c r="E249" t="str">
        <x:v>Công ty Sản xuất Video FrameX</x:v>
      </x:c>
      <x:c r="F249" t="str">
        <x:v>Tư vấn tuyển sinh THPT</x:v>
      </x:c>
      <x:c r="G249" t="str">
        <x:v>Tổ chức booth tư vấn</x:v>
      </x:c>
      <x:c r="H249" t="str">
        <x:v>Thanh toán tổ chức booth tư vấn cho tư vấn tuyển sinh thpt</x:v>
      </x:c>
      <x:c r="I249" s="12" t="n">
        <x:v>80000000</x:v>
      </x:c>
      <x:c r="J249" s="12" t="n">
        <x:f>I249*10%</x:f>
        <x:v>8000000</x:v>
      </x:c>
      <x:c r="K249" s="12" t="n">
        <x:f>I249+J249</x:f>
        <x:v>88000000</x:v>
      </x:c>
      <x:c r="L249" t="str">
        <x:v>Quỹ học bổng</x:v>
      </x:c>
      <x:c r="M249" t="str">
        <x:v>Đã thanh toán</x:v>
      </x:c>
      <x:c r="N249" t="str">
        <x:v>Event Coordinator</x:v>
      </x:c>
      <x:c r="O249" t="str">
        <x:v>PO-TS-3703</x:v>
      </x:c>
      <x:c r="P249" t="str"/>
    </x:row>
    <x:row r="250">
      <x:c r="A250" t="str">
        <x:v>DN-TS-2026-249</x:v>
      </x:c>
      <x:c r="B250" s="16" t="n">
        <x:v>46337</x:v>
      </x:c>
      <x:c r="C250" t="str">
        <x:v>Q4</x:v>
      </x:c>
      <x:c r="D250" t="str">
        <x:v>2026-11</x:v>
      </x:c>
      <x:c r="E250" t="str">
        <x:v>Meta Ads Vietnam</x:v>
      </x:c>
      <x:c r="F250" t="str">
        <x:v>Open Day / Campus Tour</x:v>
      </x:c>
      <x:c r="G250" t="str">
        <x:v>Quảng cáo Facebook/Instagram</x:v>
      </x:c>
      <x:c r="H250" t="str">
        <x:v>Thanh toán quảng cáo facebook/instagram cho open day / campus tour</x:v>
      </x:c>
      <x:c r="I250" s="12" t="n">
        <x:v>30000000</x:v>
      </x:c>
      <x:c r="J250" s="12" t="n">
        <x:f>I250*10%</x:f>
        <x:v>3000000</x:v>
      </x:c>
      <x:c r="K250" s="12" t="n">
        <x:f>I250+J250</x:f>
        <x:v>33000000</x:v>
      </x:c>
      <x:c r="L250" t="str">
        <x:v>Tài trợ đối tác</x:v>
      </x:c>
      <x:c r="M250" t="str">
        <x:v>Đã duyệt</x:v>
      </x:c>
      <x:c r="N250" t="str">
        <x:v>Admissions Manager</x:v>
      </x:c>
      <x:c r="O250" t="str">
        <x:v>PO-TS-7705</x:v>
      </x:c>
      <x:c r="P250" t="str"/>
    </x:row>
    <x:row r="251">
      <x:c r="A251" t="str">
        <x:v>DN-TS-2026-250</x:v>
      </x:c>
      <x:c r="B251" s="16" t="n">
        <x:v>46310</x:v>
      </x:c>
      <x:c r="C251" t="str">
        <x:v>Q4</x:v>
      </x:c>
      <x:c r="D251" t="str">
        <x:v>2026-10</x:v>
      </x:c>
      <x:c r="E251" t="str">
        <x:v>Công ty In ấn Minh Long</x:v>
      </x:c>
      <x:c r="F251" t="str">
        <x:v>Học bổng tuyển sinh</x:v>
      </x:c>
      <x:c r="G251" t="str">
        <x:v>Phần mềm CRM</x:v>
      </x:c>
      <x:c r="H251" t="str">
        <x:v>Thanh toán phần mềm crm cho học bổng tuyển sinh</x:v>
      </x:c>
      <x:c r="I251" s="12" t="n">
        <x:v>80000000</x:v>
      </x:c>
      <x:c r="J251" s="12" t="n">
        <x:f>I251*10%</x:f>
        <x:v>8000000</x:v>
      </x:c>
      <x:c r="K251" s="12" t="n">
        <x:f>I251+J251</x:f>
        <x:v>88000000</x:v>
      </x:c>
      <x:c r="L251" t="str">
        <x:v>Tài trợ đối tác</x:v>
      </x:c>
      <x:c r="M251" t="str">
        <x:v>Đã duyệt</x:v>
      </x:c>
      <x:c r="N251" t="str">
        <x:v>Admissions Officer</x:v>
      </x:c>
      <x:c r="O251" t="str">
        <x:v>PO-TS-7437</x:v>
      </x:c>
      <x:c r="P251" t="str"/>
    </x:row>
  </x:sheetData>
  <x:conditionalFormatting sqref="K2:K251">
    <x:cfRule type="dataBar" priority="1">
      <x:dataBar>
        <x:cfvo type="min"/>
        <x:cfvo type="max"/>
        <x:color rgb="A9D18E"/>
      </x:dataBar>
      <x:extLst>
        <x:ext xmlns:x14="http://schemas.microsoft.com/office/spreadsheetml/2009/9/main" uri="{B025F937-C7B1-47D3-B67F-A62EFF666E3E}">
          <x14:id>{230B482A-EE53-877B-5B8E-3F83E5431E3F}</x14:id>
        </x:ext>
      </x:extLst>
    </x:cfRule>
  </x:conditionalFormatting>
  <x:dataValidations count="1">
    <x:dataValidation type="list" sqref="M2:M251">
      <x:formula1>"Chờ duyệt,Đã duyệt,Đã thanh toán,Cần bổ sung hồ sơ,Tạm dừng"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4486d0eaf0411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30B482A-EE53-877B-5B8E-3F83E5431E3F}">
            <x14:dataBar gradient="1">
              <x14:cfvo type="min"/>
              <x14:cfvo type="max"/>
              <x14:fillColor rgb="A9D18E"/>
            </x14:dataBar>
          </x14:cfRule>
          <xm:sqref>K2:K251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21" t="str">
        <x:v>DASHBOARD QUẢN TRỊ NGÂN SÁCH PHÒNG TUYỂN SINH 2026</x:v>
      </x:c>
      <x:c r="B1" s="21" t="str"/>
      <x:c r="C1" s="21" t="str"/>
      <x:c r="D1" s="21" t="str"/>
      <x:c r="E1" s="21" t="str"/>
      <x:c r="F1" s="21" t="str"/>
      <x:c r="G1" s="21" t="str"/>
      <x:c r="H1" s="21" t="str"/>
    </x:row>
    <x:row r="3">
      <x:c r="A3" s="6" t="str">
        <x:v>Chỉ số</x:v>
      </x:c>
      <x:c r="B3" s="6" t="str">
        <x:v>Giá trị</x:v>
      </x:c>
      <x:c r="C3" s="6" t="str">
        <x:v>Công thức</x:v>
      </x:c>
    </x:row>
    <x:row r="4">
      <x:c r="A4" t="str">
        <x:v>Tổng dự toán</x:v>
      </x:c>
      <x:c r="B4" s="12" t="n">
        <x:f>SUM(Du_toan_ngan_sach!L:L)</x:f>
        <x:v>322263000000</x:v>
      </x:c>
      <x:c r="C4" t="str">
        <x:v>SUM Thành tiền</x:v>
      </x:c>
    </x:row>
    <x:row r="5">
      <x:c r="A5" t="str">
        <x:v>Tổng kế hoạch chi tiêu</x:v>
      </x:c>
      <x:c r="B5" s="12" t="n">
        <x:f>SUM(Ke_hoach_chi_tieu!E:E)</x:f>
        <x:v>16250000000</x:v>
      </x:c>
      <x:c r="C5" t="str">
        <x:v>SUM Ngân sách kế hoạch</x:v>
      </x:c>
    </x:row>
    <x:row r="6">
      <x:c r="A6" t="str">
        <x:v>Tổng thực chi kế hoạch</x:v>
      </x:c>
      <x:c r="B6" s="12" t="n">
        <x:f>SUM(Ke_hoach_chi_tieu!F:F)</x:f>
        <x:v>15656895669</x:v>
      </x:c>
      <x:c r="C6" t="str">
        <x:v>SUM Thực chi</x:v>
      </x:c>
    </x:row>
    <x:row r="7">
      <x:c r="A7" t="str">
        <x:v>Tổng đề nghị thanh toán</x:v>
      </x:c>
      <x:c r="B7" s="12" t="n">
        <x:f>SUM(De_nghi_thanh_toan!K:K)</x:f>
        <x:v>13704900000</x:v>
      </x:c>
      <x:c r="C7" t="str">
        <x:v>SUM Tổng thanh toán</x:v>
      </x:c>
    </x:row>
    <x:row r="8">
      <x:c r="A8" t="str">
        <x:v>Tỷ lệ sử dụng kế hoạch</x:v>
      </x:c>
      <x:c r="B8" s="14" t="n">
        <x:f>IFERROR(B4/B3,0)</x:f>
        <x:v>0</x:v>
      </x:c>
      <x:c r="C8" t="str">
        <x:v>Thực chi/Kế hoạch</x:v>
      </x:c>
    </x:row>
    <x:row r="9">
      <x:c r="A9" t="str">
        <x:v>Số đề nghị đã thanh toán</x:v>
      </x:c>
      <x:c r="B9" t="n">
        <x:f>COUNTIF(De_nghi_thanh_toan!M:M,"Đã thanh toán")</x:f>
        <x:v>111</x:v>
      </x:c>
      <x:c r="C9" t="str">
        <x:v>COUNTIF</x:v>
      </x:c>
    </x:row>
    <x:row r="10">
      <x:c r="A10" t="str">
        <x:v>Số đề nghị cần bổ sung hồ sơ</x:v>
      </x:c>
      <x:c r="B10" t="n">
        <x:f>COUNTIF(De_nghi_thanh_toan!M:M,"Cần bổ sung hồ sơ")</x:f>
        <x:v>14</x:v>
      </x:c>
      <x:c r="C10" t="str">
        <x:v>COUNTIF</x:v>
      </x:c>
    </x:row>
    <x:row r="13">
      <x:c r="A13" s="6" t="str">
        <x:v>Tháng</x:v>
      </x:c>
      <x:c r="B13" s="6" t="str">
        <x:v>Kế hoạch</x:v>
      </x:c>
      <x:c r="C13" s="6" t="str">
        <x:v>Thực chi</x:v>
      </x:c>
      <x:c r="D13" s="6" t="str">
        <x:v>Tỷ lệ sử dụng</x:v>
      </x:c>
    </x:row>
    <x:row r="14">
      <x:c r="A14" t="str">
        <x:v>2026-01</x:v>
      </x:c>
      <x:c r="B14" s="12" t="n">
        <x:f>SUMIF(Ke_hoach_chi_tieu!B:B,A14,Ke_hoach_chi_tieu!E:E)</x:f>
        <x:v>1450000000</x:v>
      </x:c>
      <x:c r="C14" s="12" t="n">
        <x:f>SUMIF(Ke_hoach_chi_tieu!B:B,A14,Ke_hoach_chi_tieu!F:F)</x:f>
        <x:v>1505011991</x:v>
      </x:c>
      <x:c r="D14" s="14" t="n">
        <x:f>IFERROR(C14/B14,0)</x:f>
        <x:v>1.037939304137931</x:v>
      </x:c>
    </x:row>
    <x:row r="15">
      <x:c r="A15" t="str">
        <x:v>2026-02</x:v>
      </x:c>
      <x:c r="B15" s="12" t="n">
        <x:f>SUMIF(Ke_hoach_chi_tieu!B:B,A15,Ke_hoach_chi_tieu!E:E)</x:f>
        <x:v>700000000</x:v>
      </x:c>
      <x:c r="C15" s="12" t="n">
        <x:f>SUMIF(Ke_hoach_chi_tieu!B:B,A15,Ke_hoach_chi_tieu!F:F)</x:f>
        <x:v>669450772</x:v>
      </x:c>
      <x:c r="D15" s="14" t="n">
        <x:f>IFERROR(C15/B15,0)</x:f>
        <x:v>0.9563582457142857</x:v>
      </x:c>
    </x:row>
    <x:row r="16">
      <x:c r="A16" t="str">
        <x:v>2026-03</x:v>
      </x:c>
      <x:c r="B16" s="12" t="n">
        <x:f>SUMIF(Ke_hoach_chi_tieu!B:B,A16,Ke_hoach_chi_tieu!E:E)</x:f>
        <x:v>1400000000</x:v>
      </x:c>
      <x:c r="C16" s="12" t="n">
        <x:f>SUMIF(Ke_hoach_chi_tieu!B:B,A16,Ke_hoach_chi_tieu!F:F)</x:f>
        <x:v>1289948104</x:v>
      </x:c>
      <x:c r="D16" s="14" t="n">
        <x:f>IFERROR(C16/B16,0)</x:f>
        <x:v>0.9213915028571429</x:v>
      </x:c>
    </x:row>
    <x:row r="17">
      <x:c r="A17" t="str">
        <x:v>2026-04</x:v>
      </x:c>
      <x:c r="B17" s="12" t="n">
        <x:f>SUMIF(Ke_hoach_chi_tieu!B:B,A17,Ke_hoach_chi_tieu!E:E)</x:f>
        <x:v>1850000000</x:v>
      </x:c>
      <x:c r="C17" s="12" t="n">
        <x:f>SUMIF(Ke_hoach_chi_tieu!B:B,A17,Ke_hoach_chi_tieu!F:F)</x:f>
        <x:v>1932960862</x:v>
      </x:c>
      <x:c r="D17" s="14" t="n">
        <x:f>IFERROR(C17/B17,0)</x:f>
        <x:v>1.0448437091891891</x:v>
      </x:c>
    </x:row>
    <x:row r="18">
      <x:c r="A18" t="str">
        <x:v>2026-05</x:v>
      </x:c>
      <x:c r="B18" s="12" t="n">
        <x:f>SUMIF(Ke_hoach_chi_tieu!B:B,A18,Ke_hoach_chi_tieu!E:E)</x:f>
        <x:v>1330000000</x:v>
      </x:c>
      <x:c r="C18" s="12" t="n">
        <x:f>SUMIF(Ke_hoach_chi_tieu!B:B,A18,Ke_hoach_chi_tieu!F:F)</x:f>
        <x:v>1249435500</x:v>
      </x:c>
      <x:c r="D18" s="14" t="n">
        <x:f>IFERROR(C18/B18,0)</x:f>
        <x:v>0.9394251879699248</x:v>
      </x:c>
    </x:row>
    <x:row r="19">
      <x:c r="A19" t="str">
        <x:v>2026-06</x:v>
      </x:c>
      <x:c r="B19" s="12" t="n">
        <x:f>SUMIF(Ke_hoach_chi_tieu!B:B,A19,Ke_hoach_chi_tieu!E:E)</x:f>
        <x:v>1330000000</x:v>
      </x:c>
      <x:c r="C19" s="12" t="n">
        <x:f>SUMIF(Ke_hoach_chi_tieu!B:B,A19,Ke_hoach_chi_tieu!F:F)</x:f>
        <x:v>1295559652</x:v>
      </x:c>
      <x:c r="D19" s="14" t="n">
        <x:f>IFERROR(C19/B19,0)</x:f>
        <x:v>0.9741050015037594</x:v>
      </x:c>
    </x:row>
    <x:row r="20">
      <x:c r="A20" t="str">
        <x:v>2026-07</x:v>
      </x:c>
      <x:c r="B20" s="12" t="n">
        <x:f>SUMIF(Ke_hoach_chi_tieu!B:B,A20,Ke_hoach_chi_tieu!E:E)</x:f>
        <x:v>1090000000</x:v>
      </x:c>
      <x:c r="C20" s="12" t="n">
        <x:f>SUMIF(Ke_hoach_chi_tieu!B:B,A20,Ke_hoach_chi_tieu!F:F)</x:f>
        <x:v>1047773489</x:v>
      </x:c>
      <x:c r="D20" s="14" t="n">
        <x:f>IFERROR(C20/B20,0)</x:f>
        <x:v>0.9612600816513761</x:v>
      </x:c>
    </x:row>
    <x:row r="21">
      <x:c r="A21" t="str">
        <x:v>2026-08</x:v>
      </x:c>
      <x:c r="B21" s="12" t="n">
        <x:f>SUMIF(Ke_hoach_chi_tieu!B:B,A21,Ke_hoach_chi_tieu!E:E)</x:f>
        <x:v>1220000000</x:v>
      </x:c>
      <x:c r="C21" s="12" t="n">
        <x:f>SUMIF(Ke_hoach_chi_tieu!B:B,A21,Ke_hoach_chi_tieu!F:F)</x:f>
        <x:v>1219884418</x:v>
      </x:c>
      <x:c r="D21" s="14" t="n">
        <x:f>IFERROR(C21/B21,0)</x:f>
        <x:v>0.9999052606557377</x:v>
      </x:c>
    </x:row>
    <x:row r="22">
      <x:c r="A22" t="str">
        <x:v>2026-09</x:v>
      </x:c>
      <x:c r="B22" s="12" t="n">
        <x:f>SUMIF(Ke_hoach_chi_tieu!B:B,A22,Ke_hoach_chi_tieu!E:E)</x:f>
        <x:v>1130000000</x:v>
      </x:c>
      <x:c r="C22" s="12" t="n">
        <x:f>SUMIF(Ke_hoach_chi_tieu!B:B,A22,Ke_hoach_chi_tieu!F:F)</x:f>
        <x:v>1066201658</x:v>
      </x:c>
      <x:c r="D22" s="14" t="n">
        <x:f>IFERROR(C22/B22,0)</x:f>
        <x:v>0.9435412902654867</x:v>
      </x:c>
    </x:row>
    <x:row r="23">
      <x:c r="A23" t="str">
        <x:v>2026-10</x:v>
      </x:c>
      <x:c r="B23" s="12" t="n">
        <x:f>SUMIF(Ke_hoach_chi_tieu!B:B,A23,Ke_hoach_chi_tieu!E:E)</x:f>
        <x:v>1640000000</x:v>
      </x:c>
      <x:c r="C23" s="12" t="n">
        <x:f>SUMIF(Ke_hoach_chi_tieu!B:B,A23,Ke_hoach_chi_tieu!F:F)</x:f>
        <x:v>1470141767</x:v>
      </x:c>
      <x:c r="D23" s="14" t="n">
        <x:f>IFERROR(C23/B23,0)</x:f>
        <x:v>0.8964279067073171</x:v>
      </x:c>
    </x:row>
    <x:row r="24">
      <x:c r="A24" t="str">
        <x:v>2026-11</x:v>
      </x:c>
      <x:c r="B24" s="12" t="n">
        <x:f>SUMIF(Ke_hoach_chi_tieu!B:B,A24,Ke_hoach_chi_tieu!E:E)</x:f>
        <x:v>1330000000</x:v>
      </x:c>
      <x:c r="C24" s="12" t="n">
        <x:f>SUMIF(Ke_hoach_chi_tieu!B:B,A24,Ke_hoach_chi_tieu!F:F)</x:f>
        <x:v>1287578423</x:v>
      </x:c>
      <x:c r="D24" s="14" t="n">
        <x:f>IFERROR(C24/B24,0)</x:f>
        <x:v>0.968104077443609</x:v>
      </x:c>
    </x:row>
    <x:row r="25">
      <x:c r="A25" t="str">
        <x:v>2026-12</x:v>
      </x:c>
      <x:c r="B25" s="12" t="n">
        <x:f>SUMIF(Ke_hoach_chi_tieu!B:B,A25,Ke_hoach_chi_tieu!E:E)</x:f>
        <x:v>1780000000</x:v>
      </x:c>
      <x:c r="C25" s="12" t="n">
        <x:f>SUMIF(Ke_hoach_chi_tieu!B:B,A25,Ke_hoach_chi_tieu!F:F)</x:f>
        <x:v>1622949033</x:v>
      </x:c>
      <x:c r="D25" s="14" t="n">
        <x:f>IFERROR(C25/B25,0)</x:f>
        <x:v>0.9117691196629214</x:v>
      </x:c>
    </x:row>
    <x:row r="28">
      <x:c r="A28" s="6" t="str">
        <x:v>Chương trình</x:v>
      </x:c>
      <x:c r="B28" s="6" t="str">
        <x:v>Tổng thanh toán</x:v>
      </x:c>
    </x:row>
    <x:row r="29">
      <x:c r="A29" t="str">
        <x:v>Tuyển sinh đại học chính quy</x:v>
      </x:c>
      <x:c r="B29" s="12" t="n">
        <x:f>SUMIF(De_nghi_thanh_toan!F:F,A29,De_nghi_thanh_toan!K:K)</x:f>
        <x:v>1050500000</x:v>
      </x:c>
    </x:row>
    <x:row r="30">
      <x:c r="A30" t="str">
        <x:v>Tư vấn tuyển sinh THPT</x:v>
      </x:c>
      <x:c r="B30" s="12" t="n">
        <x:f>SUMIF(De_nghi_thanh_toan!F:F,A30,De_nghi_thanh_toan!K:K)</x:f>
        <x:v>1713800000</x:v>
      </x:c>
    </x:row>
    <x:row r="31">
      <x:c r="A31" t="str">
        <x:v>Open Day / Campus Tour</x:v>
      </x:c>
      <x:c r="B31" s="12" t="n">
        <x:f>SUMIF(De_nghi_thanh_toan!F:F,A31,De_nghi_thanh_toan!K:K)</x:f>
        <x:v>1096700000</x:v>
      </x:c>
    </x:row>
    <x:row r="32">
      <x:c r="A32" t="str">
        <x:v>Digital Admission Campaign</x:v>
      </x:c>
      <x:c r="B32" s="12" t="n">
        <x:f>SUMIF(De_nghi_thanh_toan!F:F,A32,De_nghi_thanh_toan!K:K)</x:f>
        <x:v>991100000</x:v>
      </x:c>
    </x:row>
    <x:row r="33">
      <x:c r="A33" t="str">
        <x:v>Học bổng tuyển sinh</x:v>
      </x:c>
      <x:c r="B33" s="12" t="n">
        <x:f>SUMIF(De_nghi_thanh_toan!F:F,A33,De_nghi_thanh_toan!K:K)</x:f>
        <x:v>1064800000</x:v>
      </x:c>
    </x:row>
    <x:row r="34">
      <x:c r="A34" t="str">
        <x:v>Sự kiện phụ huynh</x:v>
      </x:c>
      <x:c r="B34" s="12" t="n">
        <x:f>SUMIF(De_nghi_thanh_toan!F:F,A34,De_nghi_thanh_toan!K:K)</x:f>
        <x:v>740300000</x:v>
      </x:c>
    </x:row>
    <x:row r="35">
      <x:c r="A35" t="str">
        <x:v>Tuyển sinh sau đại học</x:v>
      </x:c>
      <x:c r="B35" s="12" t="n">
        <x:f>SUMIF(De_nghi_thanh_toan!F:F,A35,De_nghi_thanh_toan!K:K)</x:f>
        <x:v>1857900000</x:v>
      </x:c>
    </x:row>
    <x:row r="36">
      <x:c r="A36" t="str">
        <x:v>International Recruitment</x:v>
      </x:c>
      <x:c r="B36" s="12" t="n">
        <x:f>SUMIF(De_nghi_thanh_toan!F:F,A36,De_nghi_thanh_toan!K:K)</x:f>
        <x:v>1573000000</x:v>
      </x:c>
    </x:row>
    <x:row r="37">
      <x:c r="A37" t="str">
        <x:v>CRM &amp; Admission System</x:v>
      </x:c>
      <x:c r="B37" s="12" t="n">
        <x:f>SUMIF(De_nghi_thanh_toan!F:F,A37,De_nghi_thanh_toan!K:K)</x:f>
        <x:v>847000000</x:v>
      </x:c>
    </x:row>
    <x:row r="38">
      <x:c r="A38" t="str">
        <x:v>Đào tạo cộng tác viên tuyển sinh</x:v>
      </x:c>
      <x:c r="B38" s="12" t="n">
        <x:f>SUMIF(De_nghi_thanh_toan!F:F,A38,De_nghi_thanh_toan!K:K)</x:f>
        <x:v>973500000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c086c3adc3948eb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</x:cols>
  <x:sheetData>
    <x:row r="1">
      <x:c r="A1" s="6" t="str">
        <x:v>Chương trình</x:v>
      </x:c>
    </x:row>
    <x:row r="2">
      <x:c r="A2" t="str">
        <x:v>Tuyển sinh đại học chính quy</x:v>
      </x:c>
    </x:row>
    <x:row r="3">
      <x:c r="A3" t="str">
        <x:v>Tư vấn tuyển sinh THPT</x:v>
      </x:c>
    </x:row>
    <x:row r="4">
      <x:c r="A4" t="str">
        <x:v>Open Day / Campus Tour</x:v>
      </x:c>
    </x:row>
    <x:row r="5">
      <x:c r="A5" t="str">
        <x:v>Digital Admission Campaign</x:v>
      </x:c>
    </x:row>
    <x:row r="6">
      <x:c r="A6" t="str">
        <x:v>Học bổng tuyển sinh</x:v>
      </x:c>
    </x:row>
    <x:row r="7">
      <x:c r="A7" t="str">
        <x:v>Sự kiện phụ huynh</x:v>
      </x:c>
    </x:row>
    <x:row r="8">
      <x:c r="A8" t="str">
        <x:v>Tuyển sinh sau đại học</x:v>
      </x:c>
    </x:row>
    <x:row r="9">
      <x:c r="A9" t="str">
        <x:v>International Recruitment</x:v>
      </x:c>
    </x:row>
    <x:row r="10">
      <x:c r="A10" t="str">
        <x:v>CRM &amp; Admission System</x:v>
      </x:c>
    </x:row>
    <x:row r="11">
      <x:c r="A11" t="str">
        <x:v>Đào tạo cộng tác viên tuyển sinh</x:v>
      </x:c>
    </x:row>
    <x:row r="12">
      <x:c r="A12" t="str">
        <x:v>Ngày hội tuyển sinh</x:v>
      </x:c>
    </x:row>
    <x:row r="13">
      <x:c r="A13" t="str">
        <x:v>Sản xuất học liệu truyền thông</x:v>
      </x:c>
    </x:row>
    <x:row r="14">
      <x:c r="A14" t="str"/>
    </x:row>
    <x:row r="15">
      <x:c r="A15" t="str">
        <x:v>Trạng thái</x:v>
      </x:c>
    </x:row>
    <x:row r="16">
      <x:c r="A16" t="str">
        <x:v>Chờ duyệt</x:v>
      </x:c>
    </x:row>
    <x:row r="17">
      <x:c r="A17" t="str">
        <x:v>Đã duyệt</x:v>
      </x:c>
    </x:row>
    <x:row r="18">
      <x:c r="A18" t="str">
        <x:v>Đã thanh toán</x:v>
      </x:c>
    </x:row>
    <x:row r="19">
      <x:c r="A19" t="str">
        <x:v>Cần bổ sung hồ sơ</x:v>
      </x:c>
    </x:row>
    <x:row r="20">
      <x:c r="A20" t="str">
        <x:v>Tạm dừng</x:v>
      </x:c>
    </x:row>
    <x:row r="21">
      <x:c r="A21" t="str"/>
    </x:row>
    <x:row r="22">
      <x:c r="A22" t="str">
        <x:v>Ưu tiên</x:v>
      </x:c>
    </x:row>
    <x:row r="23">
      <x:c r="A23" t="str">
        <x:v>Cao</x:v>
      </x:c>
    </x:row>
    <x:row r="24">
      <x:c r="A24" t="str">
        <x:v>Trung bình</x:v>
      </x:c>
    </x:row>
    <x:row r="25">
      <x:c r="A25" t="str">
        <x:v>Thấp</x:v>
      </x:c>
    </x:row>
    <x:row r="26">
      <x:c r="A26" t="str"/>
    </x:row>
    <x:row r="27">
      <x:c r="A27" t="str">
        <x:v>Nhà cung cấp</x:v>
      </x:c>
    </x:row>
    <x:row r="28">
      <x:c r="A28" t="str">
        <x:v>Công ty Truyền thông Sao Việt</x:v>
      </x:c>
    </x:row>
    <x:row r="29">
      <x:c r="A29" t="str">
        <x:v>Meta Ads Vietnam</x:v>
      </x:c>
    </x:row>
    <x:row r="30">
      <x:c r="A30" t="str">
        <x:v>Google Asia Pacific</x:v>
      </x:c>
    </x:row>
    <x:row r="31">
      <x:c r="A31" t="str">
        <x:v>Công ty EventPlus</x:v>
      </x:c>
    </x:row>
    <x:row r="32">
      <x:c r="A32" t="str">
        <x:v>Công ty In ấn Minh Long</x:v>
      </x:c>
    </x:row>
    <x:row r="33">
      <x:c r="A33" t="str">
        <x:v>Nền tảng CRM EduFlow</x:v>
      </x:c>
    </x:row>
    <x:row r="34">
      <x:c r="A34" t="str">
        <x:v>Công ty Quà tặng ABC</x:v>
      </x:c>
    </x:row>
    <x:row r="35">
      <x:c r="A35" t="str">
        <x:v>Trung tâm Hội nghị Quốc gia</x:v>
      </x:c>
    </x:row>
    <x:row r="36">
      <x:c r="A36" t="str">
        <x:v>Dịch vụ Logistics Thành Công</x:v>
      </x:c>
    </x:row>
    <x:row r="37">
      <x:c r="A37" t="str">
        <x:v>Công ty Sản xuất Video FrameX</x:v>
      </x:c>
    </x:row>
    <x:row r="38">
      <x:c r="A38" t="str">
        <x:v>Nhà cung cấp Email/SMS EduConnect</x:v>
      </x:c>
    </x:row>
    <x:row r="39">
      <x:c r="A39" t="str">
        <x:v>Công ty Thiết kế Web Nova</x:v>
      </x:c>
    </x:row>
    <x:row r="40">
      <x:c r="A40" t="str">
        <x:v>Trường THPT đối tác</x:v>
      </x:c>
    </x:row>
    <x:row r="41">
      <x:c r="A41" t="str">
        <x:v>Công ty Nghiên cứu thị trường Insight</x:v>
      </x:c>
    </x:row>
  </x:sheetData>
  <x:pageMargins left="0.7" right="0.7" top="0.75" bottom="0.75" header="0.3" footer="0.3"/>
</x:worksheet>
</file>