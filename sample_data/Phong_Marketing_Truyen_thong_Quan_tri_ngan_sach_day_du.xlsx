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f136da93804b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u_toan_ngan_sach" sheetId="1" r:id="Rd9a11f61a56e43be"/>
    <x:sheet xmlns:r="http://schemas.openxmlformats.org/officeDocument/2006/relationships" name="Ke_hoach_chi_tieu" sheetId="2" r:id="R6d61adfe9cee4c1f"/>
    <x:sheet xmlns:r="http://schemas.openxmlformats.org/officeDocument/2006/relationships" name="De_nghi_thanh_toan" sheetId="3" r:id="Re00ace74665e45ad"/>
    <x:sheet xmlns:r="http://schemas.openxmlformats.org/officeDocument/2006/relationships" name="Dashboard" sheetId="4" r:id="Reb1e8d2130c04615"/>
    <x:sheet xmlns:r="http://schemas.openxmlformats.org/officeDocument/2006/relationships" name="Danh_muc" sheetId="5" r:id="R1a6a85308a2d489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yyyy-mm"/>
    <x:numFmt numFmtId="202" formatCode="0%"/>
    <x:numFmt numFmtId="203" formatCode="yyyy-mm-dd"/>
  </x:numFmts>
  <x:fonts count="3">
    <x:font>
      <x:sz val="11"/>
      <x:name val="Carlito"/>
    </x:font>
    <x:font>
      <x:b/>
      <x:sz val="11"/>
      <x:color rgb="FFFFFF"/>
      <x:name val="Carlito"/>
    </x:font>
    <x:font>
      <x:b/>
      <x:sz val="16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203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</x:cellXfs>
  <x:cellStyles count="1">
    <x:cellStyle name="Normal" xfId="0"/>
  </x:cellStyles>
  <x:dxfs count="2">
    <x:dxf>
      <x:fill>
        <x:patternFill patternType="solid">
          <x:bgColor rgb="FCA5A5"/>
        </x:patternFill>
      </x:fill>
    </x:dxf>
    <x:dxf>
      <x:fill>
        <x:patternFill patternType="solid">
          <x:bgColor rgb="FDE68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63d22500334c2e" /><Relationship Type="http://schemas.openxmlformats.org/officeDocument/2006/relationships/theme" Target="/xl/theme/theme1.xml" Id="R50c9b8a8dec048dc" /><Relationship Type="http://schemas.openxmlformats.org/officeDocument/2006/relationships/sharedStrings" Target="/xl/sharedStrings.xml" Id="R854455e261d94341" /><Relationship Type="http://schemas.openxmlformats.org/officeDocument/2006/relationships/worksheet" Target="/xl/worksheets/sheet1.xml" Id="Rd9a11f61a56e43be" /><Relationship Type="http://schemas.openxmlformats.org/officeDocument/2006/relationships/worksheet" Target="/xl/worksheets/sheet2.xml" Id="R6d61adfe9cee4c1f" /><Relationship Type="http://schemas.openxmlformats.org/officeDocument/2006/relationships/worksheet" Target="/xl/worksheets/sheet3.xml" Id="Re00ace74665e45ad" /><Relationship Type="http://schemas.openxmlformats.org/officeDocument/2006/relationships/worksheet" Target="/xl/worksheets/sheet4.xml" Id="Reb1e8d2130c04615" /><Relationship Type="http://schemas.openxmlformats.org/officeDocument/2006/relationships/worksheet" Target="/xl/worksheets/sheet5.xml" Id="R1a6a85308a2d489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08855086c25440e" /><Relationship Type="http://schemas.openxmlformats.org/officeDocument/2006/relationships/chart" Target="/xl/drawings/charts/chart2.xml" Id="Rd18bd50765674fb9" /><Relationship Type="http://schemas.openxmlformats.org/officeDocument/2006/relationships/chart" Target="/xl/drawings/charts/chart3.xml" Id="Rcb25748d5c074d1d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v>Dự toán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'Dashboard'!$E$4:$E$7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Thực chi</c:v>
          </c:tx>
          <c:cat>
            <c:strRef>
              <c:f>'Dashboard'!$D$4:$D$7</c:f>
              <c:strCache>
                <c:ptCount val="0"/>
              </c:strCache>
            </c:strRef>
          </c:cat>
          <c:val>
            <c:numRef>
              <c:f>'Dashboard'!$F$4:$F$7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plotArea>
      <c:layout/>
      <c:barChart>
        <c:barDir val="col"/>
        <c:varyColors val="0"/>
        <c:ser>
          <c:idx val="0"/>
          <c:order val="0"/>
          <c:tx>
            <c:v>Dự toán</c:v>
          </c:tx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'Dashboard'!$B$12:$B$21</c:f>
              <c:numCache>
                <c:formatCode>#,##0</c:formatCode>
                <c:ptCount val="0"/>
              </c:numCache>
            </c:numRef>
          </c:val>
        </c:ser>
        <c:ser>
          <c:idx val="1"/>
          <c:order val="1"/>
          <c:tx>
            <c:v>Thực chi</c:v>
          </c:tx>
          <c:cat>
            <c:strRef>
              <c:f>'Dashboard'!$A$12:$A$21</c:f>
              <c:strCache>
                <c:ptCount val="0"/>
              </c:strCache>
            </c:strRef>
          </c:cat>
          <c:val>
            <c:numRef>
              <c:f>'Dashboard'!$C$12:$C$21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plotArea>
      <c:layout/>
      <c:pieChart>
        <c:ser>
          <c:idx val="0"/>
          <c:order val="0"/>
          <c:tx>
            <c:v>Tổng giá trị</c:v>
          </c:tx>
          <c:cat>
            <c:strRef>
              <c:f>'Dashboard'!$F$12:$F$15</c:f>
              <c:strCache>
                <c:ptCount val="0"/>
              </c:strCache>
            </c:strRef>
          </c:cat>
          <c:val>
            <c:numRef>
              <c:f>'Dashboard'!$G$12:$G$15</c:f>
              <c:numCache>
                <c:formatCode>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</c:pie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2</xdr:row>
      <xdr:rowOff>0</xdr:rowOff>
    </xdr:from>
    <xdr:to>
      <xdr:col>16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08855086c25440e"/>
        </a:graphicData>
      </a:graphic>
    </xdr:graphicFrame>
    <xdr:clientData/>
  </xdr:twoCellAnchor>
  <xdr:twoCellAnchor>
    <xdr:from>
      <xdr:col>8</xdr:col>
      <xdr:colOff>0</xdr:colOff>
      <xdr:row>19</xdr:row>
      <xdr:rowOff>0</xdr:rowOff>
    </xdr:from>
    <xdr:to>
      <xdr:col>16</xdr:col>
      <xdr:colOff>0</xdr:colOff>
      <xdr:row>38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18bd50765674fb9"/>
        </a:graphicData>
      </a:graphic>
    </xdr:graphicFrame>
    <xdr:clientData/>
  </xdr:twoCellAnchor>
  <xdr:twoCellAnchor>
    <xdr:from>
      <xdr:col>0</xdr:col>
      <xdr:colOff>0</xdr:colOff>
      <xdr:row>23</xdr:row>
      <xdr:rowOff>0</xdr:rowOff>
    </xdr:from>
    <xdr:to>
      <xdr:col>8</xdr:col>
      <xdr:colOff>0</xdr:colOff>
      <xdr:row>40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cb25748d5c074d1d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udgetMarketingTable" displayName="BudgetMarketingTable" ref="A1:L151" headerRowCount="1">
  <x:tableColumns count="12">
    <x:tableColumn id="1" name="Mã dự toán"/>
    <x:tableColumn id="2" name="Năm"/>
    <x:tableColumn id="3" name="Quý"/>
    <x:tableColumn id="4" name="Chương trình"/>
    <x:tableColumn id="5" name="Hạng mục"/>
    <x:tableColumn id="6" name="Mô tả"/>
    <x:tableColumn id="7" name="Đơn vị tính"/>
    <x:tableColumn id="8" name="Số lượng"/>
    <x:tableColumn id="9" name="Đơn giá (VND)"/>
    <x:tableColumn id="10" name="Thành tiền (VND)"/>
    <x:tableColumn id="11" name="Ưu tiên"/>
    <x:tableColumn id="12" name="Ghi chú"/>
  </x:tableColumns>
  <x:tableStyleInfo name="TableStyleMedium2" showRowStripes="1"/>
</x:table>
</file>

<file path=xl/tables/table2.xml><?xml version="1.0" encoding="utf-8"?>
<x:table xmlns:x="http://schemas.openxmlformats.org/spreadsheetml/2006/main" id="2" name="MonthlyMarketingTable" displayName="MonthlyMarketingTable" ref="A1:J121" headerRowCount="1">
  <x:tableColumns count="10">
    <x:tableColumn id="1" name="Tháng"/>
    <x:tableColumn id="2" name="Quý"/>
    <x:tableColumn id="3" name="Chương trình"/>
    <x:tableColumn id="4" name="Ngân sách kế hoạch (VND)"/>
    <x:tableColumn id="5" name="Thực chi (VND)"/>
    <x:tableColumn id="6" name="Chênh lệch (VND)"/>
    <x:tableColumn id="7" name="Tỷ lệ sử dụng"/>
    <x:tableColumn id="8" name="Cảnh báo"/>
    <x:tableColumn id="9" name="Người phụ trách"/>
    <x:tableColumn id="10" name="Ghi chú"/>
  </x:tableColumns>
  <x:tableStyleInfo name="TableStyleMedium2" showRowStripes="1"/>
</x:table>
</file>

<file path=xl/tables/table3.xml><?xml version="1.0" encoding="utf-8"?>
<x:table xmlns:x="http://schemas.openxmlformats.org/spreadsheetml/2006/main" id="3" name="PaymentMarketingTable" displayName="PaymentMarketingTable" ref="A1:L251" headerRowCount="1">
  <x:tableColumns count="12">
    <x:tableColumn id="1" name="Mã đề nghị"/>
    <x:tableColumn id="2" name="Ngày đề nghị"/>
    <x:tableColumn id="3" name="Quý"/>
    <x:tableColumn id="4" name="Chương trình"/>
    <x:tableColumn id="5" name="Nhà cung cấp"/>
    <x:tableColumn id="6" name="Nội dung thanh toán"/>
    <x:tableColumn id="7" name="Giá trị trước VAT (VND)"/>
    <x:tableColumn id="8" name="VAT 10%"/>
    <x:tableColumn id="9" name="Tổng thanh toán (VND)"/>
    <x:tableColumn id="10" name="Trạng thái"/>
    <x:tableColumn id="11" name="Người đề nghị"/>
    <x:tableColumn id="12" name="Mã dự toán liên quan"/>
  </x:tableColumns>
  <x:tableStyleInfo name="TableStyleMedium2" showRowStripes="1"/>
</x:table>
</file>

<file path=xl/tables/table4.xml><?xml version="1.0" encoding="utf-8"?>
<x:table xmlns:x="http://schemas.openxmlformats.org/spreadsheetml/2006/main" id="4" name="CategoryMarketingTable" displayName="CategoryMarketingTable" ref="A1:D16" headerRowCount="1">
  <x:tableColumns count="4">
    <x:tableColumn id="1" name="Chương trình"/>
    <x:tableColumn id="2" name="Trạng thái"/>
    <x:tableColumn id="3" name="Ưu tiên"/>
    <x:tableColumn id="4" name="Nhà cung cấp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4125732963b45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772ddc0dd0543b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f6a1a1c9f5b4e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6aa1b1c2d46e43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2e2667e5d4e4b1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Mã dự toán</x:v>
      </x:c>
      <x:c r="B1" s="6" t="str">
        <x:v>Năm</x:v>
      </x:c>
      <x:c r="C1" s="6" t="str">
        <x:v>Quý</x:v>
      </x:c>
      <x:c r="D1" s="6" t="str">
        <x:v>Chương trình</x:v>
      </x:c>
      <x:c r="E1" s="6" t="str">
        <x:v>Hạng mục</x:v>
      </x:c>
      <x:c r="F1" s="6" t="str">
        <x:v>Mô tả</x:v>
      </x:c>
      <x:c r="G1" s="6" t="str">
        <x:v>Đơn vị tính</x:v>
      </x:c>
      <x:c r="H1" s="6" t="str">
        <x:v>Số lượng</x:v>
      </x:c>
      <x:c r="I1" s="6" t="str">
        <x:v>Đơn giá (VND)</x:v>
      </x:c>
      <x:c r="J1" s="6" t="str">
        <x:v>Thành tiền (VND)</x:v>
      </x:c>
      <x:c r="K1" s="6" t="str">
        <x:v>Ưu tiên</x:v>
      </x:c>
      <x:c r="L1" s="6" t="str">
        <x:v>Ghi chú</x:v>
      </x:c>
    </x:row>
    <x:row r="2">
      <x:c r="A2" s="12" t="str">
        <x:v>DT-MKT-2026-001</x:v>
      </x:c>
      <x:c r="B2" s="12" t="n">
        <x:v>2026</x:v>
      </x:c>
      <x:c r="C2" s="12" t="str">
        <x:v>Q1</x:v>
      </x:c>
      <x:c r="D2" s="12" t="str">
        <x:v>Quản trị thương hiệu</x:v>
      </x:c>
      <x:c r="E2" s="12" t="str">
        <x:v>Google Ads</x:v>
      </x:c>
      <x:c r="F2" s="12" t="str">
        <x:v>Kinh phí google ads cho quản trị thương hiệu</x:v>
      </x:c>
      <x:c r="G2" s="12" t="str">
        <x:v>Gói</x:v>
      </x:c>
      <x:c r="H2" s="12" t="n">
        <x:v>1</x:v>
      </x:c>
      <x:c r="I2" s="14" t="n">
        <x:v>80000000</x:v>
      </x:c>
      <x:c r="J2" s="14" t="n">
        <x:f>H2*I2</x:f>
        <x:v>80000000</x:v>
      </x:c>
      <x:c r="K2" s="12" t="str">
        <x:v>Cao</x:v>
      </x:c>
      <x:c r="L2" s="12" t="str">
        <x:v>Dữ liệu mẫu phục vụ demo quản trị ngân sách</x:v>
      </x:c>
    </x:row>
    <x:row r="3">
      <x:c r="A3" s="12" t="str">
        <x:v>DT-MKT-2026-002</x:v>
      </x:c>
      <x:c r="B3" s="12" t="n">
        <x:v>2026</x:v>
      </x:c>
      <x:c r="C3" s="12" t="str">
        <x:v>Q2</x:v>
      </x:c>
      <x:c r="D3" s="12" t="str">
        <x:v>Sản xuất nội dung</x:v>
      </x:c>
      <x:c r="E3" s="12" t="str">
        <x:v>Livestream</x:v>
      </x:c>
      <x:c r="F3" s="12" t="str">
        <x:v>Kinh phí livestream cho sản xuất nội dung</x:v>
      </x:c>
      <x:c r="G3" s="12" t="str">
        <x:v>Lượt</x:v>
      </x:c>
      <x:c r="H3" s="12" t="n">
        <x:v>7</x:v>
      </x:c>
      <x:c r="I3" s="14" t="n">
        <x:v>80000000</x:v>
      </x:c>
      <x:c r="J3" s="14" t="n">
        <x:f>H3*I3</x:f>
        <x:v>560000000</x:v>
      </x:c>
      <x:c r="K3" s="12" t="str">
        <x:v>Cao</x:v>
      </x:c>
      <x:c r="L3" s="12" t="str">
        <x:v>Dữ liệu mẫu phục vụ demo quản trị ngân sách</x:v>
      </x:c>
    </x:row>
    <x:row r="4">
      <x:c r="A4" s="12" t="str">
        <x:v>DT-MKT-2026-003</x:v>
      </x:c>
      <x:c r="B4" s="12" t="n">
        <x:v>2026</x:v>
      </x:c>
      <x:c r="C4" s="12" t="str">
        <x:v>Q3</x:v>
      </x:c>
      <x:c r="D4" s="12" t="str">
        <x:v>Nghiên cứu thị trường</x:v>
      </x:c>
      <x:c r="E4" s="12" t="str">
        <x:v>KOL/Influencer</x:v>
      </x:c>
      <x:c r="F4" s="12" t="str">
        <x:v>Kinh phí kol/influencer cho nghiên cứu thị trường</x:v>
      </x:c>
      <x:c r="G4" s="12" t="str">
        <x:v>Gói</x:v>
      </x:c>
      <x:c r="H4" s="12" t="n">
        <x:v>3</x:v>
      </x:c>
      <x:c r="I4" s="14" t="n">
        <x:v>5000000</x:v>
      </x:c>
      <x:c r="J4" s="14" t="n">
        <x:f>H4*I4</x:f>
        <x:v>15000000</x:v>
      </x:c>
      <x:c r="K4" s="12" t="str">
        <x:v>Cao</x:v>
      </x:c>
      <x:c r="L4" s="12" t="str">
        <x:v>Dữ liệu mẫu phục vụ demo quản trị ngân sách</x:v>
      </x:c>
    </x:row>
    <x:row r="5">
      <x:c r="A5" s="12" t="str">
        <x:v>DT-MKT-2026-004</x:v>
      </x:c>
      <x:c r="B5" s="12" t="n">
        <x:v>2026</x:v>
      </x:c>
      <x:c r="C5" s="12" t="str">
        <x:v>Q4</x:v>
      </x:c>
      <x:c r="D5" s="12" t="str">
        <x:v>Quan hệ báo chí</x:v>
      </x:c>
      <x:c r="E5" s="12" t="str">
        <x:v>Thiết kế ấn phẩm</x:v>
      </x:c>
      <x:c r="F5" s="12" t="str">
        <x:v>Kinh phí thiết kế ấn phẩm cho quan hệ báo chí</x:v>
      </x:c>
      <x:c r="G5" s="12" t="str">
        <x:v>Lượt</x:v>
      </x:c>
      <x:c r="H5" s="12" t="n">
        <x:v>33</x:v>
      </x:c>
      <x:c r="I5" s="14" t="n">
        <x:v>120000000</x:v>
      </x:c>
      <x:c r="J5" s="14" t="n">
        <x:f>H5*I5</x:f>
        <x:v>3960000000</x:v>
      </x:c>
      <x:c r="K5" s="12" t="str">
        <x:v>Cao</x:v>
      </x:c>
      <x:c r="L5" s="12" t="str">
        <x:v>Dữ liệu mẫu phục vụ demo quản trị ngân sách</x:v>
      </x:c>
    </x:row>
    <x:row r="6">
      <x:c r="A6" s="12" t="str">
        <x:v>DT-MKT-2026-005</x:v>
      </x:c>
      <x:c r="B6" s="12" t="n">
        <x:v>2026</x:v>
      </x:c>
      <x:c r="C6" s="12" t="str">
        <x:v>Q1</x:v>
      </x:c>
      <x:c r="D6" s="12" t="str">
        <x:v>Email Marketing</x:v>
      </x:c>
      <x:c r="E6" s="12" t="str">
        <x:v>Thiết kế ấn phẩm</x:v>
      </x:c>
      <x:c r="F6" s="12" t="str">
        <x:v>Kinh phí thiết kế ấn phẩm cho email marketing</x:v>
      </x:c>
      <x:c r="G6" s="12" t="str">
        <x:v>Lượt</x:v>
      </x:c>
      <x:c r="H6" s="12" t="n">
        <x:v>35</x:v>
      </x:c>
      <x:c r="I6" s="14" t="n">
        <x:v>30000000</x:v>
      </x:c>
      <x:c r="J6" s="14" t="n">
        <x:f>H6*I6</x:f>
        <x:v>1050000000</x:v>
      </x:c>
      <x:c r="K6" s="12" t="str">
        <x:v>Cao</x:v>
      </x:c>
      <x:c r="L6" s="12" t="str">
        <x:v>Dữ liệu mẫu phục vụ demo quản trị ngân sách</x:v>
      </x:c>
    </x:row>
    <x:row r="7">
      <x:c r="A7" s="12" t="str">
        <x:v>DT-MKT-2026-006</x:v>
      </x:c>
      <x:c r="B7" s="12" t="n">
        <x:v>2026</x:v>
      </x:c>
      <x:c r="C7" s="12" t="str">
        <x:v>Q2</x:v>
      </x:c>
      <x:c r="D7" s="12" t="str">
        <x:v>Video/Photo Production</x:v>
      </x:c>
      <x:c r="E7" s="12" t="str">
        <x:v>Chụp ảnh</x:v>
      </x:c>
      <x:c r="F7" s="12" t="str">
        <x:v>Kinh phí chụp ảnh cho video/photo production</x:v>
      </x:c>
      <x:c r="G7" s="12" t="str">
        <x:v>Lượt</x:v>
      </x:c>
      <x:c r="H7" s="12" t="n">
        <x:v>18</x:v>
      </x:c>
      <x:c r="I7" s="14" t="n">
        <x:v>5000000</x:v>
      </x:c>
      <x:c r="J7" s="14" t="n">
        <x:f>H7*I7</x:f>
        <x:v>90000000</x:v>
      </x:c>
      <x:c r="K7" s="12" t="str">
        <x:v>Cao</x:v>
      </x:c>
      <x:c r="L7" s="12" t="str">
        <x:v>Dữ liệu mẫu phục vụ demo quản trị ngân sách</x:v>
      </x:c>
    </x:row>
    <x:row r="8">
      <x:c r="A8" s="12" t="str">
        <x:v>DT-MKT-2026-007</x:v>
      </x:c>
      <x:c r="B8" s="12" t="n">
        <x:v>2026</x:v>
      </x:c>
      <x:c r="C8" s="12" t="str">
        <x:v>Q3</x:v>
      </x:c>
      <x:c r="D8" s="12" t="str">
        <x:v>Truyền thông nội bộ</x:v>
      </x:c>
      <x:c r="E8" s="12" t="str">
        <x:v>KOL/Influencer</x:v>
      </x:c>
      <x:c r="F8" s="12" t="str">
        <x:v>Kinh phí kol/influencer cho truyền thông nội bộ</x:v>
      </x:c>
      <x:c r="G8" s="12" t="str">
        <x:v>Lượt</x:v>
      </x:c>
      <x:c r="H8" s="12" t="n">
        <x:v>22</x:v>
      </x:c>
      <x:c r="I8" s="14" t="n">
        <x:v>20000000</x:v>
      </x:c>
      <x:c r="J8" s="14" t="n">
        <x:f>H8*I8</x:f>
        <x:v>440000000</x:v>
      </x:c>
      <x:c r="K8" s="12" t="str">
        <x:v>Cao</x:v>
      </x:c>
      <x:c r="L8" s="12" t="str">
        <x:v>Dữ liệu mẫu phục vụ demo quản trị ngân sách</x:v>
      </x:c>
    </x:row>
    <x:row r="9">
      <x:c r="A9" s="12" t="str">
        <x:v>DT-MKT-2026-008</x:v>
      </x:c>
      <x:c r="B9" s="12" t="n">
        <x:v>2026</x:v>
      </x:c>
      <x:c r="C9" s="12" t="str">
        <x:v>Q4</x:v>
      </x:c>
      <x:c r="D9" s="12" t="str">
        <x:v>Quan hệ báo chí</x:v>
      </x:c>
      <x:c r="E9" s="12" t="str">
        <x:v>Email automation</x:v>
      </x:c>
      <x:c r="F9" s="12" t="str">
        <x:v>Kinh phí email automation cho quan hệ báo chí</x:v>
      </x:c>
      <x:c r="G9" s="12" t="str">
        <x:v>Lượt</x:v>
      </x:c>
      <x:c r="H9" s="12" t="n">
        <x:v>22</x:v>
      </x:c>
      <x:c r="I9" s="14" t="n">
        <x:v>8000000</x:v>
      </x:c>
      <x:c r="J9" s="14" t="n">
        <x:f>H9*I9</x:f>
        <x:v>176000000</x:v>
      </x:c>
      <x:c r="K9" s="12" t="str">
        <x:v>Cao</x:v>
      </x:c>
      <x:c r="L9" s="12" t="str">
        <x:v>Dữ liệu mẫu phục vụ demo quản trị ngân sách</x:v>
      </x:c>
    </x:row>
    <x:row r="10">
      <x:c r="A10" s="12" t="str">
        <x:v>DT-MKT-2026-009</x:v>
      </x:c>
      <x:c r="B10" s="12" t="n">
        <x:v>2026</x:v>
      </x:c>
      <x:c r="C10" s="12" t="str">
        <x:v>Q1</x:v>
      </x:c>
      <x:c r="D10" s="12" t="str">
        <x:v>Social Media</x:v>
      </x:c>
      <x:c r="E10" s="12" t="str">
        <x:v>Google Ads</x:v>
      </x:c>
      <x:c r="F10" s="12" t="str">
        <x:v>Kinh phí google ads cho social media</x:v>
      </x:c>
      <x:c r="G10" s="12" t="str">
        <x:v>Lượt</x:v>
      </x:c>
      <x:c r="H10" s="12" t="n">
        <x:v>6</x:v>
      </x:c>
      <x:c r="I10" s="14" t="n">
        <x:v>150000000</x:v>
      </x:c>
      <x:c r="J10" s="14" t="n">
        <x:f>H10*I10</x:f>
        <x:v>900000000</x:v>
      </x:c>
      <x:c r="K10" s="12" t="str">
        <x:v>Trung bình</x:v>
      </x:c>
      <x:c r="L10" s="12" t="str">
        <x:v>Dữ liệu mẫu phục vụ demo quản trị ngân sách</x:v>
      </x:c>
    </x:row>
    <x:row r="11">
      <x:c r="A11" s="12" t="str">
        <x:v>DT-MKT-2026-010</x:v>
      </x:c>
      <x:c r="B11" s="12" t="n">
        <x:v>2026</x:v>
      </x:c>
      <x:c r="C11" s="12" t="str">
        <x:v>Q2</x:v>
      </x:c>
      <x:c r="D11" s="12" t="str">
        <x:v>Tuyển sinh &amp; truyền thông thương hiệu</x:v>
      </x:c>
      <x:c r="E11" s="12" t="str">
        <x:v>Livestream</x:v>
      </x:c>
      <x:c r="F11" s="12" t="str">
        <x:v>Kinh phí livestream cho tuyển sinh &amp; truyền thông thương hiệu</x:v>
      </x:c>
      <x:c r="G11" s="12" t="str">
        <x:v>Lượt</x:v>
      </x:c>
      <x:c r="H11" s="12" t="n">
        <x:v>30</x:v>
      </x:c>
      <x:c r="I11" s="14" t="n">
        <x:v>80000000</x:v>
      </x:c>
      <x:c r="J11" s="14" t="n">
        <x:f>H11*I11</x:f>
        <x:v>2400000000</x:v>
      </x:c>
      <x:c r="K11" s="12" t="str">
        <x:v>Cao</x:v>
      </x:c>
      <x:c r="L11" s="12" t="str">
        <x:v>Dữ liệu mẫu phục vụ demo quản trị ngân sách</x:v>
      </x:c>
    </x:row>
    <x:row r="12">
      <x:c r="A12" s="12" t="str">
        <x:v>DT-MKT-2026-011</x:v>
      </x:c>
      <x:c r="B12" s="12" t="n">
        <x:v>2026</x:v>
      </x:c>
      <x:c r="C12" s="12" t="str">
        <x:v>Q3</x:v>
      </x:c>
      <x:c r="D12" s="12" t="str">
        <x:v>Social Media</x:v>
      </x:c>
      <x:c r="E12" s="12" t="str">
        <x:v>Google Ads</x:v>
      </x:c>
      <x:c r="F12" s="12" t="str">
        <x:v>Kinh phí google ads cho social media</x:v>
      </x:c>
      <x:c r="G12" s="12" t="str">
        <x:v>Lượt</x:v>
      </x:c>
      <x:c r="H12" s="12" t="n">
        <x:v>9</x:v>
      </x:c>
      <x:c r="I12" s="14" t="n">
        <x:v>150000000</x:v>
      </x:c>
      <x:c r="J12" s="14" t="n">
        <x:f>H12*I12</x:f>
        <x:v>1350000000</x:v>
      </x:c>
      <x:c r="K12" s="12" t="str">
        <x:v>Trung bình</x:v>
      </x:c>
      <x:c r="L12" s="12" t="str">
        <x:v>Dữ liệu mẫu phục vụ demo quản trị ngân sách</x:v>
      </x:c>
    </x:row>
    <x:row r="13">
      <x:c r="A13" s="12" t="str">
        <x:v>DT-MKT-2026-012</x:v>
      </x:c>
      <x:c r="B13" s="12" t="n">
        <x:v>2026</x:v>
      </x:c>
      <x:c r="C13" s="12" t="str">
        <x:v>Q4</x:v>
      </x:c>
      <x:c r="D13" s="12" t="str">
        <x:v>Nghiên cứu thị trường</x:v>
      </x:c>
      <x:c r="E13" s="12" t="str">
        <x:v>Thiết kế ấn phẩm</x:v>
      </x:c>
      <x:c r="F13" s="12" t="str">
        <x:v>Kinh phí thiết kế ấn phẩm cho nghiên cứu thị trường</x:v>
      </x:c>
      <x:c r="G13" s="12" t="str">
        <x:v>Lượt</x:v>
      </x:c>
      <x:c r="H13" s="12" t="n">
        <x:v>5</x:v>
      </x:c>
      <x:c r="I13" s="14" t="n">
        <x:v>5000000</x:v>
      </x:c>
      <x:c r="J13" s="14" t="n">
        <x:f>H13*I13</x:f>
        <x:v>25000000</x:v>
      </x:c>
      <x:c r="K13" s="12" t="str">
        <x:v>Thấp</x:v>
      </x:c>
      <x:c r="L13" s="12" t="str">
        <x:v>Dữ liệu mẫu phục vụ demo quản trị ngân sách</x:v>
      </x:c>
    </x:row>
    <x:row r="14">
      <x:c r="A14" s="12" t="str">
        <x:v>DT-MKT-2026-013</x:v>
      </x:c>
      <x:c r="B14" s="12" t="n">
        <x:v>2026</x:v>
      </x:c>
      <x:c r="C14" s="12" t="str">
        <x:v>Q1</x:v>
      </x:c>
      <x:c r="D14" s="12" t="str">
        <x:v>Quan hệ báo chí</x:v>
      </x:c>
      <x:c r="E14" s="12" t="str">
        <x:v>Email automation</x:v>
      </x:c>
      <x:c r="F14" s="12" t="str">
        <x:v>Kinh phí email automation cho quan hệ báo chí</x:v>
      </x:c>
      <x:c r="G14" s="12" t="str">
        <x:v>Lượt</x:v>
      </x:c>
      <x:c r="H14" s="12" t="n">
        <x:v>19</x:v>
      </x:c>
      <x:c r="I14" s="14" t="n">
        <x:v>8000000</x:v>
      </x:c>
      <x:c r="J14" s="14" t="n">
        <x:f>H14*I14</x:f>
        <x:v>152000000</x:v>
      </x:c>
      <x:c r="K14" s="12" t="str">
        <x:v>Cao</x:v>
      </x:c>
      <x:c r="L14" s="12" t="str">
        <x:v>Dữ liệu mẫu phục vụ demo quản trị ngân sách</x:v>
      </x:c>
    </x:row>
    <x:row r="15">
      <x:c r="A15" s="12" t="str">
        <x:v>DT-MKT-2026-014</x:v>
      </x:c>
      <x:c r="B15" s="12" t="n">
        <x:v>2026</x:v>
      </x:c>
      <x:c r="C15" s="12" t="str">
        <x:v>Q2</x:v>
      </x:c>
      <x:c r="D15" s="12" t="str">
        <x:v>Digital Marketing</x:v>
      </x:c>
      <x:c r="E15" s="12" t="str">
        <x:v>KOL/Influencer</x:v>
      </x:c>
      <x:c r="F15" s="12" t="str">
        <x:v>Kinh phí kol/influencer cho digital marketing</x:v>
      </x:c>
      <x:c r="G15" s="12" t="str">
        <x:v>Lượt</x:v>
      </x:c>
      <x:c r="H15" s="12" t="n">
        <x:v>18</x:v>
      </x:c>
      <x:c r="I15" s="14" t="n">
        <x:v>50000000</x:v>
      </x:c>
      <x:c r="J15" s="14" t="n">
        <x:f>H15*I15</x:f>
        <x:v>900000000</x:v>
      </x:c>
      <x:c r="K15" s="12" t="str">
        <x:v>Thấp</x:v>
      </x:c>
      <x:c r="L15" s="12" t="str">
        <x:v>Dữ liệu mẫu phục vụ demo quản trị ngân sách</x:v>
      </x:c>
    </x:row>
    <x:row r="16">
      <x:c r="A16" s="12" t="str">
        <x:v>DT-MKT-2026-015</x:v>
      </x:c>
      <x:c r="B16" s="12" t="n">
        <x:v>2026</x:v>
      </x:c>
      <x:c r="C16" s="12" t="str">
        <x:v>Q3</x:v>
      </x:c>
      <x:c r="D16" s="12" t="str">
        <x:v>Website &amp; SEO</x:v>
      </x:c>
      <x:c r="E16" s="12" t="str">
        <x:v>Sản xuất video</x:v>
      </x:c>
      <x:c r="F16" s="12" t="str">
        <x:v>Kinh phí sản xuất video cho website &amp; seo</x:v>
      </x:c>
      <x:c r="G16" s="12" t="str">
        <x:v>Lượt</x:v>
      </x:c>
      <x:c r="H16" s="12" t="n">
        <x:v>24</x:v>
      </x:c>
      <x:c r="I16" s="14" t="n">
        <x:v>25000000</x:v>
      </x:c>
      <x:c r="J16" s="14" t="n">
        <x:f>H16*I16</x:f>
        <x:v>600000000</x:v>
      </x:c>
      <x:c r="K16" s="12" t="str">
        <x:v>Cao</x:v>
      </x:c>
      <x:c r="L16" s="12" t="str">
        <x:v>Dữ liệu mẫu phục vụ demo quản trị ngân sách</x:v>
      </x:c>
    </x:row>
    <x:row r="17">
      <x:c r="A17" s="12" t="str">
        <x:v>DT-MKT-2026-016</x:v>
      </x:c>
      <x:c r="B17" s="12" t="n">
        <x:v>2026</x:v>
      </x:c>
      <x:c r="C17" s="12" t="str">
        <x:v>Q4</x:v>
      </x:c>
      <x:c r="D17" s="12" t="str">
        <x:v>Quản trị thương hiệu</x:v>
      </x:c>
      <x:c r="E17" s="12" t="str">
        <x:v>Booking báo chí</x:v>
      </x:c>
      <x:c r="F17" s="12" t="str">
        <x:v>Kinh phí booking báo chí cho quản trị thương hiệu</x:v>
      </x:c>
      <x:c r="G17" s="12" t="str">
        <x:v>Lượt</x:v>
      </x:c>
      <x:c r="H17" s="12" t="n">
        <x:v>5</x:v>
      </x:c>
      <x:c r="I17" s="14" t="n">
        <x:v>120000000</x:v>
      </x:c>
      <x:c r="J17" s="14" t="n">
        <x:f>H17*I17</x:f>
        <x:v>600000000</x:v>
      </x:c>
      <x:c r="K17" s="12" t="str">
        <x:v>Thấp</x:v>
      </x:c>
      <x:c r="L17" s="12" t="str">
        <x:v>Dữ liệu mẫu phục vụ demo quản trị ngân sách</x:v>
      </x:c>
    </x:row>
    <x:row r="18">
      <x:c r="A18" s="12" t="str">
        <x:v>DT-MKT-2026-017</x:v>
      </x:c>
      <x:c r="B18" s="12" t="n">
        <x:v>2026</x:v>
      </x:c>
      <x:c r="C18" s="12" t="str">
        <x:v>Q1</x:v>
      </x:c>
      <x:c r="D18" s="12" t="str">
        <x:v>Sản xuất nội dung</x:v>
      </x:c>
      <x:c r="E18" s="12" t="str">
        <x:v>In ấn POSM</x:v>
      </x:c>
      <x:c r="F18" s="12" t="str">
        <x:v>Kinh phí in ấn posm cho sản xuất nội dung</x:v>
      </x:c>
      <x:c r="G18" s="12" t="str">
        <x:v>Lượt</x:v>
      </x:c>
      <x:c r="H18" s="12" t="n">
        <x:v>16</x:v>
      </x:c>
      <x:c r="I18" s="14" t="n">
        <x:v>10000000</x:v>
      </x:c>
      <x:c r="J18" s="14" t="n">
        <x:f>H18*I18</x:f>
        <x:v>160000000</x:v>
      </x:c>
      <x:c r="K18" s="12" t="str">
        <x:v>Trung bình</x:v>
      </x:c>
      <x:c r="L18" s="12" t="str">
        <x:v>Dữ liệu mẫu phục vụ demo quản trị ngân sách</x:v>
      </x:c>
    </x:row>
    <x:row r="19">
      <x:c r="A19" s="12" t="str">
        <x:v>DT-MKT-2026-018</x:v>
      </x:c>
      <x:c r="B19" s="12" t="n">
        <x:v>2026</x:v>
      </x:c>
      <x:c r="C19" s="12" t="str">
        <x:v>Q2</x:v>
      </x:c>
      <x:c r="D19" s="12" t="str">
        <x:v>Social Media</x:v>
      </x:c>
      <x:c r="E19" s="12" t="str">
        <x:v>Booking báo chí</x:v>
      </x:c>
      <x:c r="F19" s="12" t="str">
        <x:v>Kinh phí booking báo chí cho social media</x:v>
      </x:c>
      <x:c r="G19" s="12" t="str">
        <x:v>Lượt</x:v>
      </x:c>
      <x:c r="H19" s="12" t="n">
        <x:v>36</x:v>
      </x:c>
      <x:c r="I19" s="14" t="n">
        <x:v>15000000</x:v>
      </x:c>
      <x:c r="J19" s="14" t="n">
        <x:f>H19*I19</x:f>
        <x:v>540000000</x:v>
      </x:c>
      <x:c r="K19" s="12" t="str">
        <x:v>Thấp</x:v>
      </x:c>
      <x:c r="L19" s="12" t="str">
        <x:v>Dữ liệu mẫu phục vụ demo quản trị ngân sách</x:v>
      </x:c>
    </x:row>
    <x:row r="20">
      <x:c r="A20" s="12" t="str">
        <x:v>DT-MKT-2026-019</x:v>
      </x:c>
      <x:c r="B20" s="12" t="n">
        <x:v>2026</x:v>
      </x:c>
      <x:c r="C20" s="12" t="str">
        <x:v>Q3</x:v>
      </x:c>
      <x:c r="D20" s="12" t="str">
        <x:v>Website &amp; SEO</x:v>
      </x:c>
      <x:c r="E20" s="12" t="str">
        <x:v>Khảo sát thị trường</x:v>
      </x:c>
      <x:c r="F20" s="12" t="str">
        <x:v>Kinh phí khảo sát thị trường cho website &amp; seo</x:v>
      </x:c>
      <x:c r="G20" s="12" t="str">
        <x:v>Gói</x:v>
      </x:c>
      <x:c r="H20" s="12" t="n">
        <x:v>4</x:v>
      </x:c>
      <x:c r="I20" s="14" t="n">
        <x:v>15000000</x:v>
      </x:c>
      <x:c r="J20" s="14" t="n">
        <x:f>H20*I20</x:f>
        <x:v>60000000</x:v>
      </x:c>
      <x:c r="K20" s="12" t="str">
        <x:v>Cao</x:v>
      </x:c>
      <x:c r="L20" s="12" t="str">
        <x:v>Dữ liệu mẫu phục vụ demo quản trị ngân sách</x:v>
      </x:c>
    </x:row>
    <x:row r="21">
      <x:c r="A21" s="12" t="str">
        <x:v>DT-MKT-2026-020</x:v>
      </x:c>
      <x:c r="B21" s="12" t="n">
        <x:v>2026</x:v>
      </x:c>
      <x:c r="C21" s="12" t="str">
        <x:v>Q4</x:v>
      </x:c>
      <x:c r="D21" s="12" t="str">
        <x:v>Website &amp; SEO</x:v>
      </x:c>
      <x:c r="E21" s="12" t="str">
        <x:v>KOL/Influencer</x:v>
      </x:c>
      <x:c r="F21" s="12" t="str">
        <x:v>Kinh phí kol/influencer cho website &amp; seo</x:v>
      </x:c>
      <x:c r="G21" s="12" t="str">
        <x:v>Lượt</x:v>
      </x:c>
      <x:c r="H21" s="12" t="n">
        <x:v>18</x:v>
      </x:c>
      <x:c r="I21" s="14" t="n">
        <x:v>8000000</x:v>
      </x:c>
      <x:c r="J21" s="14" t="n">
        <x:f>H21*I21</x:f>
        <x:v>144000000</x:v>
      </x:c>
      <x:c r="K21" s="12" t="str">
        <x:v>Cao</x:v>
      </x:c>
      <x:c r="L21" s="12" t="str">
        <x:v>Dữ liệu mẫu phục vụ demo quản trị ngân sách</x:v>
      </x:c>
    </x:row>
    <x:row r="22">
      <x:c r="A22" s="12" t="str">
        <x:v>DT-MKT-2026-021</x:v>
      </x:c>
      <x:c r="B22" s="12" t="n">
        <x:v>2026</x:v>
      </x:c>
      <x:c r="C22" s="12" t="str">
        <x:v>Q1</x:v>
      </x:c>
      <x:c r="D22" s="12" t="str">
        <x:v>Nghiên cứu thị trường</x:v>
      </x:c>
      <x:c r="E22" s="12" t="str">
        <x:v>PR agency</x:v>
      </x:c>
      <x:c r="F22" s="12" t="str">
        <x:v>Kinh phí pr agency cho nghiên cứu thị trường</x:v>
      </x:c>
      <x:c r="G22" s="12" t="str">
        <x:v>Lượt</x:v>
      </x:c>
      <x:c r="H22" s="12" t="n">
        <x:v>21</x:v>
      </x:c>
      <x:c r="I22" s="14" t="n">
        <x:v>15000000</x:v>
      </x:c>
      <x:c r="J22" s="14" t="n">
        <x:f>H22*I22</x:f>
        <x:v>315000000</x:v>
      </x:c>
      <x:c r="K22" s="12" t="str">
        <x:v>Thấp</x:v>
      </x:c>
      <x:c r="L22" s="12" t="str">
        <x:v>Dữ liệu mẫu phục vụ demo quản trị ngân sách</x:v>
      </x:c>
    </x:row>
    <x:row r="23">
      <x:c r="A23" s="12" t="str">
        <x:v>DT-MKT-2026-022</x:v>
      </x:c>
      <x:c r="B23" s="12" t="n">
        <x:v>2026</x:v>
      </x:c>
      <x:c r="C23" s="12" t="str">
        <x:v>Q2</x:v>
      </x:c>
      <x:c r="D23" s="12" t="str">
        <x:v>Video/Photo Production</x:v>
      </x:c>
      <x:c r="E23" s="12" t="str">
        <x:v>KOL/Influencer</x:v>
      </x:c>
      <x:c r="F23" s="12" t="str">
        <x:v>Kinh phí kol/influencer cho video/photo production</x:v>
      </x:c>
      <x:c r="G23" s="12" t="str">
        <x:v>Lượt</x:v>
      </x:c>
      <x:c r="H23" s="12" t="n">
        <x:v>30</x:v>
      </x:c>
      <x:c r="I23" s="14" t="n">
        <x:v>10000000</x:v>
      </x:c>
      <x:c r="J23" s="14" t="n">
        <x:f>H23*I23</x:f>
        <x:v>300000000</x:v>
      </x:c>
      <x:c r="K23" s="12" t="str">
        <x:v>Trung bình</x:v>
      </x:c>
      <x:c r="L23" s="12" t="str">
        <x:v>Dữ liệu mẫu phục vụ demo quản trị ngân sách</x:v>
      </x:c>
    </x:row>
    <x:row r="24">
      <x:c r="A24" s="12" t="str">
        <x:v>DT-MKT-2026-023</x:v>
      </x:c>
      <x:c r="B24" s="12" t="n">
        <x:v>2026</x:v>
      </x:c>
      <x:c r="C24" s="12" t="str">
        <x:v>Q3</x:v>
      </x:c>
      <x:c r="D24" s="12" t="str">
        <x:v>Sản xuất nội dung</x:v>
      </x:c>
      <x:c r="E24" s="12" t="str">
        <x:v>Thiết kế ấn phẩm</x:v>
      </x:c>
      <x:c r="F24" s="12" t="str">
        <x:v>Kinh phí thiết kế ấn phẩm cho sản xuất nội dung</x:v>
      </x:c>
      <x:c r="G24" s="12" t="str">
        <x:v>Lượt</x:v>
      </x:c>
      <x:c r="H24" s="12" t="n">
        <x:v>36</x:v>
      </x:c>
      <x:c r="I24" s="14" t="n">
        <x:v>80000000</x:v>
      </x:c>
      <x:c r="J24" s="14" t="n">
        <x:f>H24*I24</x:f>
        <x:v>2880000000</x:v>
      </x:c>
      <x:c r="K24" s="12" t="str">
        <x:v>Trung bình</x:v>
      </x:c>
      <x:c r="L24" s="12" t="str">
        <x:v>Dữ liệu mẫu phục vụ demo quản trị ngân sách</x:v>
      </x:c>
    </x:row>
    <x:row r="25">
      <x:c r="A25" s="12" t="str">
        <x:v>DT-MKT-2026-024</x:v>
      </x:c>
      <x:c r="B25" s="12" t="n">
        <x:v>2026</x:v>
      </x:c>
      <x:c r="C25" s="12" t="str">
        <x:v>Q4</x:v>
      </x:c>
      <x:c r="D25" s="12" t="str">
        <x:v>Truyền thông nội bộ</x:v>
      </x:c>
      <x:c r="E25" s="12" t="str">
        <x:v>Chụp ảnh</x:v>
      </x:c>
      <x:c r="F25" s="12" t="str">
        <x:v>Kinh phí chụp ảnh cho truyền thông nội bộ</x:v>
      </x:c>
      <x:c r="G25" s="12" t="str">
        <x:v>Lượt</x:v>
      </x:c>
      <x:c r="H25" s="12" t="n">
        <x:v>28</x:v>
      </x:c>
      <x:c r="I25" s="14" t="n">
        <x:v>120000000</x:v>
      </x:c>
      <x:c r="J25" s="14" t="n">
        <x:f>H25*I25</x:f>
        <x:v>3360000000</x:v>
      </x:c>
      <x:c r="K25" s="12" t="str">
        <x:v>Trung bình</x:v>
      </x:c>
      <x:c r="L25" s="12" t="str">
        <x:v>Dữ liệu mẫu phục vụ demo quản trị ngân sách</x:v>
      </x:c>
    </x:row>
    <x:row r="26">
      <x:c r="A26" s="12" t="str">
        <x:v>DT-MKT-2026-025</x:v>
      </x:c>
      <x:c r="B26" s="12" t="n">
        <x:v>2026</x:v>
      </x:c>
      <x:c r="C26" s="12" t="str">
        <x:v>Q1</x:v>
      </x:c>
      <x:c r="D26" s="12" t="str">
        <x:v>Website &amp; SEO</x:v>
      </x:c>
      <x:c r="E26" s="12" t="str">
        <x:v>Thiết kế ấn phẩm</x:v>
      </x:c>
      <x:c r="F26" s="12" t="str">
        <x:v>Kinh phí thiết kế ấn phẩm cho website &amp; seo</x:v>
      </x:c>
      <x:c r="G26" s="12" t="str">
        <x:v>Lượt</x:v>
      </x:c>
      <x:c r="H26" s="12" t="n">
        <x:v>9</x:v>
      </x:c>
      <x:c r="I26" s="14" t="n">
        <x:v>80000000</x:v>
      </x:c>
      <x:c r="J26" s="14" t="n">
        <x:f>H26*I26</x:f>
        <x:v>720000000</x:v>
      </x:c>
      <x:c r="K26" s="12" t="str">
        <x:v>Trung bình</x:v>
      </x:c>
      <x:c r="L26" s="12" t="str">
        <x:v>Dữ liệu mẫu phục vụ demo quản trị ngân sách</x:v>
      </x:c>
    </x:row>
    <x:row r="27">
      <x:c r="A27" s="12" t="str">
        <x:v>DT-MKT-2026-026</x:v>
      </x:c>
      <x:c r="B27" s="12" t="n">
        <x:v>2026</x:v>
      </x:c>
      <x:c r="C27" s="12" t="str">
        <x:v>Q2</x:v>
      </x:c>
      <x:c r="D27" s="12" t="str">
        <x:v>Digital Marketing</x:v>
      </x:c>
      <x:c r="E27" s="12" t="str">
        <x:v>Email automation</x:v>
      </x:c>
      <x:c r="F27" s="12" t="str">
        <x:v>Kinh phí email automation cho digital marketing</x:v>
      </x:c>
      <x:c r="G27" s="12" t="str">
        <x:v>Gói</x:v>
      </x:c>
      <x:c r="H27" s="12" t="n">
        <x:v>4</x:v>
      </x:c>
      <x:c r="I27" s="14" t="n">
        <x:v>8000000</x:v>
      </x:c>
      <x:c r="J27" s="14" t="n">
        <x:f>H27*I27</x:f>
        <x:v>32000000</x:v>
      </x:c>
      <x:c r="K27" s="12" t="str">
        <x:v>Cao</x:v>
      </x:c>
      <x:c r="L27" s="12" t="str">
        <x:v>Dữ liệu mẫu phục vụ demo quản trị ngân sách</x:v>
      </x:c>
    </x:row>
    <x:row r="28">
      <x:c r="A28" s="12" t="str">
        <x:v>DT-MKT-2026-027</x:v>
      </x:c>
      <x:c r="B28" s="12" t="n">
        <x:v>2026</x:v>
      </x:c>
      <x:c r="C28" s="12" t="str">
        <x:v>Q3</x:v>
      </x:c>
      <x:c r="D28" s="12" t="str">
        <x:v>Quản trị thương hiệu</x:v>
      </x:c>
      <x:c r="E28" s="12" t="str">
        <x:v>Sản xuất video</x:v>
      </x:c>
      <x:c r="F28" s="12" t="str">
        <x:v>Kinh phí sản xuất video cho quản trị thương hiệu</x:v>
      </x:c>
      <x:c r="G28" s="12" t="str">
        <x:v>Lượt</x:v>
      </x:c>
      <x:c r="H28" s="12" t="n">
        <x:v>28</x:v>
      </x:c>
      <x:c r="I28" s="14" t="n">
        <x:v>120000000</x:v>
      </x:c>
      <x:c r="J28" s="14" t="n">
        <x:f>H28*I28</x:f>
        <x:v>3360000000</x:v>
      </x:c>
      <x:c r="K28" s="12" t="str">
        <x:v>Cao</x:v>
      </x:c>
      <x:c r="L28" s="12" t="str">
        <x:v>Dữ liệu mẫu phục vụ demo quản trị ngân sách</x:v>
      </x:c>
    </x:row>
    <x:row r="29">
      <x:c r="A29" s="12" t="str">
        <x:v>DT-MKT-2026-028</x:v>
      </x:c>
      <x:c r="B29" s="12" t="n">
        <x:v>2026</x:v>
      </x:c>
      <x:c r="C29" s="12" t="str">
        <x:v>Q4</x:v>
      </x:c>
      <x:c r="D29" s="12" t="str">
        <x:v>Social Media</x:v>
      </x:c>
      <x:c r="E29" s="12" t="str">
        <x:v>KOL/Influencer</x:v>
      </x:c>
      <x:c r="F29" s="12" t="str">
        <x:v>Kinh phí kol/influencer cho social media</x:v>
      </x:c>
      <x:c r="G29" s="12" t="str">
        <x:v>Lượt</x:v>
      </x:c>
      <x:c r="H29" s="12" t="n">
        <x:v>39</x:v>
      </x:c>
      <x:c r="I29" s="14" t="n">
        <x:v>50000000</x:v>
      </x:c>
      <x:c r="J29" s="14" t="n">
        <x:f>H29*I29</x:f>
        <x:v>1950000000</x:v>
      </x:c>
      <x:c r="K29" s="12" t="str">
        <x:v>Thấp</x:v>
      </x:c>
      <x:c r="L29" s="12" t="str">
        <x:v>Dữ liệu mẫu phục vụ demo quản trị ngân sách</x:v>
      </x:c>
    </x:row>
    <x:row r="30">
      <x:c r="A30" s="12" t="str">
        <x:v>DT-MKT-2026-029</x:v>
      </x:c>
      <x:c r="B30" s="12" t="n">
        <x:v>2026</x:v>
      </x:c>
      <x:c r="C30" s="12" t="str">
        <x:v>Q1</x:v>
      </x:c>
      <x:c r="D30" s="12" t="str">
        <x:v>Sự kiện truyền thông</x:v>
      </x:c>
      <x:c r="E30" s="12" t="str">
        <x:v>In ấn POSM</x:v>
      </x:c>
      <x:c r="F30" s="12" t="str">
        <x:v>Kinh phí in ấn posm cho sự kiện truyền thông</x:v>
      </x:c>
      <x:c r="G30" s="12" t="str">
        <x:v>Gói</x:v>
      </x:c>
      <x:c r="H30" s="12" t="n">
        <x:v>1</x:v>
      </x:c>
      <x:c r="I30" s="14" t="n">
        <x:v>8000000</x:v>
      </x:c>
      <x:c r="J30" s="14" t="n">
        <x:f>H30*I30</x:f>
        <x:v>8000000</x:v>
      </x:c>
      <x:c r="K30" s="12" t="str">
        <x:v>Thấp</x:v>
      </x:c>
      <x:c r="L30" s="12" t="str">
        <x:v>Dữ liệu mẫu phục vụ demo quản trị ngân sách</x:v>
      </x:c>
    </x:row>
    <x:row r="31">
      <x:c r="A31" s="12" t="str">
        <x:v>DT-MKT-2026-030</x:v>
      </x:c>
      <x:c r="B31" s="12" t="n">
        <x:v>2026</x:v>
      </x:c>
      <x:c r="C31" s="12" t="str">
        <x:v>Q2</x:v>
      </x:c>
      <x:c r="D31" s="12" t="str">
        <x:v>Email Marketing</x:v>
      </x:c>
      <x:c r="E31" s="12" t="str">
        <x:v>Email automation</x:v>
      </x:c>
      <x:c r="F31" s="12" t="str">
        <x:v>Kinh phí email automation cho email marketing</x:v>
      </x:c>
      <x:c r="G31" s="12" t="str">
        <x:v>Lượt</x:v>
      </x:c>
      <x:c r="H31" s="12" t="n">
        <x:v>18</x:v>
      </x:c>
      <x:c r="I31" s="14" t="n">
        <x:v>25000000</x:v>
      </x:c>
      <x:c r="J31" s="14" t="n">
        <x:f>H31*I31</x:f>
        <x:v>450000000</x:v>
      </x:c>
      <x:c r="K31" s="12" t="str">
        <x:v>Cao</x:v>
      </x:c>
      <x:c r="L31" s="12" t="str">
        <x:v>Dữ liệu mẫu phục vụ demo quản trị ngân sách</x:v>
      </x:c>
    </x:row>
    <x:row r="32">
      <x:c r="A32" s="12" t="str">
        <x:v>DT-MKT-2026-031</x:v>
      </x:c>
      <x:c r="B32" s="12" t="n">
        <x:v>2026</x:v>
      </x:c>
      <x:c r="C32" s="12" t="str">
        <x:v>Q3</x:v>
      </x:c>
      <x:c r="D32" s="12" t="str">
        <x:v>Sự kiện truyền thông</x:v>
      </x:c>
      <x:c r="E32" s="12" t="str">
        <x:v>KOL/Influencer</x:v>
      </x:c>
      <x:c r="F32" s="12" t="str">
        <x:v>Kinh phí kol/influencer cho sự kiện truyền thông</x:v>
      </x:c>
      <x:c r="G32" s="12" t="str">
        <x:v>Lượt</x:v>
      </x:c>
      <x:c r="H32" s="12" t="n">
        <x:v>11</x:v>
      </x:c>
      <x:c r="I32" s="14" t="n">
        <x:v>50000000</x:v>
      </x:c>
      <x:c r="J32" s="14" t="n">
        <x:f>H32*I32</x:f>
        <x:v>550000000</x:v>
      </x:c>
      <x:c r="K32" s="12" t="str">
        <x:v>Cao</x:v>
      </x:c>
      <x:c r="L32" s="12" t="str">
        <x:v>Dữ liệu mẫu phục vụ demo quản trị ngân sách</x:v>
      </x:c>
    </x:row>
    <x:row r="33">
      <x:c r="A33" s="12" t="str">
        <x:v>DT-MKT-2026-032</x:v>
      </x:c>
      <x:c r="B33" s="12" t="n">
        <x:v>2026</x:v>
      </x:c>
      <x:c r="C33" s="12" t="str">
        <x:v>Q4</x:v>
      </x:c>
      <x:c r="D33" s="12" t="str">
        <x:v>Truyền thông nội bộ</x:v>
      </x:c>
      <x:c r="E33" s="12" t="str">
        <x:v>PR agency</x:v>
      </x:c>
      <x:c r="F33" s="12" t="str">
        <x:v>Kinh phí pr agency cho truyền thông nội bộ</x:v>
      </x:c>
      <x:c r="G33" s="12" t="str">
        <x:v>Lượt</x:v>
      </x:c>
      <x:c r="H33" s="12" t="n">
        <x:v>17</x:v>
      </x:c>
      <x:c r="I33" s="14" t="n">
        <x:v>80000000</x:v>
      </x:c>
      <x:c r="J33" s="14" t="n">
        <x:f>H33*I33</x:f>
        <x:v>1360000000</x:v>
      </x:c>
      <x:c r="K33" s="12" t="str">
        <x:v>Cao</x:v>
      </x:c>
      <x:c r="L33" s="12" t="str">
        <x:v>Dữ liệu mẫu phục vụ demo quản trị ngân sách</x:v>
      </x:c>
    </x:row>
    <x:row r="34">
      <x:c r="A34" s="12" t="str">
        <x:v>DT-MKT-2026-033</x:v>
      </x:c>
      <x:c r="B34" s="12" t="n">
        <x:v>2026</x:v>
      </x:c>
      <x:c r="C34" s="12" t="str">
        <x:v>Q1</x:v>
      </x:c>
      <x:c r="D34" s="12" t="str">
        <x:v>Email Marketing</x:v>
      </x:c>
      <x:c r="E34" s="12" t="str">
        <x:v>PR agency</x:v>
      </x:c>
      <x:c r="F34" s="12" t="str">
        <x:v>Kinh phí pr agency cho email marketing</x:v>
      </x:c>
      <x:c r="G34" s="12" t="str">
        <x:v>Lượt</x:v>
      </x:c>
      <x:c r="H34" s="12" t="n">
        <x:v>7</x:v>
      </x:c>
      <x:c r="I34" s="14" t="n">
        <x:v>20000000</x:v>
      </x:c>
      <x:c r="J34" s="14" t="n">
        <x:f>H34*I34</x:f>
        <x:v>140000000</x:v>
      </x:c>
      <x:c r="K34" s="12" t="str">
        <x:v>Thấp</x:v>
      </x:c>
      <x:c r="L34" s="12" t="str">
        <x:v>Dữ liệu mẫu phục vụ demo quản trị ngân sách</x:v>
      </x:c>
    </x:row>
    <x:row r="35">
      <x:c r="A35" s="12" t="str">
        <x:v>DT-MKT-2026-034</x:v>
      </x:c>
      <x:c r="B35" s="12" t="n">
        <x:v>2026</x:v>
      </x:c>
      <x:c r="C35" s="12" t="str">
        <x:v>Q2</x:v>
      </x:c>
      <x:c r="D35" s="12" t="str">
        <x:v>Email Marketing</x:v>
      </x:c>
      <x:c r="E35" s="12" t="str">
        <x:v>Chụp ảnh</x:v>
      </x:c>
      <x:c r="F35" s="12" t="str">
        <x:v>Kinh phí chụp ảnh cho email marketing</x:v>
      </x:c>
      <x:c r="G35" s="12" t="str">
        <x:v>Lượt</x:v>
      </x:c>
      <x:c r="H35" s="12" t="n">
        <x:v>13</x:v>
      </x:c>
      <x:c r="I35" s="14" t="n">
        <x:v>10000000</x:v>
      </x:c>
      <x:c r="J35" s="14" t="n">
        <x:f>H35*I35</x:f>
        <x:v>130000000</x:v>
      </x:c>
      <x:c r="K35" s="12" t="str">
        <x:v>Trung bình</x:v>
      </x:c>
      <x:c r="L35" s="12" t="str">
        <x:v>Dữ liệu mẫu phục vụ demo quản trị ngân sách</x:v>
      </x:c>
    </x:row>
    <x:row r="36">
      <x:c r="A36" s="12" t="str">
        <x:v>DT-MKT-2026-035</x:v>
      </x:c>
      <x:c r="B36" s="12" t="n">
        <x:v>2026</x:v>
      </x:c>
      <x:c r="C36" s="12" t="str">
        <x:v>Q3</x:v>
      </x:c>
      <x:c r="D36" s="12" t="str">
        <x:v>Sản xuất nội dung</x:v>
      </x:c>
      <x:c r="E36" s="12" t="str">
        <x:v>In ấn POSM</x:v>
      </x:c>
      <x:c r="F36" s="12" t="str">
        <x:v>Kinh phí in ấn posm cho sản xuất nội dung</x:v>
      </x:c>
      <x:c r="G36" s="12" t="str">
        <x:v>Lượt</x:v>
      </x:c>
      <x:c r="H36" s="12" t="n">
        <x:v>34</x:v>
      </x:c>
      <x:c r="I36" s="14" t="n">
        <x:v>5000000</x:v>
      </x:c>
      <x:c r="J36" s="14" t="n">
        <x:f>H36*I36</x:f>
        <x:v>170000000</x:v>
      </x:c>
      <x:c r="K36" s="12" t="str">
        <x:v>Thấp</x:v>
      </x:c>
      <x:c r="L36" s="12" t="str">
        <x:v>Dữ liệu mẫu phục vụ demo quản trị ngân sách</x:v>
      </x:c>
    </x:row>
    <x:row r="37">
      <x:c r="A37" s="12" t="str">
        <x:v>DT-MKT-2026-036</x:v>
      </x:c>
      <x:c r="B37" s="12" t="n">
        <x:v>2026</x:v>
      </x:c>
      <x:c r="C37" s="12" t="str">
        <x:v>Q4</x:v>
      </x:c>
      <x:c r="D37" s="12" t="str">
        <x:v>Website &amp; SEO</x:v>
      </x:c>
      <x:c r="E37" s="12" t="str">
        <x:v>Phần mềm marketing</x:v>
      </x:c>
      <x:c r="F37" s="12" t="str">
        <x:v>Kinh phí phần mềm marketing cho website &amp; seo</x:v>
      </x:c>
      <x:c r="G37" s="12" t="str">
        <x:v>Gói</x:v>
      </x:c>
      <x:c r="H37" s="12" t="n">
        <x:v>2</x:v>
      </x:c>
      <x:c r="I37" s="14" t="n">
        <x:v>8000000</x:v>
      </x:c>
      <x:c r="J37" s="14" t="n">
        <x:f>H37*I37</x:f>
        <x:v>16000000</x:v>
      </x:c>
      <x:c r="K37" s="12" t="str">
        <x:v>Trung bình</x:v>
      </x:c>
      <x:c r="L37" s="12" t="str">
        <x:v>Dữ liệu mẫu phục vụ demo quản trị ngân sách</x:v>
      </x:c>
    </x:row>
    <x:row r="38">
      <x:c r="A38" s="12" t="str">
        <x:v>DT-MKT-2026-037</x:v>
      </x:c>
      <x:c r="B38" s="12" t="n">
        <x:v>2026</x:v>
      </x:c>
      <x:c r="C38" s="12" t="str">
        <x:v>Q1</x:v>
      </x:c>
      <x:c r="D38" s="12" t="str">
        <x:v>Sự kiện truyền thông</x:v>
      </x:c>
      <x:c r="E38" s="12" t="str">
        <x:v>Thiết kế ấn phẩm</x:v>
      </x:c>
      <x:c r="F38" s="12" t="str">
        <x:v>Kinh phí thiết kế ấn phẩm cho sự kiện truyền thông</x:v>
      </x:c>
      <x:c r="G38" s="12" t="str">
        <x:v>Gói</x:v>
      </x:c>
      <x:c r="H38" s="12" t="n">
        <x:v>4</x:v>
      </x:c>
      <x:c r="I38" s="14" t="n">
        <x:v>15000000</x:v>
      </x:c>
      <x:c r="J38" s="14" t="n">
        <x:f>H38*I38</x:f>
        <x:v>60000000</x:v>
      </x:c>
      <x:c r="K38" s="12" t="str">
        <x:v>Thấp</x:v>
      </x:c>
      <x:c r="L38" s="12" t="str">
        <x:v>Dữ liệu mẫu phục vụ demo quản trị ngân sách</x:v>
      </x:c>
    </x:row>
    <x:row r="39">
      <x:c r="A39" s="12" t="str">
        <x:v>DT-MKT-2026-038</x:v>
      </x:c>
      <x:c r="B39" s="12" t="n">
        <x:v>2026</x:v>
      </x:c>
      <x:c r="C39" s="12" t="str">
        <x:v>Q2</x:v>
      </x:c>
      <x:c r="D39" s="12" t="str">
        <x:v>Digital Marketing</x:v>
      </x:c>
      <x:c r="E39" s="12" t="str">
        <x:v>Google Ads</x:v>
      </x:c>
      <x:c r="F39" s="12" t="str">
        <x:v>Kinh phí google ads cho digital marketing</x:v>
      </x:c>
      <x:c r="G39" s="12" t="str">
        <x:v>Lượt</x:v>
      </x:c>
      <x:c r="H39" s="12" t="n">
        <x:v>12</x:v>
      </x:c>
      <x:c r="I39" s="14" t="n">
        <x:v>50000000</x:v>
      </x:c>
      <x:c r="J39" s="14" t="n">
        <x:f>H39*I39</x:f>
        <x:v>600000000</x:v>
      </x:c>
      <x:c r="K39" s="12" t="str">
        <x:v>Thấp</x:v>
      </x:c>
      <x:c r="L39" s="12" t="str">
        <x:v>Dữ liệu mẫu phục vụ demo quản trị ngân sách</x:v>
      </x:c>
    </x:row>
    <x:row r="40">
      <x:c r="A40" s="12" t="str">
        <x:v>DT-MKT-2026-039</x:v>
      </x:c>
      <x:c r="B40" s="12" t="n">
        <x:v>2026</x:v>
      </x:c>
      <x:c r="C40" s="12" t="str">
        <x:v>Q3</x:v>
      </x:c>
      <x:c r="D40" s="12" t="str">
        <x:v>Sản xuất nội dung</x:v>
      </x:c>
      <x:c r="E40" s="12" t="str">
        <x:v>Sản xuất video</x:v>
      </x:c>
      <x:c r="F40" s="12" t="str">
        <x:v>Kinh phí sản xuất video cho sản xuất nội dung</x:v>
      </x:c>
      <x:c r="G40" s="12" t="str">
        <x:v>Lượt</x:v>
      </x:c>
      <x:c r="H40" s="12" t="n">
        <x:v>31</x:v>
      </x:c>
      <x:c r="I40" s="14" t="n">
        <x:v>80000000</x:v>
      </x:c>
      <x:c r="J40" s="14" t="n">
        <x:f>H40*I40</x:f>
        <x:v>2480000000</x:v>
      </x:c>
      <x:c r="K40" s="12" t="str">
        <x:v>Cao</x:v>
      </x:c>
      <x:c r="L40" s="12" t="str">
        <x:v>Dữ liệu mẫu phục vụ demo quản trị ngân sách</x:v>
      </x:c>
    </x:row>
    <x:row r="41">
      <x:c r="A41" s="12" t="str">
        <x:v>DT-MKT-2026-040</x:v>
      </x:c>
      <x:c r="B41" s="12" t="n">
        <x:v>2026</x:v>
      </x:c>
      <x:c r="C41" s="12" t="str">
        <x:v>Q4</x:v>
      </x:c>
      <x:c r="D41" s="12" t="str">
        <x:v>Sự kiện truyền thông</x:v>
      </x:c>
      <x:c r="E41" s="12" t="str">
        <x:v>In ấn POSM</x:v>
      </x:c>
      <x:c r="F41" s="12" t="str">
        <x:v>Kinh phí in ấn posm cho sự kiện truyền thông</x:v>
      </x:c>
      <x:c r="G41" s="12" t="str">
        <x:v>Lượt</x:v>
      </x:c>
      <x:c r="H41" s="12" t="n">
        <x:v>39</x:v>
      </x:c>
      <x:c r="I41" s="14" t="n">
        <x:v>30000000</x:v>
      </x:c>
      <x:c r="J41" s="14" t="n">
        <x:f>H41*I41</x:f>
        <x:v>1170000000</x:v>
      </x:c>
      <x:c r="K41" s="12" t="str">
        <x:v>Cao</x:v>
      </x:c>
      <x:c r="L41" s="12" t="str">
        <x:v>Dữ liệu mẫu phục vụ demo quản trị ngân sách</x:v>
      </x:c>
    </x:row>
    <x:row r="42">
      <x:c r="A42" s="12" t="str">
        <x:v>DT-MKT-2026-041</x:v>
      </x:c>
      <x:c r="B42" s="12" t="n">
        <x:v>2026</x:v>
      </x:c>
      <x:c r="C42" s="12" t="str">
        <x:v>Q1</x:v>
      </x:c>
      <x:c r="D42" s="12" t="str">
        <x:v>Email Marketing</x:v>
      </x:c>
      <x:c r="E42" s="12" t="str">
        <x:v>Email automation</x:v>
      </x:c>
      <x:c r="F42" s="12" t="str">
        <x:v>Kinh phí email automation cho email marketing</x:v>
      </x:c>
      <x:c r="G42" s="12" t="str">
        <x:v>Lượt</x:v>
      </x:c>
      <x:c r="H42" s="12" t="n">
        <x:v>13</x:v>
      </x:c>
      <x:c r="I42" s="14" t="n">
        <x:v>20000000</x:v>
      </x:c>
      <x:c r="J42" s="14" t="n">
        <x:f>H42*I42</x:f>
        <x:v>260000000</x:v>
      </x:c>
      <x:c r="K42" s="12" t="str">
        <x:v>Trung bình</x:v>
      </x:c>
      <x:c r="L42" s="12" t="str">
        <x:v>Dữ liệu mẫu phục vụ demo quản trị ngân sách</x:v>
      </x:c>
    </x:row>
    <x:row r="43">
      <x:c r="A43" s="12" t="str">
        <x:v>DT-MKT-2026-042</x:v>
      </x:c>
      <x:c r="B43" s="12" t="n">
        <x:v>2026</x:v>
      </x:c>
      <x:c r="C43" s="12" t="str">
        <x:v>Q2</x:v>
      </x:c>
      <x:c r="D43" s="12" t="str">
        <x:v>Quản trị thương hiệu</x:v>
      </x:c>
      <x:c r="E43" s="12" t="str">
        <x:v>SEO content</x:v>
      </x:c>
      <x:c r="F43" s="12" t="str">
        <x:v>Kinh phí seo content cho quản trị thương hiệu</x:v>
      </x:c>
      <x:c r="G43" s="12" t="str">
        <x:v>Lượt</x:v>
      </x:c>
      <x:c r="H43" s="12" t="n">
        <x:v>24</x:v>
      </x:c>
      <x:c r="I43" s="14" t="n">
        <x:v>50000000</x:v>
      </x:c>
      <x:c r="J43" s="14" t="n">
        <x:f>H43*I43</x:f>
        <x:v>1200000000</x:v>
      </x:c>
      <x:c r="K43" s="12" t="str">
        <x:v>Thấp</x:v>
      </x:c>
      <x:c r="L43" s="12" t="str">
        <x:v>Dữ liệu mẫu phục vụ demo quản trị ngân sách</x:v>
      </x:c>
    </x:row>
    <x:row r="44">
      <x:c r="A44" s="12" t="str">
        <x:v>DT-MKT-2026-043</x:v>
      </x:c>
      <x:c r="B44" s="12" t="n">
        <x:v>2026</x:v>
      </x:c>
      <x:c r="C44" s="12" t="str">
        <x:v>Q3</x:v>
      </x:c>
      <x:c r="D44" s="12" t="str">
        <x:v>Video/Photo Production</x:v>
      </x:c>
      <x:c r="E44" s="12" t="str">
        <x:v>Google Ads</x:v>
      </x:c>
      <x:c r="F44" s="12" t="str">
        <x:v>Kinh phí google ads cho video/photo production</x:v>
      </x:c>
      <x:c r="G44" s="12" t="str">
        <x:v>Gói</x:v>
      </x:c>
      <x:c r="H44" s="12" t="n">
        <x:v>4</x:v>
      </x:c>
      <x:c r="I44" s="14" t="n">
        <x:v>50000000</x:v>
      </x:c>
      <x:c r="J44" s="14" t="n">
        <x:f>H44*I44</x:f>
        <x:v>200000000</x:v>
      </x:c>
      <x:c r="K44" s="12" t="str">
        <x:v>Trung bình</x:v>
      </x:c>
      <x:c r="L44" s="12" t="str">
        <x:v>Dữ liệu mẫu phục vụ demo quản trị ngân sách</x:v>
      </x:c>
    </x:row>
    <x:row r="45">
      <x:c r="A45" s="12" t="str">
        <x:v>DT-MKT-2026-044</x:v>
      </x:c>
      <x:c r="B45" s="12" t="n">
        <x:v>2026</x:v>
      </x:c>
      <x:c r="C45" s="12" t="str">
        <x:v>Q4</x:v>
      </x:c>
      <x:c r="D45" s="12" t="str">
        <x:v>Tuyển sinh &amp; truyền thông thương hiệu</x:v>
      </x:c>
      <x:c r="E45" s="12" t="str">
        <x:v>Chụp ảnh</x:v>
      </x:c>
      <x:c r="F45" s="12" t="str">
        <x:v>Kinh phí chụp ảnh cho tuyển sinh &amp; truyền thông thương hiệu</x:v>
      </x:c>
      <x:c r="G45" s="12" t="str">
        <x:v>Lượt</x:v>
      </x:c>
      <x:c r="H45" s="12" t="n">
        <x:v>36</x:v>
      </x:c>
      <x:c r="I45" s="14" t="n">
        <x:v>15000000</x:v>
      </x:c>
      <x:c r="J45" s="14" t="n">
        <x:f>H45*I45</x:f>
        <x:v>540000000</x:v>
      </x:c>
      <x:c r="K45" s="12" t="str">
        <x:v>Thấp</x:v>
      </x:c>
      <x:c r="L45" s="12" t="str">
        <x:v>Dữ liệu mẫu phục vụ demo quản trị ngân sách</x:v>
      </x:c>
    </x:row>
    <x:row r="46">
      <x:c r="A46" s="12" t="str">
        <x:v>DT-MKT-2026-045</x:v>
      </x:c>
      <x:c r="B46" s="12" t="n">
        <x:v>2026</x:v>
      </x:c>
      <x:c r="C46" s="12" t="str">
        <x:v>Q1</x:v>
      </x:c>
      <x:c r="D46" s="12" t="str">
        <x:v>Quan hệ báo chí</x:v>
      </x:c>
      <x:c r="E46" s="12" t="str">
        <x:v>Facebook/TikTok Ads</x:v>
      </x:c>
      <x:c r="F46" s="12" t="str">
        <x:v>Kinh phí facebook/tiktok ads cho quan hệ báo chí</x:v>
      </x:c>
      <x:c r="G46" s="12" t="str">
        <x:v>Gói</x:v>
      </x:c>
      <x:c r="H46" s="12" t="n">
        <x:v>2</x:v>
      </x:c>
      <x:c r="I46" s="14" t="n">
        <x:v>80000000</x:v>
      </x:c>
      <x:c r="J46" s="14" t="n">
        <x:f>H46*I46</x:f>
        <x:v>160000000</x:v>
      </x:c>
      <x:c r="K46" s="12" t="str">
        <x:v>Cao</x:v>
      </x:c>
      <x:c r="L46" s="12" t="str">
        <x:v>Dữ liệu mẫu phục vụ demo quản trị ngân sách</x:v>
      </x:c>
    </x:row>
    <x:row r="47">
      <x:c r="A47" s="12" t="str">
        <x:v>DT-MKT-2026-046</x:v>
      </x:c>
      <x:c r="B47" s="12" t="n">
        <x:v>2026</x:v>
      </x:c>
      <x:c r="C47" s="12" t="str">
        <x:v>Q2</x:v>
      </x:c>
      <x:c r="D47" s="12" t="str">
        <x:v>Tuyển sinh &amp; truyền thông thương hiệu</x:v>
      </x:c>
      <x:c r="E47" s="12" t="str">
        <x:v>Khảo sát thị trường</x:v>
      </x:c>
      <x:c r="F47" s="12" t="str">
        <x:v>Kinh phí khảo sát thị trường cho tuyển sinh &amp; truyền thông thương hiệu</x:v>
      </x:c>
      <x:c r="G47" s="12" t="str">
        <x:v>Lượt</x:v>
      </x:c>
      <x:c r="H47" s="12" t="n">
        <x:v>22</x:v>
      </x:c>
      <x:c r="I47" s="14" t="n">
        <x:v>8000000</x:v>
      </x:c>
      <x:c r="J47" s="14" t="n">
        <x:f>H47*I47</x:f>
        <x:v>176000000</x:v>
      </x:c>
      <x:c r="K47" s="12" t="str">
        <x:v>Thấp</x:v>
      </x:c>
      <x:c r="L47" s="12" t="str">
        <x:v>Dữ liệu mẫu phục vụ demo quản trị ngân sách</x:v>
      </x:c>
    </x:row>
    <x:row r="48">
      <x:c r="A48" s="12" t="str">
        <x:v>DT-MKT-2026-047</x:v>
      </x:c>
      <x:c r="B48" s="12" t="n">
        <x:v>2026</x:v>
      </x:c>
      <x:c r="C48" s="12" t="str">
        <x:v>Q3</x:v>
      </x:c>
      <x:c r="D48" s="12" t="str">
        <x:v>Quan hệ báo chí</x:v>
      </x:c>
      <x:c r="E48" s="12" t="str">
        <x:v>Booking báo chí</x:v>
      </x:c>
      <x:c r="F48" s="12" t="str">
        <x:v>Kinh phí booking báo chí cho quan hệ báo chí</x:v>
      </x:c>
      <x:c r="G48" s="12" t="str">
        <x:v>Lượt</x:v>
      </x:c>
      <x:c r="H48" s="12" t="n">
        <x:v>32</x:v>
      </x:c>
      <x:c r="I48" s="14" t="n">
        <x:v>15000000</x:v>
      </x:c>
      <x:c r="J48" s="14" t="n">
        <x:f>H48*I48</x:f>
        <x:v>480000000</x:v>
      </x:c>
      <x:c r="K48" s="12" t="str">
        <x:v>Thấp</x:v>
      </x:c>
      <x:c r="L48" s="12" t="str">
        <x:v>Dữ liệu mẫu phục vụ demo quản trị ngân sách</x:v>
      </x:c>
    </x:row>
    <x:row r="49">
      <x:c r="A49" s="12" t="str">
        <x:v>DT-MKT-2026-048</x:v>
      </x:c>
      <x:c r="B49" s="12" t="n">
        <x:v>2026</x:v>
      </x:c>
      <x:c r="C49" s="12" t="str">
        <x:v>Q4</x:v>
      </x:c>
      <x:c r="D49" s="12" t="str">
        <x:v>Sản xuất nội dung</x:v>
      </x:c>
      <x:c r="E49" s="12" t="str">
        <x:v>Livestream</x:v>
      </x:c>
      <x:c r="F49" s="12" t="str">
        <x:v>Kinh phí livestream cho sản xuất nội dung</x:v>
      </x:c>
      <x:c r="G49" s="12" t="str">
        <x:v>Lượt</x:v>
      </x:c>
      <x:c r="H49" s="12" t="n">
        <x:v>37</x:v>
      </x:c>
      <x:c r="I49" s="14" t="n">
        <x:v>120000000</x:v>
      </x:c>
      <x:c r="J49" s="14" t="n">
        <x:f>H49*I49</x:f>
        <x:v>4440000000</x:v>
      </x:c>
      <x:c r="K49" s="12" t="str">
        <x:v>Trung bình</x:v>
      </x:c>
      <x:c r="L49" s="12" t="str">
        <x:v>Dữ liệu mẫu phục vụ demo quản trị ngân sách</x:v>
      </x:c>
    </x:row>
    <x:row r="50">
      <x:c r="A50" s="12" t="str">
        <x:v>DT-MKT-2026-049</x:v>
      </x:c>
      <x:c r="B50" s="12" t="n">
        <x:v>2026</x:v>
      </x:c>
      <x:c r="C50" s="12" t="str">
        <x:v>Q1</x:v>
      </x:c>
      <x:c r="D50" s="12" t="str">
        <x:v>Quan hệ báo chí</x:v>
      </x:c>
      <x:c r="E50" s="12" t="str">
        <x:v>Email automation</x:v>
      </x:c>
      <x:c r="F50" s="12" t="str">
        <x:v>Kinh phí email automation cho quan hệ báo chí</x:v>
      </x:c>
      <x:c r="G50" s="12" t="str">
        <x:v>Lượt</x:v>
      </x:c>
      <x:c r="H50" s="12" t="n">
        <x:v>31</x:v>
      </x:c>
      <x:c r="I50" s="14" t="n">
        <x:v>30000000</x:v>
      </x:c>
      <x:c r="J50" s="14" t="n">
        <x:f>H50*I50</x:f>
        <x:v>930000000</x:v>
      </x:c>
      <x:c r="K50" s="12" t="str">
        <x:v>Cao</x:v>
      </x:c>
      <x:c r="L50" s="12" t="str">
        <x:v>Dữ liệu mẫu phục vụ demo quản trị ngân sách</x:v>
      </x:c>
    </x:row>
    <x:row r="51">
      <x:c r="A51" s="12" t="str">
        <x:v>DT-MKT-2026-050</x:v>
      </x:c>
      <x:c r="B51" s="12" t="n">
        <x:v>2026</x:v>
      </x:c>
      <x:c r="C51" s="12" t="str">
        <x:v>Q2</x:v>
      </x:c>
      <x:c r="D51" s="12" t="str">
        <x:v>Digital Marketing</x:v>
      </x:c>
      <x:c r="E51" s="12" t="str">
        <x:v>Google Ads</x:v>
      </x:c>
      <x:c r="F51" s="12" t="str">
        <x:v>Kinh phí google ads cho digital marketing</x:v>
      </x:c>
      <x:c r="G51" s="12" t="str">
        <x:v>Lượt</x:v>
      </x:c>
      <x:c r="H51" s="12" t="n">
        <x:v>11</x:v>
      </x:c>
      <x:c r="I51" s="14" t="n">
        <x:v>100000000</x:v>
      </x:c>
      <x:c r="J51" s="14" t="n">
        <x:f>H51*I51</x:f>
        <x:v>1100000000</x:v>
      </x:c>
      <x:c r="K51" s="12" t="str">
        <x:v>Trung bình</x:v>
      </x:c>
      <x:c r="L51" s="12" t="str">
        <x:v>Dữ liệu mẫu phục vụ demo quản trị ngân sách</x:v>
      </x:c>
    </x:row>
    <x:row r="52">
      <x:c r="A52" s="12" t="str">
        <x:v>DT-MKT-2026-051</x:v>
      </x:c>
      <x:c r="B52" s="12" t="n">
        <x:v>2026</x:v>
      </x:c>
      <x:c r="C52" s="12" t="str">
        <x:v>Q3</x:v>
      </x:c>
      <x:c r="D52" s="12" t="str">
        <x:v>Social Media</x:v>
      </x:c>
      <x:c r="E52" s="12" t="str">
        <x:v>Phần mềm marketing</x:v>
      </x:c>
      <x:c r="F52" s="12" t="str">
        <x:v>Kinh phí phần mềm marketing cho social media</x:v>
      </x:c>
      <x:c r="G52" s="12" t="str">
        <x:v>Gói</x:v>
      </x:c>
      <x:c r="H52" s="12" t="n">
        <x:v>4</x:v>
      </x:c>
      <x:c r="I52" s="14" t="n">
        <x:v>8000000</x:v>
      </x:c>
      <x:c r="J52" s="14" t="n">
        <x:f>H52*I52</x:f>
        <x:v>32000000</x:v>
      </x:c>
      <x:c r="K52" s="12" t="str">
        <x:v>Cao</x:v>
      </x:c>
      <x:c r="L52" s="12" t="str">
        <x:v>Dữ liệu mẫu phục vụ demo quản trị ngân sách</x:v>
      </x:c>
    </x:row>
    <x:row r="53">
      <x:c r="A53" s="12" t="str">
        <x:v>DT-MKT-2026-052</x:v>
      </x:c>
      <x:c r="B53" s="12" t="n">
        <x:v>2026</x:v>
      </x:c>
      <x:c r="C53" s="12" t="str">
        <x:v>Q4</x:v>
      </x:c>
      <x:c r="D53" s="12" t="str">
        <x:v>Social Media</x:v>
      </x:c>
      <x:c r="E53" s="12" t="str">
        <x:v>Livestream</x:v>
      </x:c>
      <x:c r="F53" s="12" t="str">
        <x:v>Kinh phí livestream cho social media</x:v>
      </x:c>
      <x:c r="G53" s="12" t="str">
        <x:v>Lượt</x:v>
      </x:c>
      <x:c r="H53" s="12" t="n">
        <x:v>22</x:v>
      </x:c>
      <x:c r="I53" s="14" t="n">
        <x:v>8000000</x:v>
      </x:c>
      <x:c r="J53" s="14" t="n">
        <x:f>H53*I53</x:f>
        <x:v>176000000</x:v>
      </x:c>
      <x:c r="K53" s="12" t="str">
        <x:v>Cao</x:v>
      </x:c>
      <x:c r="L53" s="12" t="str">
        <x:v>Dữ liệu mẫu phục vụ demo quản trị ngân sách</x:v>
      </x:c>
    </x:row>
    <x:row r="54">
      <x:c r="A54" s="12" t="str">
        <x:v>DT-MKT-2026-053</x:v>
      </x:c>
      <x:c r="B54" s="12" t="n">
        <x:v>2026</x:v>
      </x:c>
      <x:c r="C54" s="12" t="str">
        <x:v>Q1</x:v>
      </x:c>
      <x:c r="D54" s="12" t="str">
        <x:v>Quan hệ báo chí</x:v>
      </x:c>
      <x:c r="E54" s="12" t="str">
        <x:v>Thiết kế ấn phẩm</x:v>
      </x:c>
      <x:c r="F54" s="12" t="str">
        <x:v>Kinh phí thiết kế ấn phẩm cho quan hệ báo chí</x:v>
      </x:c>
      <x:c r="G54" s="12" t="str">
        <x:v>Lượt</x:v>
      </x:c>
      <x:c r="H54" s="12" t="n">
        <x:v>35</x:v>
      </x:c>
      <x:c r="I54" s="14" t="n">
        <x:v>50000000</x:v>
      </x:c>
      <x:c r="J54" s="14" t="n">
        <x:f>H54*I54</x:f>
        <x:v>1750000000</x:v>
      </x:c>
      <x:c r="K54" s="12" t="str">
        <x:v>Cao</x:v>
      </x:c>
      <x:c r="L54" s="12" t="str">
        <x:v>Dữ liệu mẫu phục vụ demo quản trị ngân sách</x:v>
      </x:c>
    </x:row>
    <x:row r="55">
      <x:c r="A55" s="12" t="str">
        <x:v>DT-MKT-2026-054</x:v>
      </x:c>
      <x:c r="B55" s="12" t="n">
        <x:v>2026</x:v>
      </x:c>
      <x:c r="C55" s="12" t="str">
        <x:v>Q2</x:v>
      </x:c>
      <x:c r="D55" s="12" t="str">
        <x:v>Social Media</x:v>
      </x:c>
      <x:c r="E55" s="12" t="str">
        <x:v>Sản xuất video</x:v>
      </x:c>
      <x:c r="F55" s="12" t="str">
        <x:v>Kinh phí sản xuất video cho social media</x:v>
      </x:c>
      <x:c r="G55" s="12" t="str">
        <x:v>Lượt</x:v>
      </x:c>
      <x:c r="H55" s="12" t="n">
        <x:v>18</x:v>
      </x:c>
      <x:c r="I55" s="14" t="n">
        <x:v>50000000</x:v>
      </x:c>
      <x:c r="J55" s="14" t="n">
        <x:f>H55*I55</x:f>
        <x:v>900000000</x:v>
      </x:c>
      <x:c r="K55" s="12" t="str">
        <x:v>Cao</x:v>
      </x:c>
      <x:c r="L55" s="12" t="str">
        <x:v>Dữ liệu mẫu phục vụ demo quản trị ngân sách</x:v>
      </x:c>
    </x:row>
    <x:row r="56">
      <x:c r="A56" s="12" t="str">
        <x:v>DT-MKT-2026-055</x:v>
      </x:c>
      <x:c r="B56" s="12" t="n">
        <x:v>2026</x:v>
      </x:c>
      <x:c r="C56" s="12" t="str">
        <x:v>Q3</x:v>
      </x:c>
      <x:c r="D56" s="12" t="str">
        <x:v>Digital Marketing</x:v>
      </x:c>
      <x:c r="E56" s="12" t="str">
        <x:v>Phần mềm marketing</x:v>
      </x:c>
      <x:c r="F56" s="12" t="str">
        <x:v>Kinh phí phần mềm marketing cho digital marketing</x:v>
      </x:c>
      <x:c r="G56" s="12" t="str">
        <x:v>Lượt</x:v>
      </x:c>
      <x:c r="H56" s="12" t="n">
        <x:v>36</x:v>
      </x:c>
      <x:c r="I56" s="14" t="n">
        <x:v>8000000</x:v>
      </x:c>
      <x:c r="J56" s="14" t="n">
        <x:f>H56*I56</x:f>
        <x:v>288000000</x:v>
      </x:c>
      <x:c r="K56" s="12" t="str">
        <x:v>Cao</x:v>
      </x:c>
      <x:c r="L56" s="12" t="str">
        <x:v>Dữ liệu mẫu phục vụ demo quản trị ngân sách</x:v>
      </x:c>
    </x:row>
    <x:row r="57">
      <x:c r="A57" s="12" t="str">
        <x:v>DT-MKT-2026-056</x:v>
      </x:c>
      <x:c r="B57" s="12" t="n">
        <x:v>2026</x:v>
      </x:c>
      <x:c r="C57" s="12" t="str">
        <x:v>Q4</x:v>
      </x:c>
      <x:c r="D57" s="12" t="str">
        <x:v>Quản trị thương hiệu</x:v>
      </x:c>
      <x:c r="E57" s="12" t="str">
        <x:v>In ấn POSM</x:v>
      </x:c>
      <x:c r="F57" s="12" t="str">
        <x:v>Kinh phí in ấn posm cho quản trị thương hiệu</x:v>
      </x:c>
      <x:c r="G57" s="12" t="str">
        <x:v>Gói</x:v>
      </x:c>
      <x:c r="H57" s="12" t="n">
        <x:v>1</x:v>
      </x:c>
      <x:c r="I57" s="14" t="n">
        <x:v>8000000</x:v>
      </x:c>
      <x:c r="J57" s="14" t="n">
        <x:f>H57*I57</x:f>
        <x:v>8000000</x:v>
      </x:c>
      <x:c r="K57" s="12" t="str">
        <x:v>Cao</x:v>
      </x:c>
      <x:c r="L57" s="12" t="str">
        <x:v>Dữ liệu mẫu phục vụ demo quản trị ngân sách</x:v>
      </x:c>
    </x:row>
    <x:row r="58">
      <x:c r="A58" s="12" t="str">
        <x:v>DT-MKT-2026-057</x:v>
      </x:c>
      <x:c r="B58" s="12" t="n">
        <x:v>2026</x:v>
      </x:c>
      <x:c r="C58" s="12" t="str">
        <x:v>Q1</x:v>
      </x:c>
      <x:c r="D58" s="12" t="str">
        <x:v>Sản xuất nội dung</x:v>
      </x:c>
      <x:c r="E58" s="12" t="str">
        <x:v>KOL/Influencer</x:v>
      </x:c>
      <x:c r="F58" s="12" t="str">
        <x:v>Kinh phí kol/influencer cho sản xuất nội dung</x:v>
      </x:c>
      <x:c r="G58" s="12" t="str">
        <x:v>Lượt</x:v>
      </x:c>
      <x:c r="H58" s="12" t="n">
        <x:v>32</x:v>
      </x:c>
      <x:c r="I58" s="14" t="n">
        <x:v>50000000</x:v>
      </x:c>
      <x:c r="J58" s="14" t="n">
        <x:f>H58*I58</x:f>
        <x:v>1600000000</x:v>
      </x:c>
      <x:c r="K58" s="12" t="str">
        <x:v>Cao</x:v>
      </x:c>
      <x:c r="L58" s="12" t="str">
        <x:v>Dữ liệu mẫu phục vụ demo quản trị ngân sách</x:v>
      </x:c>
    </x:row>
    <x:row r="59">
      <x:c r="A59" s="12" t="str">
        <x:v>DT-MKT-2026-058</x:v>
      </x:c>
      <x:c r="B59" s="12" t="n">
        <x:v>2026</x:v>
      </x:c>
      <x:c r="C59" s="12" t="str">
        <x:v>Q2</x:v>
      </x:c>
      <x:c r="D59" s="12" t="str">
        <x:v>Social Media</x:v>
      </x:c>
      <x:c r="E59" s="12" t="str">
        <x:v>PR agency</x:v>
      </x:c>
      <x:c r="F59" s="12" t="str">
        <x:v>Kinh phí pr agency cho social media</x:v>
      </x:c>
      <x:c r="G59" s="12" t="str">
        <x:v>Gói</x:v>
      </x:c>
      <x:c r="H59" s="12" t="n">
        <x:v>4</x:v>
      </x:c>
      <x:c r="I59" s="14" t="n">
        <x:v>10000000</x:v>
      </x:c>
      <x:c r="J59" s="14" t="n">
        <x:f>H59*I59</x:f>
        <x:v>40000000</x:v>
      </x:c>
      <x:c r="K59" s="12" t="str">
        <x:v>Trung bình</x:v>
      </x:c>
      <x:c r="L59" s="12" t="str">
        <x:v>Dữ liệu mẫu phục vụ demo quản trị ngân sách</x:v>
      </x:c>
    </x:row>
    <x:row r="60">
      <x:c r="A60" s="12" t="str">
        <x:v>DT-MKT-2026-059</x:v>
      </x:c>
      <x:c r="B60" s="12" t="n">
        <x:v>2026</x:v>
      </x:c>
      <x:c r="C60" s="12" t="str">
        <x:v>Q3</x:v>
      </x:c>
      <x:c r="D60" s="12" t="str">
        <x:v>Tuyển sinh &amp; truyền thông thương hiệu</x:v>
      </x:c>
      <x:c r="E60" s="12" t="str">
        <x:v>KOL/Influencer</x:v>
      </x:c>
      <x:c r="F60" s="12" t="str">
        <x:v>Kinh phí kol/influencer cho tuyển sinh &amp; truyền thông thương hiệu</x:v>
      </x:c>
      <x:c r="G60" s="12" t="str">
        <x:v>Lượt</x:v>
      </x:c>
      <x:c r="H60" s="12" t="n">
        <x:v>17</x:v>
      </x:c>
      <x:c r="I60" s="14" t="n">
        <x:v>50000000</x:v>
      </x:c>
      <x:c r="J60" s="14" t="n">
        <x:f>H60*I60</x:f>
        <x:v>850000000</x:v>
      </x:c>
      <x:c r="K60" s="12" t="str">
        <x:v>Trung bình</x:v>
      </x:c>
      <x:c r="L60" s="12" t="str">
        <x:v>Dữ liệu mẫu phục vụ demo quản trị ngân sách</x:v>
      </x:c>
    </x:row>
    <x:row r="61">
      <x:c r="A61" s="12" t="str">
        <x:v>DT-MKT-2026-060</x:v>
      </x:c>
      <x:c r="B61" s="12" t="n">
        <x:v>2026</x:v>
      </x:c>
      <x:c r="C61" s="12" t="str">
        <x:v>Q4</x:v>
      </x:c>
      <x:c r="D61" s="12" t="str">
        <x:v>Social Media</x:v>
      </x:c>
      <x:c r="E61" s="12" t="str">
        <x:v>Livestream</x:v>
      </x:c>
      <x:c r="F61" s="12" t="str">
        <x:v>Kinh phí livestream cho social media</x:v>
      </x:c>
      <x:c r="G61" s="12" t="str">
        <x:v>Lượt</x:v>
      </x:c>
      <x:c r="H61" s="12" t="n">
        <x:v>36</x:v>
      </x:c>
      <x:c r="I61" s="14" t="n">
        <x:v>50000000</x:v>
      </x:c>
      <x:c r="J61" s="14" t="n">
        <x:f>H61*I61</x:f>
        <x:v>1800000000</x:v>
      </x:c>
      <x:c r="K61" s="12" t="str">
        <x:v>Cao</x:v>
      </x:c>
      <x:c r="L61" s="12" t="str">
        <x:v>Dữ liệu mẫu phục vụ demo quản trị ngân sách</x:v>
      </x:c>
    </x:row>
    <x:row r="62">
      <x:c r="A62" s="12" t="str">
        <x:v>DT-MKT-2026-061</x:v>
      </x:c>
      <x:c r="B62" s="12" t="n">
        <x:v>2026</x:v>
      </x:c>
      <x:c r="C62" s="12" t="str">
        <x:v>Q1</x:v>
      </x:c>
      <x:c r="D62" s="12" t="str">
        <x:v>Quan hệ báo chí</x:v>
      </x:c>
      <x:c r="E62" s="12" t="str">
        <x:v>Booking báo chí</x:v>
      </x:c>
      <x:c r="F62" s="12" t="str">
        <x:v>Kinh phí booking báo chí cho quan hệ báo chí</x:v>
      </x:c>
      <x:c r="G62" s="12" t="str">
        <x:v>Lượt</x:v>
      </x:c>
      <x:c r="H62" s="12" t="n">
        <x:v>14</x:v>
      </x:c>
      <x:c r="I62" s="14" t="n">
        <x:v>5000000</x:v>
      </x:c>
      <x:c r="J62" s="14" t="n">
        <x:f>H62*I62</x:f>
        <x:v>70000000</x:v>
      </x:c>
      <x:c r="K62" s="12" t="str">
        <x:v>Thấp</x:v>
      </x:c>
      <x:c r="L62" s="12" t="str">
        <x:v>Dữ liệu mẫu phục vụ demo quản trị ngân sách</x:v>
      </x:c>
    </x:row>
    <x:row r="63">
      <x:c r="A63" s="12" t="str">
        <x:v>DT-MKT-2026-062</x:v>
      </x:c>
      <x:c r="B63" s="12" t="n">
        <x:v>2026</x:v>
      </x:c>
      <x:c r="C63" s="12" t="str">
        <x:v>Q2</x:v>
      </x:c>
      <x:c r="D63" s="12" t="str">
        <x:v>Truyền thông nội bộ</x:v>
      </x:c>
      <x:c r="E63" s="12" t="str">
        <x:v>In ấn POSM</x:v>
      </x:c>
      <x:c r="F63" s="12" t="str">
        <x:v>Kinh phí in ấn posm cho truyền thông nội bộ</x:v>
      </x:c>
      <x:c r="G63" s="12" t="str">
        <x:v>Gói</x:v>
      </x:c>
      <x:c r="H63" s="12" t="n">
        <x:v>4</x:v>
      </x:c>
      <x:c r="I63" s="14" t="n">
        <x:v>25000000</x:v>
      </x:c>
      <x:c r="J63" s="14" t="n">
        <x:f>H63*I63</x:f>
        <x:v>100000000</x:v>
      </x:c>
      <x:c r="K63" s="12" t="str">
        <x:v>Cao</x:v>
      </x:c>
      <x:c r="L63" s="12" t="str">
        <x:v>Dữ liệu mẫu phục vụ demo quản trị ngân sách</x:v>
      </x:c>
    </x:row>
    <x:row r="64">
      <x:c r="A64" s="12" t="str">
        <x:v>DT-MKT-2026-063</x:v>
      </x:c>
      <x:c r="B64" s="12" t="n">
        <x:v>2026</x:v>
      </x:c>
      <x:c r="C64" s="12" t="str">
        <x:v>Q3</x:v>
      </x:c>
      <x:c r="D64" s="12" t="str">
        <x:v>Tuyển sinh &amp; truyền thông thương hiệu</x:v>
      </x:c>
      <x:c r="E64" s="12" t="str">
        <x:v>Chụp ảnh</x:v>
      </x:c>
      <x:c r="F64" s="12" t="str">
        <x:v>Kinh phí chụp ảnh cho tuyển sinh &amp; truyền thông thương hiệu</x:v>
      </x:c>
      <x:c r="G64" s="12" t="str">
        <x:v>Lượt</x:v>
      </x:c>
      <x:c r="H64" s="12" t="n">
        <x:v>31</x:v>
      </x:c>
      <x:c r="I64" s="14" t="n">
        <x:v>80000000</x:v>
      </x:c>
      <x:c r="J64" s="14" t="n">
        <x:f>H64*I64</x:f>
        <x:v>2480000000</x:v>
      </x:c>
      <x:c r="K64" s="12" t="str">
        <x:v>Thấp</x:v>
      </x:c>
      <x:c r="L64" s="12" t="str">
        <x:v>Dữ liệu mẫu phục vụ demo quản trị ngân sách</x:v>
      </x:c>
    </x:row>
    <x:row r="65">
      <x:c r="A65" s="12" t="str">
        <x:v>DT-MKT-2026-064</x:v>
      </x:c>
      <x:c r="B65" s="12" t="n">
        <x:v>2026</x:v>
      </x:c>
      <x:c r="C65" s="12" t="str">
        <x:v>Q4</x:v>
      </x:c>
      <x:c r="D65" s="12" t="str">
        <x:v>Sản xuất nội dung</x:v>
      </x:c>
      <x:c r="E65" s="12" t="str">
        <x:v>Facebook/TikTok Ads</x:v>
      </x:c>
      <x:c r="F65" s="12" t="str">
        <x:v>Kinh phí facebook/tiktok ads cho sản xuất nội dung</x:v>
      </x:c>
      <x:c r="G65" s="12" t="str">
        <x:v>Lượt</x:v>
      </x:c>
      <x:c r="H65" s="12" t="n">
        <x:v>9</x:v>
      </x:c>
      <x:c r="I65" s="14" t="n">
        <x:v>80000000</x:v>
      </x:c>
      <x:c r="J65" s="14" t="n">
        <x:f>H65*I65</x:f>
        <x:v>720000000</x:v>
      </x:c>
      <x:c r="K65" s="12" t="str">
        <x:v>Cao</x:v>
      </x:c>
      <x:c r="L65" s="12" t="str">
        <x:v>Dữ liệu mẫu phục vụ demo quản trị ngân sách</x:v>
      </x:c>
    </x:row>
    <x:row r="66">
      <x:c r="A66" s="12" t="str">
        <x:v>DT-MKT-2026-065</x:v>
      </x:c>
      <x:c r="B66" s="12" t="n">
        <x:v>2026</x:v>
      </x:c>
      <x:c r="C66" s="12" t="str">
        <x:v>Q1</x:v>
      </x:c>
      <x:c r="D66" s="12" t="str">
        <x:v>Nghiên cứu thị trường</x:v>
      </x:c>
      <x:c r="E66" s="12" t="str">
        <x:v>Google Ads</x:v>
      </x:c>
      <x:c r="F66" s="12" t="str">
        <x:v>Kinh phí google ads cho nghiên cứu thị trường</x:v>
      </x:c>
      <x:c r="G66" s="12" t="str">
        <x:v>Lượt</x:v>
      </x:c>
      <x:c r="H66" s="12" t="n">
        <x:v>11</x:v>
      </x:c>
      <x:c r="I66" s="14" t="n">
        <x:v>120000000</x:v>
      </x:c>
      <x:c r="J66" s="14" t="n">
        <x:f>H66*I66</x:f>
        <x:v>1320000000</x:v>
      </x:c>
      <x:c r="K66" s="12" t="str">
        <x:v>Cao</x:v>
      </x:c>
      <x:c r="L66" s="12" t="str">
        <x:v>Dữ liệu mẫu phục vụ demo quản trị ngân sách</x:v>
      </x:c>
    </x:row>
    <x:row r="67">
      <x:c r="A67" s="12" t="str">
        <x:v>DT-MKT-2026-066</x:v>
      </x:c>
      <x:c r="B67" s="12" t="n">
        <x:v>2026</x:v>
      </x:c>
      <x:c r="C67" s="12" t="str">
        <x:v>Q2</x:v>
      </x:c>
      <x:c r="D67" s="12" t="str">
        <x:v>Nghiên cứu thị trường</x:v>
      </x:c>
      <x:c r="E67" s="12" t="str">
        <x:v>Thiết kế ấn phẩm</x:v>
      </x:c>
      <x:c r="F67" s="12" t="str">
        <x:v>Kinh phí thiết kế ấn phẩm cho nghiên cứu thị trường</x:v>
      </x:c>
      <x:c r="G67" s="12" t="str">
        <x:v>Lượt</x:v>
      </x:c>
      <x:c r="H67" s="12" t="n">
        <x:v>38</x:v>
      </x:c>
      <x:c r="I67" s="14" t="n">
        <x:v>120000000</x:v>
      </x:c>
      <x:c r="J67" s="14" t="n">
        <x:f>H67*I67</x:f>
        <x:v>4560000000</x:v>
      </x:c>
      <x:c r="K67" s="12" t="str">
        <x:v>Cao</x:v>
      </x:c>
      <x:c r="L67" s="12" t="str">
        <x:v>Dữ liệu mẫu phục vụ demo quản trị ngân sách</x:v>
      </x:c>
    </x:row>
    <x:row r="68">
      <x:c r="A68" s="12" t="str">
        <x:v>DT-MKT-2026-067</x:v>
      </x:c>
      <x:c r="B68" s="12" t="n">
        <x:v>2026</x:v>
      </x:c>
      <x:c r="C68" s="12" t="str">
        <x:v>Q3</x:v>
      </x:c>
      <x:c r="D68" s="12" t="str">
        <x:v>Nghiên cứu thị trường</x:v>
      </x:c>
      <x:c r="E68" s="12" t="str">
        <x:v>Google Ads</x:v>
      </x:c>
      <x:c r="F68" s="12" t="str">
        <x:v>Kinh phí google ads cho nghiên cứu thị trường</x:v>
      </x:c>
      <x:c r="G68" s="12" t="str">
        <x:v>Lượt</x:v>
      </x:c>
      <x:c r="H68" s="12" t="n">
        <x:v>7</x:v>
      </x:c>
      <x:c r="I68" s="14" t="n">
        <x:v>150000000</x:v>
      </x:c>
      <x:c r="J68" s="14" t="n">
        <x:f>H68*I68</x:f>
        <x:v>1050000000</x:v>
      </x:c>
      <x:c r="K68" s="12" t="str">
        <x:v>Thấp</x:v>
      </x:c>
      <x:c r="L68" s="12" t="str">
        <x:v>Dữ liệu mẫu phục vụ demo quản trị ngân sách</x:v>
      </x:c>
    </x:row>
    <x:row r="69">
      <x:c r="A69" s="12" t="str">
        <x:v>DT-MKT-2026-068</x:v>
      </x:c>
      <x:c r="B69" s="12" t="n">
        <x:v>2026</x:v>
      </x:c>
      <x:c r="C69" s="12" t="str">
        <x:v>Q4</x:v>
      </x:c>
      <x:c r="D69" s="12" t="str">
        <x:v>Website &amp; SEO</x:v>
      </x:c>
      <x:c r="E69" s="12" t="str">
        <x:v>PR agency</x:v>
      </x:c>
      <x:c r="F69" s="12" t="str">
        <x:v>Kinh phí pr agency cho website &amp; seo</x:v>
      </x:c>
      <x:c r="G69" s="12" t="str">
        <x:v>Lượt</x:v>
      </x:c>
      <x:c r="H69" s="12" t="n">
        <x:v>17</x:v>
      </x:c>
      <x:c r="I69" s="14" t="n">
        <x:v>15000000</x:v>
      </x:c>
      <x:c r="J69" s="14" t="n">
        <x:f>H69*I69</x:f>
        <x:v>255000000</x:v>
      </x:c>
      <x:c r="K69" s="12" t="str">
        <x:v>Thấp</x:v>
      </x:c>
      <x:c r="L69" s="12" t="str">
        <x:v>Dữ liệu mẫu phục vụ demo quản trị ngân sách</x:v>
      </x:c>
    </x:row>
    <x:row r="70">
      <x:c r="A70" s="12" t="str">
        <x:v>DT-MKT-2026-069</x:v>
      </x:c>
      <x:c r="B70" s="12" t="n">
        <x:v>2026</x:v>
      </x:c>
      <x:c r="C70" s="12" t="str">
        <x:v>Q1</x:v>
      </x:c>
      <x:c r="D70" s="12" t="str">
        <x:v>Truyền thông nội bộ</x:v>
      </x:c>
      <x:c r="E70" s="12" t="str">
        <x:v>Tổ chức sự kiện</x:v>
      </x:c>
      <x:c r="F70" s="12" t="str">
        <x:v>Kinh phí tổ chức sự kiện cho truyền thông nội bộ</x:v>
      </x:c>
      <x:c r="G70" s="12" t="str">
        <x:v>Lượt</x:v>
      </x:c>
      <x:c r="H70" s="12" t="n">
        <x:v>16</x:v>
      </x:c>
      <x:c r="I70" s="14" t="n">
        <x:v>20000000</x:v>
      </x:c>
      <x:c r="J70" s="14" t="n">
        <x:f>H70*I70</x:f>
        <x:v>320000000</x:v>
      </x:c>
      <x:c r="K70" s="12" t="str">
        <x:v>Trung bình</x:v>
      </x:c>
      <x:c r="L70" s="12" t="str">
        <x:v>Dữ liệu mẫu phục vụ demo quản trị ngân sách</x:v>
      </x:c>
    </x:row>
    <x:row r="71">
      <x:c r="A71" s="12" t="str">
        <x:v>DT-MKT-2026-070</x:v>
      </x:c>
      <x:c r="B71" s="12" t="n">
        <x:v>2026</x:v>
      </x:c>
      <x:c r="C71" s="12" t="str">
        <x:v>Q2</x:v>
      </x:c>
      <x:c r="D71" s="12" t="str">
        <x:v>Sản xuất nội dung</x:v>
      </x:c>
      <x:c r="E71" s="12" t="str">
        <x:v>SEO content</x:v>
      </x:c>
      <x:c r="F71" s="12" t="str">
        <x:v>Kinh phí seo content cho sản xuất nội dung</x:v>
      </x:c>
      <x:c r="G71" s="12" t="str">
        <x:v>Lượt</x:v>
      </x:c>
      <x:c r="H71" s="12" t="n">
        <x:v>20</x:v>
      </x:c>
      <x:c r="I71" s="14" t="n">
        <x:v>50000000</x:v>
      </x:c>
      <x:c r="J71" s="14" t="n">
        <x:f>H71*I71</x:f>
        <x:v>1000000000</x:v>
      </x:c>
      <x:c r="K71" s="12" t="str">
        <x:v>Trung bình</x:v>
      </x:c>
      <x:c r="L71" s="12" t="str">
        <x:v>Dữ liệu mẫu phục vụ demo quản trị ngân sách</x:v>
      </x:c>
    </x:row>
    <x:row r="72">
      <x:c r="A72" s="12" t="str">
        <x:v>DT-MKT-2026-071</x:v>
      </x:c>
      <x:c r="B72" s="12" t="n">
        <x:v>2026</x:v>
      </x:c>
      <x:c r="C72" s="12" t="str">
        <x:v>Q3</x:v>
      </x:c>
      <x:c r="D72" s="12" t="str">
        <x:v>Digital Marketing</x:v>
      </x:c>
      <x:c r="E72" s="12" t="str">
        <x:v>Facebook/TikTok Ads</x:v>
      </x:c>
      <x:c r="F72" s="12" t="str">
        <x:v>Kinh phí facebook/tiktok ads cho digital marketing</x:v>
      </x:c>
      <x:c r="G72" s="12" t="str">
        <x:v>Lượt</x:v>
      </x:c>
      <x:c r="H72" s="12" t="n">
        <x:v>8</x:v>
      </x:c>
      <x:c r="I72" s="14" t="n">
        <x:v>150000000</x:v>
      </x:c>
      <x:c r="J72" s="14" t="n">
        <x:f>H72*I72</x:f>
        <x:v>1200000000</x:v>
      </x:c>
      <x:c r="K72" s="12" t="str">
        <x:v>Cao</x:v>
      </x:c>
      <x:c r="L72" s="12" t="str">
        <x:v>Dữ liệu mẫu phục vụ demo quản trị ngân sách</x:v>
      </x:c>
    </x:row>
    <x:row r="73">
      <x:c r="A73" s="12" t="str">
        <x:v>DT-MKT-2026-072</x:v>
      </x:c>
      <x:c r="B73" s="12" t="n">
        <x:v>2026</x:v>
      </x:c>
      <x:c r="C73" s="12" t="str">
        <x:v>Q4</x:v>
      </x:c>
      <x:c r="D73" s="12" t="str">
        <x:v>Digital Marketing</x:v>
      </x:c>
      <x:c r="E73" s="12" t="str">
        <x:v>In ấn POSM</x:v>
      </x:c>
      <x:c r="F73" s="12" t="str">
        <x:v>Kinh phí in ấn posm cho digital marketing</x:v>
      </x:c>
      <x:c r="G73" s="12" t="str">
        <x:v>Lượt</x:v>
      </x:c>
      <x:c r="H73" s="12" t="n">
        <x:v>14</x:v>
      </x:c>
      <x:c r="I73" s="14" t="n">
        <x:v>80000000</x:v>
      </x:c>
      <x:c r="J73" s="14" t="n">
        <x:f>H73*I73</x:f>
        <x:v>1120000000</x:v>
      </x:c>
      <x:c r="K73" s="12" t="str">
        <x:v>Trung bình</x:v>
      </x:c>
      <x:c r="L73" s="12" t="str">
        <x:v>Dữ liệu mẫu phục vụ demo quản trị ngân sách</x:v>
      </x:c>
    </x:row>
    <x:row r="74">
      <x:c r="A74" s="12" t="str">
        <x:v>DT-MKT-2026-073</x:v>
      </x:c>
      <x:c r="B74" s="12" t="n">
        <x:v>2026</x:v>
      </x:c>
      <x:c r="C74" s="12" t="str">
        <x:v>Q1</x:v>
      </x:c>
      <x:c r="D74" s="12" t="str">
        <x:v>Sản xuất nội dung</x:v>
      </x:c>
      <x:c r="E74" s="12" t="str">
        <x:v>PR agency</x:v>
      </x:c>
      <x:c r="F74" s="12" t="str">
        <x:v>Kinh phí pr agency cho sản xuất nội dung</x:v>
      </x:c>
      <x:c r="G74" s="12" t="str">
        <x:v>Lượt</x:v>
      </x:c>
      <x:c r="H74" s="12" t="n">
        <x:v>23</x:v>
      </x:c>
      <x:c r="I74" s="14" t="n">
        <x:v>8000000</x:v>
      </x:c>
      <x:c r="J74" s="14" t="n">
        <x:f>H74*I74</x:f>
        <x:v>184000000</x:v>
      </x:c>
      <x:c r="K74" s="12" t="str">
        <x:v>Cao</x:v>
      </x:c>
      <x:c r="L74" s="12" t="str">
        <x:v>Dữ liệu mẫu phục vụ demo quản trị ngân sách</x:v>
      </x:c>
    </x:row>
    <x:row r="75">
      <x:c r="A75" s="12" t="str">
        <x:v>DT-MKT-2026-074</x:v>
      </x:c>
      <x:c r="B75" s="12" t="n">
        <x:v>2026</x:v>
      </x:c>
      <x:c r="C75" s="12" t="str">
        <x:v>Q2</x:v>
      </x:c>
      <x:c r="D75" s="12" t="str">
        <x:v>Website &amp; SEO</x:v>
      </x:c>
      <x:c r="E75" s="12" t="str">
        <x:v>Booking báo chí</x:v>
      </x:c>
      <x:c r="F75" s="12" t="str">
        <x:v>Kinh phí booking báo chí cho website &amp; seo</x:v>
      </x:c>
      <x:c r="G75" s="12" t="str">
        <x:v>Lượt</x:v>
      </x:c>
      <x:c r="H75" s="12" t="n">
        <x:v>11</x:v>
      </x:c>
      <x:c r="I75" s="14" t="n">
        <x:v>50000000</x:v>
      </x:c>
      <x:c r="J75" s="14" t="n">
        <x:f>H75*I75</x:f>
        <x:v>550000000</x:v>
      </x:c>
      <x:c r="K75" s="12" t="str">
        <x:v>Thấp</x:v>
      </x:c>
      <x:c r="L75" s="12" t="str">
        <x:v>Dữ liệu mẫu phục vụ demo quản trị ngân sách</x:v>
      </x:c>
    </x:row>
    <x:row r="76">
      <x:c r="A76" s="12" t="str">
        <x:v>DT-MKT-2026-075</x:v>
      </x:c>
      <x:c r="B76" s="12" t="n">
        <x:v>2026</x:v>
      </x:c>
      <x:c r="C76" s="12" t="str">
        <x:v>Q3</x:v>
      </x:c>
      <x:c r="D76" s="12" t="str">
        <x:v>Truyền thông nội bộ</x:v>
      </x:c>
      <x:c r="E76" s="12" t="str">
        <x:v>Booking báo chí</x:v>
      </x:c>
      <x:c r="F76" s="12" t="str">
        <x:v>Kinh phí booking báo chí cho truyền thông nội bộ</x:v>
      </x:c>
      <x:c r="G76" s="12" t="str">
        <x:v>Lượt</x:v>
      </x:c>
      <x:c r="H76" s="12" t="n">
        <x:v>40</x:v>
      </x:c>
      <x:c r="I76" s="14" t="n">
        <x:v>80000000</x:v>
      </x:c>
      <x:c r="J76" s="14" t="n">
        <x:f>H76*I76</x:f>
        <x:v>3200000000</x:v>
      </x:c>
      <x:c r="K76" s="12" t="str">
        <x:v>Cao</x:v>
      </x:c>
      <x:c r="L76" s="12" t="str">
        <x:v>Dữ liệu mẫu phục vụ demo quản trị ngân sách</x:v>
      </x:c>
    </x:row>
    <x:row r="77">
      <x:c r="A77" s="12" t="str">
        <x:v>DT-MKT-2026-076</x:v>
      </x:c>
      <x:c r="B77" s="12" t="n">
        <x:v>2026</x:v>
      </x:c>
      <x:c r="C77" s="12" t="str">
        <x:v>Q4</x:v>
      </x:c>
      <x:c r="D77" s="12" t="str">
        <x:v>Quản trị thương hiệu</x:v>
      </x:c>
      <x:c r="E77" s="12" t="str">
        <x:v>Khảo sát thị trường</x:v>
      </x:c>
      <x:c r="F77" s="12" t="str">
        <x:v>Kinh phí khảo sát thị trường cho quản trị thương hiệu</x:v>
      </x:c>
      <x:c r="G77" s="12" t="str">
        <x:v>Lượt</x:v>
      </x:c>
      <x:c r="H77" s="12" t="n">
        <x:v>36</x:v>
      </x:c>
      <x:c r="I77" s="14" t="n">
        <x:v>20000000</x:v>
      </x:c>
      <x:c r="J77" s="14" t="n">
        <x:f>H77*I77</x:f>
        <x:v>720000000</x:v>
      </x:c>
      <x:c r="K77" s="12" t="str">
        <x:v>Thấp</x:v>
      </x:c>
      <x:c r="L77" s="12" t="str">
        <x:v>Dữ liệu mẫu phục vụ demo quản trị ngân sách</x:v>
      </x:c>
    </x:row>
    <x:row r="78">
      <x:c r="A78" s="12" t="str">
        <x:v>DT-MKT-2026-077</x:v>
      </x:c>
      <x:c r="B78" s="12" t="n">
        <x:v>2026</x:v>
      </x:c>
      <x:c r="C78" s="12" t="str">
        <x:v>Q1</x:v>
      </x:c>
      <x:c r="D78" s="12" t="str">
        <x:v>Digital Marketing</x:v>
      </x:c>
      <x:c r="E78" s="12" t="str">
        <x:v>PR agency</x:v>
      </x:c>
      <x:c r="F78" s="12" t="str">
        <x:v>Kinh phí pr agency cho digital marketing</x:v>
      </x:c>
      <x:c r="G78" s="12" t="str">
        <x:v>Lượt</x:v>
      </x:c>
      <x:c r="H78" s="12" t="n">
        <x:v>9</x:v>
      </x:c>
      <x:c r="I78" s="14" t="n">
        <x:v>20000000</x:v>
      </x:c>
      <x:c r="J78" s="14" t="n">
        <x:f>H78*I78</x:f>
        <x:v>180000000</x:v>
      </x:c>
      <x:c r="K78" s="12" t="str">
        <x:v>Cao</x:v>
      </x:c>
      <x:c r="L78" s="12" t="str">
        <x:v>Dữ liệu mẫu phục vụ demo quản trị ngân sách</x:v>
      </x:c>
    </x:row>
    <x:row r="79">
      <x:c r="A79" s="12" t="str">
        <x:v>DT-MKT-2026-078</x:v>
      </x:c>
      <x:c r="B79" s="12" t="n">
        <x:v>2026</x:v>
      </x:c>
      <x:c r="C79" s="12" t="str">
        <x:v>Q2</x:v>
      </x:c>
      <x:c r="D79" s="12" t="str">
        <x:v>Digital Marketing</x:v>
      </x:c>
      <x:c r="E79" s="12" t="str">
        <x:v>Livestream</x:v>
      </x:c>
      <x:c r="F79" s="12" t="str">
        <x:v>Kinh phí livestream cho digital marketing</x:v>
      </x:c>
      <x:c r="G79" s="12" t="str">
        <x:v>Lượt</x:v>
      </x:c>
      <x:c r="H79" s="12" t="n">
        <x:v>36</x:v>
      </x:c>
      <x:c r="I79" s="14" t="n">
        <x:v>10000000</x:v>
      </x:c>
      <x:c r="J79" s="14" t="n">
        <x:f>H79*I79</x:f>
        <x:v>360000000</x:v>
      </x:c>
      <x:c r="K79" s="12" t="str">
        <x:v>Trung bình</x:v>
      </x:c>
      <x:c r="L79" s="12" t="str">
        <x:v>Dữ liệu mẫu phục vụ demo quản trị ngân sách</x:v>
      </x:c>
    </x:row>
    <x:row r="80">
      <x:c r="A80" s="12" t="str">
        <x:v>DT-MKT-2026-079</x:v>
      </x:c>
      <x:c r="B80" s="12" t="n">
        <x:v>2026</x:v>
      </x:c>
      <x:c r="C80" s="12" t="str">
        <x:v>Q3</x:v>
      </x:c>
      <x:c r="D80" s="12" t="str">
        <x:v>Sự kiện truyền thông</x:v>
      </x:c>
      <x:c r="E80" s="12" t="str">
        <x:v>Chụp ảnh</x:v>
      </x:c>
      <x:c r="F80" s="12" t="str">
        <x:v>Kinh phí chụp ảnh cho sự kiện truyền thông</x:v>
      </x:c>
      <x:c r="G80" s="12" t="str">
        <x:v>Lượt</x:v>
      </x:c>
      <x:c r="H80" s="12" t="n">
        <x:v>14</x:v>
      </x:c>
      <x:c r="I80" s="14" t="n">
        <x:v>25000000</x:v>
      </x:c>
      <x:c r="J80" s="14" t="n">
        <x:f>H80*I80</x:f>
        <x:v>350000000</x:v>
      </x:c>
      <x:c r="K80" s="12" t="str">
        <x:v>Cao</x:v>
      </x:c>
      <x:c r="L80" s="12" t="str">
        <x:v>Dữ liệu mẫu phục vụ demo quản trị ngân sách</x:v>
      </x:c>
    </x:row>
    <x:row r="81">
      <x:c r="A81" s="12" t="str">
        <x:v>DT-MKT-2026-080</x:v>
      </x:c>
      <x:c r="B81" s="12" t="n">
        <x:v>2026</x:v>
      </x:c>
      <x:c r="C81" s="12" t="str">
        <x:v>Q4</x:v>
      </x:c>
      <x:c r="D81" s="12" t="str">
        <x:v>Quản trị thương hiệu</x:v>
      </x:c>
      <x:c r="E81" s="12" t="str">
        <x:v>SEO content</x:v>
      </x:c>
      <x:c r="F81" s="12" t="str">
        <x:v>Kinh phí seo content cho quản trị thương hiệu</x:v>
      </x:c>
      <x:c r="G81" s="12" t="str">
        <x:v>Lượt</x:v>
      </x:c>
      <x:c r="H81" s="12" t="n">
        <x:v>17</x:v>
      </x:c>
      <x:c r="I81" s="14" t="n">
        <x:v>80000000</x:v>
      </x:c>
      <x:c r="J81" s="14" t="n">
        <x:f>H81*I81</x:f>
        <x:v>1360000000</x:v>
      </x:c>
      <x:c r="K81" s="12" t="str">
        <x:v>Trung bình</x:v>
      </x:c>
      <x:c r="L81" s="12" t="str">
        <x:v>Dữ liệu mẫu phục vụ demo quản trị ngân sách</x:v>
      </x:c>
    </x:row>
    <x:row r="82">
      <x:c r="A82" s="12" t="str">
        <x:v>DT-MKT-2026-081</x:v>
      </x:c>
      <x:c r="B82" s="12" t="n">
        <x:v>2026</x:v>
      </x:c>
      <x:c r="C82" s="12" t="str">
        <x:v>Q1</x:v>
      </x:c>
      <x:c r="D82" s="12" t="str">
        <x:v>Sự kiện truyền thông</x:v>
      </x:c>
      <x:c r="E82" s="12" t="str">
        <x:v>PR agency</x:v>
      </x:c>
      <x:c r="F82" s="12" t="str">
        <x:v>Kinh phí pr agency cho sự kiện truyền thông</x:v>
      </x:c>
      <x:c r="G82" s="12" t="str">
        <x:v>Gói</x:v>
      </x:c>
      <x:c r="H82" s="12" t="n">
        <x:v>4</x:v>
      </x:c>
      <x:c r="I82" s="14" t="n">
        <x:v>8000000</x:v>
      </x:c>
      <x:c r="J82" s="14" t="n">
        <x:f>H82*I82</x:f>
        <x:v>32000000</x:v>
      </x:c>
      <x:c r="K82" s="12" t="str">
        <x:v>Thấp</x:v>
      </x:c>
      <x:c r="L82" s="12" t="str">
        <x:v>Dữ liệu mẫu phục vụ demo quản trị ngân sách</x:v>
      </x:c>
    </x:row>
    <x:row r="83">
      <x:c r="A83" s="12" t="str">
        <x:v>DT-MKT-2026-082</x:v>
      </x:c>
      <x:c r="B83" s="12" t="n">
        <x:v>2026</x:v>
      </x:c>
      <x:c r="C83" s="12" t="str">
        <x:v>Q2</x:v>
      </x:c>
      <x:c r="D83" s="12" t="str">
        <x:v>Social Media</x:v>
      </x:c>
      <x:c r="E83" s="12" t="str">
        <x:v>Khảo sát thị trường</x:v>
      </x:c>
      <x:c r="F83" s="12" t="str">
        <x:v>Kinh phí khảo sát thị trường cho social media</x:v>
      </x:c>
      <x:c r="G83" s="12" t="str">
        <x:v>Lượt</x:v>
      </x:c>
      <x:c r="H83" s="12" t="n">
        <x:v>18</x:v>
      </x:c>
      <x:c r="I83" s="14" t="n">
        <x:v>5000000</x:v>
      </x:c>
      <x:c r="J83" s="14" t="n">
        <x:f>H83*I83</x:f>
        <x:v>90000000</x:v>
      </x:c>
      <x:c r="K83" s="12" t="str">
        <x:v>Cao</x:v>
      </x:c>
      <x:c r="L83" s="12" t="str">
        <x:v>Dữ liệu mẫu phục vụ demo quản trị ngân sách</x:v>
      </x:c>
    </x:row>
    <x:row r="84">
      <x:c r="A84" s="12" t="str">
        <x:v>DT-MKT-2026-083</x:v>
      </x:c>
      <x:c r="B84" s="12" t="n">
        <x:v>2026</x:v>
      </x:c>
      <x:c r="C84" s="12" t="str">
        <x:v>Q3</x:v>
      </x:c>
      <x:c r="D84" s="12" t="str">
        <x:v>Website &amp; SEO</x:v>
      </x:c>
      <x:c r="E84" s="12" t="str">
        <x:v>Email automation</x:v>
      </x:c>
      <x:c r="F84" s="12" t="str">
        <x:v>Kinh phí email automation cho website &amp; seo</x:v>
      </x:c>
      <x:c r="G84" s="12" t="str">
        <x:v>Lượt</x:v>
      </x:c>
      <x:c r="H84" s="12" t="n">
        <x:v>9</x:v>
      </x:c>
      <x:c r="I84" s="14" t="n">
        <x:v>20000000</x:v>
      </x:c>
      <x:c r="J84" s="14" t="n">
        <x:f>H84*I84</x:f>
        <x:v>180000000</x:v>
      </x:c>
      <x:c r="K84" s="12" t="str">
        <x:v>Cao</x:v>
      </x:c>
      <x:c r="L84" s="12" t="str">
        <x:v>Dữ liệu mẫu phục vụ demo quản trị ngân sách</x:v>
      </x:c>
    </x:row>
    <x:row r="85">
      <x:c r="A85" s="12" t="str">
        <x:v>DT-MKT-2026-084</x:v>
      </x:c>
      <x:c r="B85" s="12" t="n">
        <x:v>2026</x:v>
      </x:c>
      <x:c r="C85" s="12" t="str">
        <x:v>Q4</x:v>
      </x:c>
      <x:c r="D85" s="12" t="str">
        <x:v>Truyền thông nội bộ</x:v>
      </x:c>
      <x:c r="E85" s="12" t="str">
        <x:v>Phần mềm marketing</x:v>
      </x:c>
      <x:c r="F85" s="12" t="str">
        <x:v>Kinh phí phần mềm marketing cho truyền thông nội bộ</x:v>
      </x:c>
      <x:c r="G85" s="12" t="str">
        <x:v>Lượt</x:v>
      </x:c>
      <x:c r="H85" s="12" t="n">
        <x:v>36</x:v>
      </x:c>
      <x:c r="I85" s="14" t="n">
        <x:v>30000000</x:v>
      </x:c>
      <x:c r="J85" s="14" t="n">
        <x:f>H85*I85</x:f>
        <x:v>1080000000</x:v>
      </x:c>
      <x:c r="K85" s="12" t="str">
        <x:v>Thấp</x:v>
      </x:c>
      <x:c r="L85" s="12" t="str">
        <x:v>Dữ liệu mẫu phục vụ demo quản trị ngân sách</x:v>
      </x:c>
    </x:row>
    <x:row r="86">
      <x:c r="A86" s="12" t="str">
        <x:v>DT-MKT-2026-085</x:v>
      </x:c>
      <x:c r="B86" s="12" t="n">
        <x:v>2026</x:v>
      </x:c>
      <x:c r="C86" s="12" t="str">
        <x:v>Q1</x:v>
      </x:c>
      <x:c r="D86" s="12" t="str">
        <x:v>Tuyển sinh &amp; truyền thông thương hiệu</x:v>
      </x:c>
      <x:c r="E86" s="12" t="str">
        <x:v>Google Ads</x:v>
      </x:c>
      <x:c r="F86" s="12" t="str">
        <x:v>Kinh phí google ads cho tuyển sinh &amp; truyền thông thương hiệu</x:v>
      </x:c>
      <x:c r="G86" s="12" t="str">
        <x:v>Gói</x:v>
      </x:c>
      <x:c r="H86" s="12" t="n">
        <x:v>2</x:v>
      </x:c>
      <x:c r="I86" s="14" t="n">
        <x:v>150000000</x:v>
      </x:c>
      <x:c r="J86" s="14" t="n">
        <x:f>H86*I86</x:f>
        <x:v>300000000</x:v>
      </x:c>
      <x:c r="K86" s="12" t="str">
        <x:v>Cao</x:v>
      </x:c>
      <x:c r="L86" s="12" t="str">
        <x:v>Dữ liệu mẫu phục vụ demo quản trị ngân sách</x:v>
      </x:c>
    </x:row>
    <x:row r="87">
      <x:c r="A87" s="12" t="str">
        <x:v>DT-MKT-2026-086</x:v>
      </x:c>
      <x:c r="B87" s="12" t="n">
        <x:v>2026</x:v>
      </x:c>
      <x:c r="C87" s="12" t="str">
        <x:v>Q2</x:v>
      </x:c>
      <x:c r="D87" s="12" t="str">
        <x:v>Website &amp; SEO</x:v>
      </x:c>
      <x:c r="E87" s="12" t="str">
        <x:v>Chụp ảnh</x:v>
      </x:c>
      <x:c r="F87" s="12" t="str">
        <x:v>Kinh phí chụp ảnh cho website &amp; seo</x:v>
      </x:c>
      <x:c r="G87" s="12" t="str">
        <x:v>Lượt</x:v>
      </x:c>
      <x:c r="H87" s="12" t="n">
        <x:v>36</x:v>
      </x:c>
      <x:c r="I87" s="14" t="n">
        <x:v>10000000</x:v>
      </x:c>
      <x:c r="J87" s="14" t="n">
        <x:f>H87*I87</x:f>
        <x:v>360000000</x:v>
      </x:c>
      <x:c r="K87" s="12" t="str">
        <x:v>Trung bình</x:v>
      </x:c>
      <x:c r="L87" s="12" t="str">
        <x:v>Dữ liệu mẫu phục vụ demo quản trị ngân sách</x:v>
      </x:c>
    </x:row>
    <x:row r="88">
      <x:c r="A88" s="12" t="str">
        <x:v>DT-MKT-2026-087</x:v>
      </x:c>
      <x:c r="B88" s="12" t="n">
        <x:v>2026</x:v>
      </x:c>
      <x:c r="C88" s="12" t="str">
        <x:v>Q3</x:v>
      </x:c>
      <x:c r="D88" s="12" t="str">
        <x:v>Sản xuất nội dung</x:v>
      </x:c>
      <x:c r="E88" s="12" t="str">
        <x:v>Facebook/TikTok Ads</x:v>
      </x:c>
      <x:c r="F88" s="12" t="str">
        <x:v>Kinh phí facebook/tiktok ads cho sản xuất nội dung</x:v>
      </x:c>
      <x:c r="G88" s="12" t="str">
        <x:v>Lượt</x:v>
      </x:c>
      <x:c r="H88" s="12" t="n">
        <x:v>5</x:v>
      </x:c>
      <x:c r="I88" s="14" t="n">
        <x:v>50000000</x:v>
      </x:c>
      <x:c r="J88" s="14" t="n">
        <x:f>H88*I88</x:f>
        <x:v>250000000</x:v>
      </x:c>
      <x:c r="K88" s="12" t="str">
        <x:v>Trung bình</x:v>
      </x:c>
      <x:c r="L88" s="12" t="str">
        <x:v>Dữ liệu mẫu phục vụ demo quản trị ngân sách</x:v>
      </x:c>
    </x:row>
    <x:row r="89">
      <x:c r="A89" s="12" t="str">
        <x:v>DT-MKT-2026-088</x:v>
      </x:c>
      <x:c r="B89" s="12" t="n">
        <x:v>2026</x:v>
      </x:c>
      <x:c r="C89" s="12" t="str">
        <x:v>Q4</x:v>
      </x:c>
      <x:c r="D89" s="12" t="str">
        <x:v>Quan hệ báo chí</x:v>
      </x:c>
      <x:c r="E89" s="12" t="str">
        <x:v>SEO content</x:v>
      </x:c>
      <x:c r="F89" s="12" t="str">
        <x:v>Kinh phí seo content cho quan hệ báo chí</x:v>
      </x:c>
      <x:c r="G89" s="12" t="str">
        <x:v>Lượt</x:v>
      </x:c>
      <x:c r="H89" s="12" t="n">
        <x:v>16</x:v>
      </x:c>
      <x:c r="I89" s="14" t="n">
        <x:v>8000000</x:v>
      </x:c>
      <x:c r="J89" s="14" t="n">
        <x:f>H89*I89</x:f>
        <x:v>128000000</x:v>
      </x:c>
      <x:c r="K89" s="12" t="str">
        <x:v>Trung bình</x:v>
      </x:c>
      <x:c r="L89" s="12" t="str">
        <x:v>Dữ liệu mẫu phục vụ demo quản trị ngân sách</x:v>
      </x:c>
    </x:row>
    <x:row r="90">
      <x:c r="A90" s="12" t="str">
        <x:v>DT-MKT-2026-089</x:v>
      </x:c>
      <x:c r="B90" s="12" t="n">
        <x:v>2026</x:v>
      </x:c>
      <x:c r="C90" s="12" t="str">
        <x:v>Q1</x:v>
      </x:c>
      <x:c r="D90" s="12" t="str">
        <x:v>Email Marketing</x:v>
      </x:c>
      <x:c r="E90" s="12" t="str">
        <x:v>PR agency</x:v>
      </x:c>
      <x:c r="F90" s="12" t="str">
        <x:v>Kinh phí pr agency cho email marketing</x:v>
      </x:c>
      <x:c r="G90" s="12" t="str">
        <x:v>Lượt</x:v>
      </x:c>
      <x:c r="H90" s="12" t="n">
        <x:v>27</x:v>
      </x:c>
      <x:c r="I90" s="14" t="n">
        <x:v>120000000</x:v>
      </x:c>
      <x:c r="J90" s="14" t="n">
        <x:f>H90*I90</x:f>
        <x:v>3240000000</x:v>
      </x:c>
      <x:c r="K90" s="12" t="str">
        <x:v>Thấp</x:v>
      </x:c>
      <x:c r="L90" s="12" t="str">
        <x:v>Dữ liệu mẫu phục vụ demo quản trị ngân sách</x:v>
      </x:c>
    </x:row>
    <x:row r="91">
      <x:c r="A91" s="12" t="str">
        <x:v>DT-MKT-2026-090</x:v>
      </x:c>
      <x:c r="B91" s="12" t="n">
        <x:v>2026</x:v>
      </x:c>
      <x:c r="C91" s="12" t="str">
        <x:v>Q2</x:v>
      </x:c>
      <x:c r="D91" s="12" t="str">
        <x:v>Sản xuất nội dung</x:v>
      </x:c>
      <x:c r="E91" s="12" t="str">
        <x:v>PR agency</x:v>
      </x:c>
      <x:c r="F91" s="12" t="str">
        <x:v>Kinh phí pr agency cho sản xuất nội dung</x:v>
      </x:c>
      <x:c r="G91" s="12" t="str">
        <x:v>Lượt</x:v>
      </x:c>
      <x:c r="H91" s="12" t="n">
        <x:v>16</x:v>
      </x:c>
      <x:c r="I91" s="14" t="n">
        <x:v>10000000</x:v>
      </x:c>
      <x:c r="J91" s="14" t="n">
        <x:f>H91*I91</x:f>
        <x:v>160000000</x:v>
      </x:c>
      <x:c r="K91" s="12" t="str">
        <x:v>Cao</x:v>
      </x:c>
      <x:c r="L91" s="12" t="str">
        <x:v>Dữ liệu mẫu phục vụ demo quản trị ngân sách</x:v>
      </x:c>
    </x:row>
    <x:row r="92">
      <x:c r="A92" s="12" t="str">
        <x:v>DT-MKT-2026-091</x:v>
      </x:c>
      <x:c r="B92" s="12" t="n">
        <x:v>2026</x:v>
      </x:c>
      <x:c r="C92" s="12" t="str">
        <x:v>Q3</x:v>
      </x:c>
      <x:c r="D92" s="12" t="str">
        <x:v>Social Media</x:v>
      </x:c>
      <x:c r="E92" s="12" t="str">
        <x:v>Facebook/TikTok Ads</x:v>
      </x:c>
      <x:c r="F92" s="12" t="str">
        <x:v>Kinh phí facebook/tiktok ads cho social media</x:v>
      </x:c>
      <x:c r="G92" s="12" t="str">
        <x:v>Gói</x:v>
      </x:c>
      <x:c r="H92" s="12" t="n">
        <x:v>3</x:v>
      </x:c>
      <x:c r="I92" s="14" t="n">
        <x:v>120000000</x:v>
      </x:c>
      <x:c r="J92" s="14" t="n">
        <x:f>H92*I92</x:f>
        <x:v>360000000</x:v>
      </x:c>
      <x:c r="K92" s="12" t="str">
        <x:v>Thấp</x:v>
      </x:c>
      <x:c r="L92" s="12" t="str">
        <x:v>Dữ liệu mẫu phục vụ demo quản trị ngân sách</x:v>
      </x:c>
    </x:row>
    <x:row r="93">
      <x:c r="A93" s="12" t="str">
        <x:v>DT-MKT-2026-092</x:v>
      </x:c>
      <x:c r="B93" s="12" t="n">
        <x:v>2026</x:v>
      </x:c>
      <x:c r="C93" s="12" t="str">
        <x:v>Q4</x:v>
      </x:c>
      <x:c r="D93" s="12" t="str">
        <x:v>Truyền thông nội bộ</x:v>
      </x:c>
      <x:c r="E93" s="12" t="str">
        <x:v>Email automation</x:v>
      </x:c>
      <x:c r="F93" s="12" t="str">
        <x:v>Kinh phí email automation cho truyền thông nội bộ</x:v>
      </x:c>
      <x:c r="G93" s="12" t="str">
        <x:v>Lượt</x:v>
      </x:c>
      <x:c r="H93" s="12" t="n">
        <x:v>16</x:v>
      </x:c>
      <x:c r="I93" s="14" t="n">
        <x:v>20000000</x:v>
      </x:c>
      <x:c r="J93" s="14" t="n">
        <x:f>H93*I93</x:f>
        <x:v>320000000</x:v>
      </x:c>
      <x:c r="K93" s="12" t="str">
        <x:v>Cao</x:v>
      </x:c>
      <x:c r="L93" s="12" t="str">
        <x:v>Dữ liệu mẫu phục vụ demo quản trị ngân sách</x:v>
      </x:c>
    </x:row>
    <x:row r="94">
      <x:c r="A94" s="12" t="str">
        <x:v>DT-MKT-2026-093</x:v>
      </x:c>
      <x:c r="B94" s="12" t="n">
        <x:v>2026</x:v>
      </x:c>
      <x:c r="C94" s="12" t="str">
        <x:v>Q1</x:v>
      </x:c>
      <x:c r="D94" s="12" t="str">
        <x:v>Truyền thông nội bộ</x:v>
      </x:c>
      <x:c r="E94" s="12" t="str">
        <x:v>Google Ads</x:v>
      </x:c>
      <x:c r="F94" s="12" t="str">
        <x:v>Kinh phí google ads cho truyền thông nội bộ</x:v>
      </x:c>
      <x:c r="G94" s="12" t="str">
        <x:v>Lượt</x:v>
      </x:c>
      <x:c r="H94" s="12" t="n">
        <x:v>7</x:v>
      </x:c>
      <x:c r="I94" s="14" t="n">
        <x:v>120000000</x:v>
      </x:c>
      <x:c r="J94" s="14" t="n">
        <x:f>H94*I94</x:f>
        <x:v>840000000</x:v>
      </x:c>
      <x:c r="K94" s="12" t="str">
        <x:v>Cao</x:v>
      </x:c>
      <x:c r="L94" s="12" t="str">
        <x:v>Dữ liệu mẫu phục vụ demo quản trị ngân sách</x:v>
      </x:c>
    </x:row>
    <x:row r="95">
      <x:c r="A95" s="12" t="str">
        <x:v>DT-MKT-2026-094</x:v>
      </x:c>
      <x:c r="B95" s="12" t="n">
        <x:v>2026</x:v>
      </x:c>
      <x:c r="C95" s="12" t="str">
        <x:v>Q2</x:v>
      </x:c>
      <x:c r="D95" s="12" t="str">
        <x:v>Quan hệ báo chí</x:v>
      </x:c>
      <x:c r="E95" s="12" t="str">
        <x:v>Khảo sát thị trường</x:v>
      </x:c>
      <x:c r="F95" s="12" t="str">
        <x:v>Kinh phí khảo sát thị trường cho quan hệ báo chí</x:v>
      </x:c>
      <x:c r="G95" s="12" t="str">
        <x:v>Lượt</x:v>
      </x:c>
      <x:c r="H95" s="12" t="n">
        <x:v>30</x:v>
      </x:c>
      <x:c r="I95" s="14" t="n">
        <x:v>25000000</x:v>
      </x:c>
      <x:c r="J95" s="14" t="n">
        <x:f>H95*I95</x:f>
        <x:v>750000000</x:v>
      </x:c>
      <x:c r="K95" s="12" t="str">
        <x:v>Trung bình</x:v>
      </x:c>
      <x:c r="L95" s="12" t="str">
        <x:v>Dữ liệu mẫu phục vụ demo quản trị ngân sách</x:v>
      </x:c>
    </x:row>
    <x:row r="96">
      <x:c r="A96" s="12" t="str">
        <x:v>DT-MKT-2026-095</x:v>
      </x:c>
      <x:c r="B96" s="12" t="n">
        <x:v>2026</x:v>
      </x:c>
      <x:c r="C96" s="12" t="str">
        <x:v>Q3</x:v>
      </x:c>
      <x:c r="D96" s="12" t="str">
        <x:v>Quan hệ báo chí</x:v>
      </x:c>
      <x:c r="E96" s="12" t="str">
        <x:v>Thiết kế ấn phẩm</x:v>
      </x:c>
      <x:c r="F96" s="12" t="str">
        <x:v>Kinh phí thiết kế ấn phẩm cho quan hệ báo chí</x:v>
      </x:c>
      <x:c r="G96" s="12" t="str">
        <x:v>Gói</x:v>
      </x:c>
      <x:c r="H96" s="12" t="n">
        <x:v>2</x:v>
      </x:c>
      <x:c r="I96" s="14" t="n">
        <x:v>15000000</x:v>
      </x:c>
      <x:c r="J96" s="14" t="n">
        <x:f>H96*I96</x:f>
        <x:v>30000000</x:v>
      </x:c>
      <x:c r="K96" s="12" t="str">
        <x:v>Trung bình</x:v>
      </x:c>
      <x:c r="L96" s="12" t="str">
        <x:v>Dữ liệu mẫu phục vụ demo quản trị ngân sách</x:v>
      </x:c>
    </x:row>
    <x:row r="97">
      <x:c r="A97" s="12" t="str">
        <x:v>DT-MKT-2026-096</x:v>
      </x:c>
      <x:c r="B97" s="12" t="n">
        <x:v>2026</x:v>
      </x:c>
      <x:c r="C97" s="12" t="str">
        <x:v>Q4</x:v>
      </x:c>
      <x:c r="D97" s="12" t="str">
        <x:v>Website &amp; SEO</x:v>
      </x:c>
      <x:c r="E97" s="12" t="str">
        <x:v>Booking báo chí</x:v>
      </x:c>
      <x:c r="F97" s="12" t="str">
        <x:v>Kinh phí booking báo chí cho website &amp; seo</x:v>
      </x:c>
      <x:c r="G97" s="12" t="str">
        <x:v>Lượt</x:v>
      </x:c>
      <x:c r="H97" s="12" t="n">
        <x:v>5</x:v>
      </x:c>
      <x:c r="I97" s="14" t="n">
        <x:v>20000000</x:v>
      </x:c>
      <x:c r="J97" s="14" t="n">
        <x:f>H97*I97</x:f>
        <x:v>100000000</x:v>
      </x:c>
      <x:c r="K97" s="12" t="str">
        <x:v>Trung bình</x:v>
      </x:c>
      <x:c r="L97" s="12" t="str">
        <x:v>Dữ liệu mẫu phục vụ demo quản trị ngân sách</x:v>
      </x:c>
    </x:row>
    <x:row r="98">
      <x:c r="A98" s="12" t="str">
        <x:v>DT-MKT-2026-097</x:v>
      </x:c>
      <x:c r="B98" s="12" t="n">
        <x:v>2026</x:v>
      </x:c>
      <x:c r="C98" s="12" t="str">
        <x:v>Q1</x:v>
      </x:c>
      <x:c r="D98" s="12" t="str">
        <x:v>Quản trị thương hiệu</x:v>
      </x:c>
      <x:c r="E98" s="12" t="str">
        <x:v>In ấn POSM</x:v>
      </x:c>
      <x:c r="F98" s="12" t="str">
        <x:v>Kinh phí in ấn posm cho quản trị thương hiệu</x:v>
      </x:c>
      <x:c r="G98" s="12" t="str">
        <x:v>Lượt</x:v>
      </x:c>
      <x:c r="H98" s="12" t="n">
        <x:v>26</x:v>
      </x:c>
      <x:c r="I98" s="14" t="n">
        <x:v>80000000</x:v>
      </x:c>
      <x:c r="J98" s="14" t="n">
        <x:f>H98*I98</x:f>
        <x:v>2080000000</x:v>
      </x:c>
      <x:c r="K98" s="12" t="str">
        <x:v>Trung bình</x:v>
      </x:c>
      <x:c r="L98" s="12" t="str">
        <x:v>Dữ liệu mẫu phục vụ demo quản trị ngân sách</x:v>
      </x:c>
    </x:row>
    <x:row r="99">
      <x:c r="A99" s="12" t="str">
        <x:v>DT-MKT-2026-098</x:v>
      </x:c>
      <x:c r="B99" s="12" t="n">
        <x:v>2026</x:v>
      </x:c>
      <x:c r="C99" s="12" t="str">
        <x:v>Q2</x:v>
      </x:c>
      <x:c r="D99" s="12" t="str">
        <x:v>Tuyển sinh &amp; truyền thông thương hiệu</x:v>
      </x:c>
      <x:c r="E99" s="12" t="str">
        <x:v>Google Ads</x:v>
      </x:c>
      <x:c r="F99" s="12" t="str">
        <x:v>Kinh phí google ads cho tuyển sinh &amp; truyền thông thương hiệu</x:v>
      </x:c>
      <x:c r="G99" s="12" t="str">
        <x:v>Lượt</x:v>
      </x:c>
      <x:c r="H99" s="12" t="n">
        <x:v>5</x:v>
      </x:c>
      <x:c r="I99" s="14" t="n">
        <x:v>150000000</x:v>
      </x:c>
      <x:c r="J99" s="14" t="n">
        <x:f>H99*I99</x:f>
        <x:v>750000000</x:v>
      </x:c>
      <x:c r="K99" s="12" t="str">
        <x:v>Trung bình</x:v>
      </x:c>
      <x:c r="L99" s="12" t="str">
        <x:v>Dữ liệu mẫu phục vụ demo quản trị ngân sách</x:v>
      </x:c>
    </x:row>
    <x:row r="100">
      <x:c r="A100" s="12" t="str">
        <x:v>DT-MKT-2026-099</x:v>
      </x:c>
      <x:c r="B100" s="12" t="n">
        <x:v>2026</x:v>
      </x:c>
      <x:c r="C100" s="12" t="str">
        <x:v>Q3</x:v>
      </x:c>
      <x:c r="D100" s="12" t="str">
        <x:v>Tuyển sinh &amp; truyền thông thương hiệu</x:v>
      </x:c>
      <x:c r="E100" s="12" t="str">
        <x:v>Google Ads</x:v>
      </x:c>
      <x:c r="F100" s="12" t="str">
        <x:v>Kinh phí google ads cho tuyển sinh &amp; truyền thông thương hiệu</x:v>
      </x:c>
      <x:c r="G100" s="12" t="str">
        <x:v>Lượt</x:v>
      </x:c>
      <x:c r="H100" s="12" t="n">
        <x:v>10</x:v>
      </x:c>
      <x:c r="I100" s="14" t="n">
        <x:v>100000000</x:v>
      </x:c>
      <x:c r="J100" s="14" t="n">
        <x:f>H100*I100</x:f>
        <x:v>1000000000</x:v>
      </x:c>
      <x:c r="K100" s="12" t="str">
        <x:v>Thấp</x:v>
      </x:c>
      <x:c r="L100" s="12" t="str">
        <x:v>Dữ liệu mẫu phục vụ demo quản trị ngân sách</x:v>
      </x:c>
    </x:row>
    <x:row r="101">
      <x:c r="A101" s="12" t="str">
        <x:v>DT-MKT-2026-100</x:v>
      </x:c>
      <x:c r="B101" s="12" t="n">
        <x:v>2026</x:v>
      </x:c>
      <x:c r="C101" s="12" t="str">
        <x:v>Q4</x:v>
      </x:c>
      <x:c r="D101" s="12" t="str">
        <x:v>Website &amp; SEO</x:v>
      </x:c>
      <x:c r="E101" s="12" t="str">
        <x:v>KOL/Influencer</x:v>
      </x:c>
      <x:c r="F101" s="12" t="str">
        <x:v>Kinh phí kol/influencer cho website &amp; seo</x:v>
      </x:c>
      <x:c r="G101" s="12" t="str">
        <x:v>Lượt</x:v>
      </x:c>
      <x:c r="H101" s="12" t="n">
        <x:v>39</x:v>
      </x:c>
      <x:c r="I101" s="14" t="n">
        <x:v>80000000</x:v>
      </x:c>
      <x:c r="J101" s="14" t="n">
        <x:f>H101*I101</x:f>
        <x:v>3120000000</x:v>
      </x:c>
      <x:c r="K101" s="12" t="str">
        <x:v>Cao</x:v>
      </x:c>
      <x:c r="L101" s="12" t="str">
        <x:v>Dữ liệu mẫu phục vụ demo quản trị ngân sách</x:v>
      </x:c>
    </x:row>
    <x:row r="102">
      <x:c r="A102" s="12" t="str">
        <x:v>DT-MKT-2026-101</x:v>
      </x:c>
      <x:c r="B102" s="12" t="n">
        <x:v>2026</x:v>
      </x:c>
      <x:c r="C102" s="12" t="str">
        <x:v>Q1</x:v>
      </x:c>
      <x:c r="D102" s="12" t="str">
        <x:v>Social Media</x:v>
      </x:c>
      <x:c r="E102" s="12" t="str">
        <x:v>PR agency</x:v>
      </x:c>
      <x:c r="F102" s="12" t="str">
        <x:v>Kinh phí pr agency cho social media</x:v>
      </x:c>
      <x:c r="G102" s="12" t="str">
        <x:v>Lượt</x:v>
      </x:c>
      <x:c r="H102" s="12" t="n">
        <x:v>37</x:v>
      </x:c>
      <x:c r="I102" s="14" t="n">
        <x:v>15000000</x:v>
      </x:c>
      <x:c r="J102" s="14" t="n">
        <x:f>H102*I102</x:f>
        <x:v>555000000</x:v>
      </x:c>
      <x:c r="K102" s="12" t="str">
        <x:v>Trung bình</x:v>
      </x:c>
      <x:c r="L102" s="12" t="str">
        <x:v>Dữ liệu mẫu phục vụ demo quản trị ngân sách</x:v>
      </x:c>
    </x:row>
    <x:row r="103">
      <x:c r="A103" s="12" t="str">
        <x:v>DT-MKT-2026-102</x:v>
      </x:c>
      <x:c r="B103" s="12" t="n">
        <x:v>2026</x:v>
      </x:c>
      <x:c r="C103" s="12" t="str">
        <x:v>Q2</x:v>
      </x:c>
      <x:c r="D103" s="12" t="str">
        <x:v>Tuyển sinh &amp; truyền thông thương hiệu</x:v>
      </x:c>
      <x:c r="E103" s="12" t="str">
        <x:v>Livestream</x:v>
      </x:c>
      <x:c r="F103" s="12" t="str">
        <x:v>Kinh phí livestream cho tuyển sinh &amp; truyền thông thương hiệu</x:v>
      </x:c>
      <x:c r="G103" s="12" t="str">
        <x:v>Lượt</x:v>
      </x:c>
      <x:c r="H103" s="12" t="n">
        <x:v>28</x:v>
      </x:c>
      <x:c r="I103" s="14" t="n">
        <x:v>5000000</x:v>
      </x:c>
      <x:c r="J103" s="14" t="n">
        <x:f>H103*I103</x:f>
        <x:v>140000000</x:v>
      </x:c>
      <x:c r="K103" s="12" t="str">
        <x:v>Thấp</x:v>
      </x:c>
      <x:c r="L103" s="12" t="str">
        <x:v>Dữ liệu mẫu phục vụ demo quản trị ngân sách</x:v>
      </x:c>
    </x:row>
    <x:row r="104">
      <x:c r="A104" s="12" t="str">
        <x:v>DT-MKT-2026-103</x:v>
      </x:c>
      <x:c r="B104" s="12" t="n">
        <x:v>2026</x:v>
      </x:c>
      <x:c r="C104" s="12" t="str">
        <x:v>Q3</x:v>
      </x:c>
      <x:c r="D104" s="12" t="str">
        <x:v>Email Marketing</x:v>
      </x:c>
      <x:c r="E104" s="12" t="str">
        <x:v>SEO content</x:v>
      </x:c>
      <x:c r="F104" s="12" t="str">
        <x:v>Kinh phí seo content cho email marketing</x:v>
      </x:c>
      <x:c r="G104" s="12" t="str">
        <x:v>Lượt</x:v>
      </x:c>
      <x:c r="H104" s="12" t="n">
        <x:v>13</x:v>
      </x:c>
      <x:c r="I104" s="14" t="n">
        <x:v>25000000</x:v>
      </x:c>
      <x:c r="J104" s="14" t="n">
        <x:f>H104*I104</x:f>
        <x:v>325000000</x:v>
      </x:c>
      <x:c r="K104" s="12" t="str">
        <x:v>Trung bình</x:v>
      </x:c>
      <x:c r="L104" s="12" t="str">
        <x:v>Dữ liệu mẫu phục vụ demo quản trị ngân sách</x:v>
      </x:c>
    </x:row>
    <x:row r="105">
      <x:c r="A105" s="12" t="str">
        <x:v>DT-MKT-2026-104</x:v>
      </x:c>
      <x:c r="B105" s="12" t="n">
        <x:v>2026</x:v>
      </x:c>
      <x:c r="C105" s="12" t="str">
        <x:v>Q4</x:v>
      </x:c>
      <x:c r="D105" s="12" t="str">
        <x:v>Digital Marketing</x:v>
      </x:c>
      <x:c r="E105" s="12" t="str">
        <x:v>SEO content</x:v>
      </x:c>
      <x:c r="F105" s="12" t="str">
        <x:v>Kinh phí seo content cho digital marketing</x:v>
      </x:c>
      <x:c r="G105" s="12" t="str">
        <x:v>Lượt</x:v>
      </x:c>
      <x:c r="H105" s="12" t="n">
        <x:v>22</x:v>
      </x:c>
      <x:c r="I105" s="14" t="n">
        <x:v>120000000</x:v>
      </x:c>
      <x:c r="J105" s="14" t="n">
        <x:f>H105*I105</x:f>
        <x:v>2640000000</x:v>
      </x:c>
      <x:c r="K105" s="12" t="str">
        <x:v>Trung bình</x:v>
      </x:c>
      <x:c r="L105" s="12" t="str">
        <x:v>Dữ liệu mẫu phục vụ demo quản trị ngân sách</x:v>
      </x:c>
    </x:row>
    <x:row r="106">
      <x:c r="A106" s="12" t="str">
        <x:v>DT-MKT-2026-105</x:v>
      </x:c>
      <x:c r="B106" s="12" t="n">
        <x:v>2026</x:v>
      </x:c>
      <x:c r="C106" s="12" t="str">
        <x:v>Q1</x:v>
      </x:c>
      <x:c r="D106" s="12" t="str">
        <x:v>Quản trị thương hiệu</x:v>
      </x:c>
      <x:c r="E106" s="12" t="str">
        <x:v>Khảo sát thị trường</x:v>
      </x:c>
      <x:c r="F106" s="12" t="str">
        <x:v>Kinh phí khảo sát thị trường cho quản trị thương hiệu</x:v>
      </x:c>
      <x:c r="G106" s="12" t="str">
        <x:v>Lượt</x:v>
      </x:c>
      <x:c r="H106" s="12" t="n">
        <x:v>8</x:v>
      </x:c>
      <x:c r="I106" s="14" t="n">
        <x:v>20000000</x:v>
      </x:c>
      <x:c r="J106" s="14" t="n">
        <x:f>H106*I106</x:f>
        <x:v>160000000</x:v>
      </x:c>
      <x:c r="K106" s="12" t="str">
        <x:v>Thấp</x:v>
      </x:c>
      <x:c r="L106" s="12" t="str">
        <x:v>Dữ liệu mẫu phục vụ demo quản trị ngân sách</x:v>
      </x:c>
    </x:row>
    <x:row r="107">
      <x:c r="A107" s="12" t="str">
        <x:v>DT-MKT-2026-106</x:v>
      </x:c>
      <x:c r="B107" s="12" t="n">
        <x:v>2026</x:v>
      </x:c>
      <x:c r="C107" s="12" t="str">
        <x:v>Q2</x:v>
      </x:c>
      <x:c r="D107" s="12" t="str">
        <x:v>Sự kiện truyền thông</x:v>
      </x:c>
      <x:c r="E107" s="12" t="str">
        <x:v>SEO content</x:v>
      </x:c>
      <x:c r="F107" s="12" t="str">
        <x:v>Kinh phí seo content cho sự kiện truyền thông</x:v>
      </x:c>
      <x:c r="G107" s="12" t="str">
        <x:v>Lượt</x:v>
      </x:c>
      <x:c r="H107" s="12" t="n">
        <x:v>27</x:v>
      </x:c>
      <x:c r="I107" s="14" t="n">
        <x:v>25000000</x:v>
      </x:c>
      <x:c r="J107" s="14" t="n">
        <x:f>H107*I107</x:f>
        <x:v>675000000</x:v>
      </x:c>
      <x:c r="K107" s="12" t="str">
        <x:v>Trung bình</x:v>
      </x:c>
      <x:c r="L107" s="12" t="str">
        <x:v>Dữ liệu mẫu phục vụ demo quản trị ngân sách</x:v>
      </x:c>
    </x:row>
    <x:row r="108">
      <x:c r="A108" s="12" t="str">
        <x:v>DT-MKT-2026-107</x:v>
      </x:c>
      <x:c r="B108" s="12" t="n">
        <x:v>2026</x:v>
      </x:c>
      <x:c r="C108" s="12" t="str">
        <x:v>Q3</x:v>
      </x:c>
      <x:c r="D108" s="12" t="str">
        <x:v>Truyền thông nội bộ</x:v>
      </x:c>
      <x:c r="E108" s="12" t="str">
        <x:v>Booking báo chí</x:v>
      </x:c>
      <x:c r="F108" s="12" t="str">
        <x:v>Kinh phí booking báo chí cho truyền thông nội bộ</x:v>
      </x:c>
      <x:c r="G108" s="12" t="str">
        <x:v>Lượt</x:v>
      </x:c>
      <x:c r="H108" s="12" t="n">
        <x:v>36</x:v>
      </x:c>
      <x:c r="I108" s="14" t="n">
        <x:v>10000000</x:v>
      </x:c>
      <x:c r="J108" s="14" t="n">
        <x:f>H108*I108</x:f>
        <x:v>360000000</x:v>
      </x:c>
      <x:c r="K108" s="12" t="str">
        <x:v>Cao</x:v>
      </x:c>
      <x:c r="L108" s="12" t="str">
        <x:v>Dữ liệu mẫu phục vụ demo quản trị ngân sách</x:v>
      </x:c>
    </x:row>
    <x:row r="109">
      <x:c r="A109" s="12" t="str">
        <x:v>DT-MKT-2026-108</x:v>
      </x:c>
      <x:c r="B109" s="12" t="n">
        <x:v>2026</x:v>
      </x:c>
      <x:c r="C109" s="12" t="str">
        <x:v>Q4</x:v>
      </x:c>
      <x:c r="D109" s="12" t="str">
        <x:v>Social Media</x:v>
      </x:c>
      <x:c r="E109" s="12" t="str">
        <x:v>SEO content</x:v>
      </x:c>
      <x:c r="F109" s="12" t="str">
        <x:v>Kinh phí seo content cho social media</x:v>
      </x:c>
      <x:c r="G109" s="12" t="str">
        <x:v>Lượt</x:v>
      </x:c>
      <x:c r="H109" s="12" t="n">
        <x:v>25</x:v>
      </x:c>
      <x:c r="I109" s="14" t="n">
        <x:v>10000000</x:v>
      </x:c>
      <x:c r="J109" s="14" t="n">
        <x:f>H109*I109</x:f>
        <x:v>250000000</x:v>
      </x:c>
      <x:c r="K109" s="12" t="str">
        <x:v>Thấp</x:v>
      </x:c>
      <x:c r="L109" s="12" t="str">
        <x:v>Dữ liệu mẫu phục vụ demo quản trị ngân sách</x:v>
      </x:c>
    </x:row>
    <x:row r="110">
      <x:c r="A110" s="12" t="str">
        <x:v>DT-MKT-2026-109</x:v>
      </x:c>
      <x:c r="B110" s="12" t="n">
        <x:v>2026</x:v>
      </x:c>
      <x:c r="C110" s="12" t="str">
        <x:v>Q1</x:v>
      </x:c>
      <x:c r="D110" s="12" t="str">
        <x:v>Nghiên cứu thị trường</x:v>
      </x:c>
      <x:c r="E110" s="12" t="str">
        <x:v>Booking báo chí</x:v>
      </x:c>
      <x:c r="F110" s="12" t="str">
        <x:v>Kinh phí booking báo chí cho nghiên cứu thị trường</x:v>
      </x:c>
      <x:c r="G110" s="12" t="str">
        <x:v>Lượt</x:v>
      </x:c>
      <x:c r="H110" s="12" t="n">
        <x:v>26</x:v>
      </x:c>
      <x:c r="I110" s="14" t="n">
        <x:v>80000000</x:v>
      </x:c>
      <x:c r="J110" s="14" t="n">
        <x:f>H110*I110</x:f>
        <x:v>2080000000</x:v>
      </x:c>
      <x:c r="K110" s="12" t="str">
        <x:v>Cao</x:v>
      </x:c>
      <x:c r="L110" s="12" t="str">
        <x:v>Dữ liệu mẫu phục vụ demo quản trị ngân sách</x:v>
      </x:c>
    </x:row>
    <x:row r="111">
      <x:c r="A111" s="12" t="str">
        <x:v>DT-MKT-2026-110</x:v>
      </x:c>
      <x:c r="B111" s="12" t="n">
        <x:v>2026</x:v>
      </x:c>
      <x:c r="C111" s="12" t="str">
        <x:v>Q2</x:v>
      </x:c>
      <x:c r="D111" s="12" t="str">
        <x:v>Sự kiện truyền thông</x:v>
      </x:c>
      <x:c r="E111" s="12" t="str">
        <x:v>Booking báo chí</x:v>
      </x:c>
      <x:c r="F111" s="12" t="str">
        <x:v>Kinh phí booking báo chí cho sự kiện truyền thông</x:v>
      </x:c>
      <x:c r="G111" s="12" t="str">
        <x:v>Lượt</x:v>
      </x:c>
      <x:c r="H111" s="12" t="n">
        <x:v>14</x:v>
      </x:c>
      <x:c r="I111" s="14" t="n">
        <x:v>30000000</x:v>
      </x:c>
      <x:c r="J111" s="14" t="n">
        <x:f>H111*I111</x:f>
        <x:v>420000000</x:v>
      </x:c>
      <x:c r="K111" s="12" t="str">
        <x:v>Thấp</x:v>
      </x:c>
      <x:c r="L111" s="12" t="str">
        <x:v>Dữ liệu mẫu phục vụ demo quản trị ngân sách</x:v>
      </x:c>
    </x:row>
    <x:row r="112">
      <x:c r="A112" s="12" t="str">
        <x:v>DT-MKT-2026-111</x:v>
      </x:c>
      <x:c r="B112" s="12" t="n">
        <x:v>2026</x:v>
      </x:c>
      <x:c r="C112" s="12" t="str">
        <x:v>Q3</x:v>
      </x:c>
      <x:c r="D112" s="12" t="str">
        <x:v>Nghiên cứu thị trường</x:v>
      </x:c>
      <x:c r="E112" s="12" t="str">
        <x:v>SEO content</x:v>
      </x:c>
      <x:c r="F112" s="12" t="str">
        <x:v>Kinh phí seo content cho nghiên cứu thị trường</x:v>
      </x:c>
      <x:c r="G112" s="12" t="str">
        <x:v>Lượt</x:v>
      </x:c>
      <x:c r="H112" s="12" t="n">
        <x:v>21</x:v>
      </x:c>
      <x:c r="I112" s="14" t="n">
        <x:v>50000000</x:v>
      </x:c>
      <x:c r="J112" s="14" t="n">
        <x:f>H112*I112</x:f>
        <x:v>1050000000</x:v>
      </x:c>
      <x:c r="K112" s="12" t="str">
        <x:v>Trung bình</x:v>
      </x:c>
      <x:c r="L112" s="12" t="str">
        <x:v>Dữ liệu mẫu phục vụ demo quản trị ngân sách</x:v>
      </x:c>
    </x:row>
    <x:row r="113">
      <x:c r="A113" s="12" t="str">
        <x:v>DT-MKT-2026-112</x:v>
      </x:c>
      <x:c r="B113" s="12" t="n">
        <x:v>2026</x:v>
      </x:c>
      <x:c r="C113" s="12" t="str">
        <x:v>Q4</x:v>
      </x:c>
      <x:c r="D113" s="12" t="str">
        <x:v>Video/Photo Production</x:v>
      </x:c>
      <x:c r="E113" s="12" t="str">
        <x:v>SEO content</x:v>
      </x:c>
      <x:c r="F113" s="12" t="str">
        <x:v>Kinh phí seo content cho video/photo production</x:v>
      </x:c>
      <x:c r="G113" s="12" t="str">
        <x:v>Lượt</x:v>
      </x:c>
      <x:c r="H113" s="12" t="n">
        <x:v>14</x:v>
      </x:c>
      <x:c r="I113" s="14" t="n">
        <x:v>80000000</x:v>
      </x:c>
      <x:c r="J113" s="14" t="n">
        <x:f>H113*I113</x:f>
        <x:v>1120000000</x:v>
      </x:c>
      <x:c r="K113" s="12" t="str">
        <x:v>Trung bình</x:v>
      </x:c>
      <x:c r="L113" s="12" t="str">
        <x:v>Dữ liệu mẫu phục vụ demo quản trị ngân sách</x:v>
      </x:c>
    </x:row>
    <x:row r="114">
      <x:c r="A114" s="12" t="str">
        <x:v>DT-MKT-2026-113</x:v>
      </x:c>
      <x:c r="B114" s="12" t="n">
        <x:v>2026</x:v>
      </x:c>
      <x:c r="C114" s="12" t="str">
        <x:v>Q1</x:v>
      </x:c>
      <x:c r="D114" s="12" t="str">
        <x:v>Truyền thông nội bộ</x:v>
      </x:c>
      <x:c r="E114" s="12" t="str">
        <x:v>Sản xuất video</x:v>
      </x:c>
      <x:c r="F114" s="12" t="str">
        <x:v>Kinh phí sản xuất video cho truyền thông nội bộ</x:v>
      </x:c>
      <x:c r="G114" s="12" t="str">
        <x:v>Lượt</x:v>
      </x:c>
      <x:c r="H114" s="12" t="n">
        <x:v>6</x:v>
      </x:c>
      <x:c r="I114" s="14" t="n">
        <x:v>20000000</x:v>
      </x:c>
      <x:c r="J114" s="14" t="n">
        <x:f>H114*I114</x:f>
        <x:v>120000000</x:v>
      </x:c>
      <x:c r="K114" s="12" t="str">
        <x:v>Thấp</x:v>
      </x:c>
      <x:c r="L114" s="12" t="str">
        <x:v>Dữ liệu mẫu phục vụ demo quản trị ngân sách</x:v>
      </x:c>
    </x:row>
    <x:row r="115">
      <x:c r="A115" s="12" t="str">
        <x:v>DT-MKT-2026-114</x:v>
      </x:c>
      <x:c r="B115" s="12" t="n">
        <x:v>2026</x:v>
      </x:c>
      <x:c r="C115" s="12" t="str">
        <x:v>Q2</x:v>
      </x:c>
      <x:c r="D115" s="12" t="str">
        <x:v>Quản trị thương hiệu</x:v>
      </x:c>
      <x:c r="E115" s="12" t="str">
        <x:v>SEO content</x:v>
      </x:c>
      <x:c r="F115" s="12" t="str">
        <x:v>Kinh phí seo content cho quản trị thương hiệu</x:v>
      </x:c>
      <x:c r="G115" s="12" t="str">
        <x:v>Lượt</x:v>
      </x:c>
      <x:c r="H115" s="12" t="n">
        <x:v>40</x:v>
      </x:c>
      <x:c r="I115" s="14" t="n">
        <x:v>25000000</x:v>
      </x:c>
      <x:c r="J115" s="14" t="n">
        <x:f>H115*I115</x:f>
        <x:v>1000000000</x:v>
      </x:c>
      <x:c r="K115" s="12" t="str">
        <x:v>Cao</x:v>
      </x:c>
      <x:c r="L115" s="12" t="str">
        <x:v>Dữ liệu mẫu phục vụ demo quản trị ngân sách</x:v>
      </x:c>
    </x:row>
    <x:row r="116">
      <x:c r="A116" s="12" t="str">
        <x:v>DT-MKT-2026-115</x:v>
      </x:c>
      <x:c r="B116" s="12" t="n">
        <x:v>2026</x:v>
      </x:c>
      <x:c r="C116" s="12" t="str">
        <x:v>Q3</x:v>
      </x:c>
      <x:c r="D116" s="12" t="str">
        <x:v>Quan hệ báo chí</x:v>
      </x:c>
      <x:c r="E116" s="12" t="str">
        <x:v>SEO content</x:v>
      </x:c>
      <x:c r="F116" s="12" t="str">
        <x:v>Kinh phí seo content cho quan hệ báo chí</x:v>
      </x:c>
      <x:c r="G116" s="12" t="str">
        <x:v>Lượt</x:v>
      </x:c>
      <x:c r="H116" s="12" t="n">
        <x:v>20</x:v>
      </x:c>
      <x:c r="I116" s="14" t="n">
        <x:v>15000000</x:v>
      </x:c>
      <x:c r="J116" s="14" t="n">
        <x:f>H116*I116</x:f>
        <x:v>300000000</x:v>
      </x:c>
      <x:c r="K116" s="12" t="str">
        <x:v>Cao</x:v>
      </x:c>
      <x:c r="L116" s="12" t="str">
        <x:v>Dữ liệu mẫu phục vụ demo quản trị ngân sách</x:v>
      </x:c>
    </x:row>
    <x:row r="117">
      <x:c r="A117" s="12" t="str">
        <x:v>DT-MKT-2026-116</x:v>
      </x:c>
      <x:c r="B117" s="12" t="n">
        <x:v>2026</x:v>
      </x:c>
      <x:c r="C117" s="12" t="str">
        <x:v>Q4</x:v>
      </x:c>
      <x:c r="D117" s="12" t="str">
        <x:v>Sản xuất nội dung</x:v>
      </x:c>
      <x:c r="E117" s="12" t="str">
        <x:v>Facebook/TikTok Ads</x:v>
      </x:c>
      <x:c r="F117" s="12" t="str">
        <x:v>Kinh phí facebook/tiktok ads cho sản xuất nội dung</x:v>
      </x:c>
      <x:c r="G117" s="12" t="str">
        <x:v>Gói</x:v>
      </x:c>
      <x:c r="H117" s="12" t="n">
        <x:v>1</x:v>
      </x:c>
      <x:c r="I117" s="14" t="n">
        <x:v>120000000</x:v>
      </x:c>
      <x:c r="J117" s="14" t="n">
        <x:f>H117*I117</x:f>
        <x:v>120000000</x:v>
      </x:c>
      <x:c r="K117" s="12" t="str">
        <x:v>Thấp</x:v>
      </x:c>
      <x:c r="L117" s="12" t="str">
        <x:v>Dữ liệu mẫu phục vụ demo quản trị ngân sách</x:v>
      </x:c>
    </x:row>
    <x:row r="118">
      <x:c r="A118" s="12" t="str">
        <x:v>DT-MKT-2026-117</x:v>
      </x:c>
      <x:c r="B118" s="12" t="n">
        <x:v>2026</x:v>
      </x:c>
      <x:c r="C118" s="12" t="str">
        <x:v>Q1</x:v>
      </x:c>
      <x:c r="D118" s="12" t="str">
        <x:v>Digital Marketing</x:v>
      </x:c>
      <x:c r="E118" s="12" t="str">
        <x:v>Phần mềm marketing</x:v>
      </x:c>
      <x:c r="F118" s="12" t="str">
        <x:v>Kinh phí phần mềm marketing cho digital marketing</x:v>
      </x:c>
      <x:c r="G118" s="12" t="str">
        <x:v>Lượt</x:v>
      </x:c>
      <x:c r="H118" s="12" t="n">
        <x:v>27</x:v>
      </x:c>
      <x:c r="I118" s="14" t="n">
        <x:v>120000000</x:v>
      </x:c>
      <x:c r="J118" s="14" t="n">
        <x:f>H118*I118</x:f>
        <x:v>3240000000</x:v>
      </x:c>
      <x:c r="K118" s="12" t="str">
        <x:v>Cao</x:v>
      </x:c>
      <x:c r="L118" s="12" t="str">
        <x:v>Dữ liệu mẫu phục vụ demo quản trị ngân sách</x:v>
      </x:c>
    </x:row>
    <x:row r="119">
      <x:c r="A119" s="12" t="str">
        <x:v>DT-MKT-2026-118</x:v>
      </x:c>
      <x:c r="B119" s="12" t="n">
        <x:v>2026</x:v>
      </x:c>
      <x:c r="C119" s="12" t="str">
        <x:v>Q2</x:v>
      </x:c>
      <x:c r="D119" s="12" t="str">
        <x:v>Truyền thông nội bộ</x:v>
      </x:c>
      <x:c r="E119" s="12" t="str">
        <x:v>Livestream</x:v>
      </x:c>
      <x:c r="F119" s="12" t="str">
        <x:v>Kinh phí livestream cho truyền thông nội bộ</x:v>
      </x:c>
      <x:c r="G119" s="12" t="str">
        <x:v>Lượt</x:v>
      </x:c>
      <x:c r="H119" s="12" t="n">
        <x:v>25</x:v>
      </x:c>
      <x:c r="I119" s="14" t="n">
        <x:v>50000000</x:v>
      </x:c>
      <x:c r="J119" s="14" t="n">
        <x:f>H119*I119</x:f>
        <x:v>1250000000</x:v>
      </x:c>
      <x:c r="K119" s="12" t="str">
        <x:v>Trung bình</x:v>
      </x:c>
      <x:c r="L119" s="12" t="str">
        <x:v>Dữ liệu mẫu phục vụ demo quản trị ngân sách</x:v>
      </x:c>
    </x:row>
    <x:row r="120">
      <x:c r="A120" s="12" t="str">
        <x:v>DT-MKT-2026-119</x:v>
      </x:c>
      <x:c r="B120" s="12" t="n">
        <x:v>2026</x:v>
      </x:c>
      <x:c r="C120" s="12" t="str">
        <x:v>Q3</x:v>
      </x:c>
      <x:c r="D120" s="12" t="str">
        <x:v>Quan hệ báo chí</x:v>
      </x:c>
      <x:c r="E120" s="12" t="str">
        <x:v>Sản xuất video</x:v>
      </x:c>
      <x:c r="F120" s="12" t="str">
        <x:v>Kinh phí sản xuất video cho quan hệ báo chí</x:v>
      </x:c>
      <x:c r="G120" s="12" t="str">
        <x:v>Gói</x:v>
      </x:c>
      <x:c r="H120" s="12" t="n">
        <x:v>1</x:v>
      </x:c>
      <x:c r="I120" s="14" t="n">
        <x:v>8000000</x:v>
      </x:c>
      <x:c r="J120" s="14" t="n">
        <x:f>H120*I120</x:f>
        <x:v>8000000</x:v>
      </x:c>
      <x:c r="K120" s="12" t="str">
        <x:v>Trung bình</x:v>
      </x:c>
      <x:c r="L120" s="12" t="str">
        <x:v>Dữ liệu mẫu phục vụ demo quản trị ngân sách</x:v>
      </x:c>
    </x:row>
    <x:row r="121">
      <x:c r="A121" s="12" t="str">
        <x:v>DT-MKT-2026-120</x:v>
      </x:c>
      <x:c r="B121" s="12" t="n">
        <x:v>2026</x:v>
      </x:c>
      <x:c r="C121" s="12" t="str">
        <x:v>Q4</x:v>
      </x:c>
      <x:c r="D121" s="12" t="str">
        <x:v>Quan hệ báo chí</x:v>
      </x:c>
      <x:c r="E121" s="12" t="str">
        <x:v>Sản xuất video</x:v>
      </x:c>
      <x:c r="F121" s="12" t="str">
        <x:v>Kinh phí sản xuất video cho quan hệ báo chí</x:v>
      </x:c>
      <x:c r="G121" s="12" t="str">
        <x:v>Lượt</x:v>
      </x:c>
      <x:c r="H121" s="12" t="n">
        <x:v>34</x:v>
      </x:c>
      <x:c r="I121" s="14" t="n">
        <x:v>50000000</x:v>
      </x:c>
      <x:c r="J121" s="14" t="n">
        <x:f>H121*I121</x:f>
        <x:v>1700000000</x:v>
      </x:c>
      <x:c r="K121" s="12" t="str">
        <x:v>Cao</x:v>
      </x:c>
      <x:c r="L121" s="12" t="str">
        <x:v>Dữ liệu mẫu phục vụ demo quản trị ngân sách</x:v>
      </x:c>
    </x:row>
    <x:row r="122">
      <x:c r="A122" s="12" t="str">
        <x:v>DT-MKT-2026-121</x:v>
      </x:c>
      <x:c r="B122" s="12" t="n">
        <x:v>2026</x:v>
      </x:c>
      <x:c r="C122" s="12" t="str">
        <x:v>Q1</x:v>
      </x:c>
      <x:c r="D122" s="12" t="str">
        <x:v>Email Marketing</x:v>
      </x:c>
      <x:c r="E122" s="12" t="str">
        <x:v>Thiết kế ấn phẩm</x:v>
      </x:c>
      <x:c r="F122" s="12" t="str">
        <x:v>Kinh phí thiết kế ấn phẩm cho email marketing</x:v>
      </x:c>
      <x:c r="G122" s="12" t="str">
        <x:v>Lượt</x:v>
      </x:c>
      <x:c r="H122" s="12" t="n">
        <x:v>8</x:v>
      </x:c>
      <x:c r="I122" s="14" t="n">
        <x:v>50000000</x:v>
      </x:c>
      <x:c r="J122" s="14" t="n">
        <x:f>H122*I122</x:f>
        <x:v>400000000</x:v>
      </x:c>
      <x:c r="K122" s="12" t="str">
        <x:v>Cao</x:v>
      </x:c>
      <x:c r="L122" s="12" t="str">
        <x:v>Dữ liệu mẫu phục vụ demo quản trị ngân sách</x:v>
      </x:c>
    </x:row>
    <x:row r="123">
      <x:c r="A123" s="12" t="str">
        <x:v>DT-MKT-2026-122</x:v>
      </x:c>
      <x:c r="B123" s="12" t="n">
        <x:v>2026</x:v>
      </x:c>
      <x:c r="C123" s="12" t="str">
        <x:v>Q2</x:v>
      </x:c>
      <x:c r="D123" s="12" t="str">
        <x:v>Video/Photo Production</x:v>
      </x:c>
      <x:c r="E123" s="12" t="str">
        <x:v>SEO content</x:v>
      </x:c>
      <x:c r="F123" s="12" t="str">
        <x:v>Kinh phí seo content cho video/photo production</x:v>
      </x:c>
      <x:c r="G123" s="12" t="str">
        <x:v>Lượt</x:v>
      </x:c>
      <x:c r="H123" s="12" t="n">
        <x:v>34</x:v>
      </x:c>
      <x:c r="I123" s="14" t="n">
        <x:v>80000000</x:v>
      </x:c>
      <x:c r="J123" s="14" t="n">
        <x:f>H123*I123</x:f>
        <x:v>2720000000</x:v>
      </x:c>
      <x:c r="K123" s="12" t="str">
        <x:v>Thấp</x:v>
      </x:c>
      <x:c r="L123" s="12" t="str">
        <x:v>Dữ liệu mẫu phục vụ demo quản trị ngân sách</x:v>
      </x:c>
    </x:row>
    <x:row r="124">
      <x:c r="A124" s="12" t="str">
        <x:v>DT-MKT-2026-123</x:v>
      </x:c>
      <x:c r="B124" s="12" t="n">
        <x:v>2026</x:v>
      </x:c>
      <x:c r="C124" s="12" t="str">
        <x:v>Q3</x:v>
      </x:c>
      <x:c r="D124" s="12" t="str">
        <x:v>Website &amp; SEO</x:v>
      </x:c>
      <x:c r="E124" s="12" t="str">
        <x:v>Email automation</x:v>
      </x:c>
      <x:c r="F124" s="12" t="str">
        <x:v>Kinh phí email automation cho website &amp; seo</x:v>
      </x:c>
      <x:c r="G124" s="12" t="str">
        <x:v>Lượt</x:v>
      </x:c>
      <x:c r="H124" s="12" t="n">
        <x:v>29</x:v>
      </x:c>
      <x:c r="I124" s="14" t="n">
        <x:v>120000000</x:v>
      </x:c>
      <x:c r="J124" s="14" t="n">
        <x:f>H124*I124</x:f>
        <x:v>3480000000</x:v>
      </x:c>
      <x:c r="K124" s="12" t="str">
        <x:v>Thấp</x:v>
      </x:c>
      <x:c r="L124" s="12" t="str">
        <x:v>Dữ liệu mẫu phục vụ demo quản trị ngân sách</x:v>
      </x:c>
    </x:row>
    <x:row r="125">
      <x:c r="A125" s="12" t="str">
        <x:v>DT-MKT-2026-124</x:v>
      </x:c>
      <x:c r="B125" s="12" t="n">
        <x:v>2026</x:v>
      </x:c>
      <x:c r="C125" s="12" t="str">
        <x:v>Q4</x:v>
      </x:c>
      <x:c r="D125" s="12" t="str">
        <x:v>Email Marketing</x:v>
      </x:c>
      <x:c r="E125" s="12" t="str">
        <x:v>KOL/Influencer</x:v>
      </x:c>
      <x:c r="F125" s="12" t="str">
        <x:v>Kinh phí kol/influencer cho email marketing</x:v>
      </x:c>
      <x:c r="G125" s="12" t="str">
        <x:v>Lượt</x:v>
      </x:c>
      <x:c r="H125" s="12" t="n">
        <x:v>36</x:v>
      </x:c>
      <x:c r="I125" s="14" t="n">
        <x:v>50000000</x:v>
      </x:c>
      <x:c r="J125" s="14" t="n">
        <x:f>H125*I125</x:f>
        <x:v>1800000000</x:v>
      </x:c>
      <x:c r="K125" s="12" t="str">
        <x:v>Cao</x:v>
      </x:c>
      <x:c r="L125" s="12" t="str">
        <x:v>Dữ liệu mẫu phục vụ demo quản trị ngân sách</x:v>
      </x:c>
    </x:row>
    <x:row r="126">
      <x:c r="A126" s="12" t="str">
        <x:v>DT-MKT-2026-125</x:v>
      </x:c>
      <x:c r="B126" s="12" t="n">
        <x:v>2026</x:v>
      </x:c>
      <x:c r="C126" s="12" t="str">
        <x:v>Q1</x:v>
      </x:c>
      <x:c r="D126" s="12" t="str">
        <x:v>Truyền thông nội bộ</x:v>
      </x:c>
      <x:c r="E126" s="12" t="str">
        <x:v>Khảo sát thị trường</x:v>
      </x:c>
      <x:c r="F126" s="12" t="str">
        <x:v>Kinh phí khảo sát thị trường cho truyền thông nội bộ</x:v>
      </x:c>
      <x:c r="G126" s="12" t="str">
        <x:v>Lượt</x:v>
      </x:c>
      <x:c r="H126" s="12" t="n">
        <x:v>31</x:v>
      </x:c>
      <x:c r="I126" s="14" t="n">
        <x:v>50000000</x:v>
      </x:c>
      <x:c r="J126" s="14" t="n">
        <x:f>H126*I126</x:f>
        <x:v>1550000000</x:v>
      </x:c>
      <x:c r="K126" s="12" t="str">
        <x:v>Trung bình</x:v>
      </x:c>
      <x:c r="L126" s="12" t="str">
        <x:v>Dữ liệu mẫu phục vụ demo quản trị ngân sách</x:v>
      </x:c>
    </x:row>
    <x:row r="127">
      <x:c r="A127" s="12" t="str">
        <x:v>DT-MKT-2026-126</x:v>
      </x:c>
      <x:c r="B127" s="12" t="n">
        <x:v>2026</x:v>
      </x:c>
      <x:c r="C127" s="12" t="str">
        <x:v>Q2</x:v>
      </x:c>
      <x:c r="D127" s="12" t="str">
        <x:v>Quan hệ báo chí</x:v>
      </x:c>
      <x:c r="E127" s="12" t="str">
        <x:v>Khảo sát thị trường</x:v>
      </x:c>
      <x:c r="F127" s="12" t="str">
        <x:v>Kinh phí khảo sát thị trường cho quan hệ báo chí</x:v>
      </x:c>
      <x:c r="G127" s="12" t="str">
        <x:v>Lượt</x:v>
      </x:c>
      <x:c r="H127" s="12" t="n">
        <x:v>18</x:v>
      </x:c>
      <x:c r="I127" s="14" t="n">
        <x:v>80000000</x:v>
      </x:c>
      <x:c r="J127" s="14" t="n">
        <x:f>H127*I127</x:f>
        <x:v>1440000000</x:v>
      </x:c>
      <x:c r="K127" s="12" t="str">
        <x:v>Trung bình</x:v>
      </x:c>
      <x:c r="L127" s="12" t="str">
        <x:v>Dữ liệu mẫu phục vụ demo quản trị ngân sách</x:v>
      </x:c>
    </x:row>
    <x:row r="128">
      <x:c r="A128" s="12" t="str">
        <x:v>DT-MKT-2026-127</x:v>
      </x:c>
      <x:c r="B128" s="12" t="n">
        <x:v>2026</x:v>
      </x:c>
      <x:c r="C128" s="12" t="str">
        <x:v>Q3</x:v>
      </x:c>
      <x:c r="D128" s="12" t="str">
        <x:v>Quản trị thương hiệu</x:v>
      </x:c>
      <x:c r="E128" s="12" t="str">
        <x:v>Thiết kế ấn phẩm</x:v>
      </x:c>
      <x:c r="F128" s="12" t="str">
        <x:v>Kinh phí thiết kế ấn phẩm cho quản trị thương hiệu</x:v>
      </x:c>
      <x:c r="G128" s="12" t="str">
        <x:v>Lượt</x:v>
      </x:c>
      <x:c r="H128" s="12" t="n">
        <x:v>18</x:v>
      </x:c>
      <x:c r="I128" s="14" t="n">
        <x:v>50000000</x:v>
      </x:c>
      <x:c r="J128" s="14" t="n">
        <x:f>H128*I128</x:f>
        <x:v>900000000</x:v>
      </x:c>
      <x:c r="K128" s="12" t="str">
        <x:v>Cao</x:v>
      </x:c>
      <x:c r="L128" s="12" t="str">
        <x:v>Dữ liệu mẫu phục vụ demo quản trị ngân sách</x:v>
      </x:c>
    </x:row>
    <x:row r="129">
      <x:c r="A129" s="12" t="str">
        <x:v>DT-MKT-2026-128</x:v>
      </x:c>
      <x:c r="B129" s="12" t="n">
        <x:v>2026</x:v>
      </x:c>
      <x:c r="C129" s="12" t="str">
        <x:v>Q4</x:v>
      </x:c>
      <x:c r="D129" s="12" t="str">
        <x:v>Truyền thông nội bộ</x:v>
      </x:c>
      <x:c r="E129" s="12" t="str">
        <x:v>Booking báo chí</x:v>
      </x:c>
      <x:c r="F129" s="12" t="str">
        <x:v>Kinh phí booking báo chí cho truyền thông nội bộ</x:v>
      </x:c>
      <x:c r="G129" s="12" t="str">
        <x:v>Lượt</x:v>
      </x:c>
      <x:c r="H129" s="12" t="n">
        <x:v>16</x:v>
      </x:c>
      <x:c r="I129" s="14" t="n">
        <x:v>20000000</x:v>
      </x:c>
      <x:c r="J129" s="14" t="n">
        <x:f>H129*I129</x:f>
        <x:v>320000000</x:v>
      </x:c>
      <x:c r="K129" s="12" t="str">
        <x:v>Trung bình</x:v>
      </x:c>
      <x:c r="L129" s="12" t="str">
        <x:v>Dữ liệu mẫu phục vụ demo quản trị ngân sách</x:v>
      </x:c>
    </x:row>
    <x:row r="130">
      <x:c r="A130" s="12" t="str">
        <x:v>DT-MKT-2026-129</x:v>
      </x:c>
      <x:c r="B130" s="12" t="n">
        <x:v>2026</x:v>
      </x:c>
      <x:c r="C130" s="12" t="str">
        <x:v>Q1</x:v>
      </x:c>
      <x:c r="D130" s="12" t="str">
        <x:v>Website &amp; SEO</x:v>
      </x:c>
      <x:c r="E130" s="12" t="str">
        <x:v>PR agency</x:v>
      </x:c>
      <x:c r="F130" s="12" t="str">
        <x:v>Kinh phí pr agency cho website &amp; seo</x:v>
      </x:c>
      <x:c r="G130" s="12" t="str">
        <x:v>Lượt</x:v>
      </x:c>
      <x:c r="H130" s="12" t="n">
        <x:v>35</x:v>
      </x:c>
      <x:c r="I130" s="14" t="n">
        <x:v>8000000</x:v>
      </x:c>
      <x:c r="J130" s="14" t="n">
        <x:f>H130*I130</x:f>
        <x:v>280000000</x:v>
      </x:c>
      <x:c r="K130" s="12" t="str">
        <x:v>Cao</x:v>
      </x:c>
      <x:c r="L130" s="12" t="str">
        <x:v>Dữ liệu mẫu phục vụ demo quản trị ngân sách</x:v>
      </x:c>
    </x:row>
    <x:row r="131">
      <x:c r="A131" s="12" t="str">
        <x:v>DT-MKT-2026-130</x:v>
      </x:c>
      <x:c r="B131" s="12" t="n">
        <x:v>2026</x:v>
      </x:c>
      <x:c r="C131" s="12" t="str">
        <x:v>Q2</x:v>
      </x:c>
      <x:c r="D131" s="12" t="str">
        <x:v>Sản xuất nội dung</x:v>
      </x:c>
      <x:c r="E131" s="12" t="str">
        <x:v>Thiết kế ấn phẩm</x:v>
      </x:c>
      <x:c r="F131" s="12" t="str">
        <x:v>Kinh phí thiết kế ấn phẩm cho sản xuất nội dung</x:v>
      </x:c>
      <x:c r="G131" s="12" t="str">
        <x:v>Lượt</x:v>
      </x:c>
      <x:c r="H131" s="12" t="n">
        <x:v>25</x:v>
      </x:c>
      <x:c r="I131" s="14" t="n">
        <x:v>10000000</x:v>
      </x:c>
      <x:c r="J131" s="14" t="n">
        <x:f>H131*I131</x:f>
        <x:v>250000000</x:v>
      </x:c>
      <x:c r="K131" s="12" t="str">
        <x:v>Thấp</x:v>
      </x:c>
      <x:c r="L131" s="12" t="str">
        <x:v>Dữ liệu mẫu phục vụ demo quản trị ngân sách</x:v>
      </x:c>
    </x:row>
    <x:row r="132">
      <x:c r="A132" s="12" t="str">
        <x:v>DT-MKT-2026-131</x:v>
      </x:c>
      <x:c r="B132" s="12" t="n">
        <x:v>2026</x:v>
      </x:c>
      <x:c r="C132" s="12" t="str">
        <x:v>Q3</x:v>
      </x:c>
      <x:c r="D132" s="12" t="str">
        <x:v>Quan hệ báo chí</x:v>
      </x:c>
      <x:c r="E132" s="12" t="str">
        <x:v>Google Ads</x:v>
      </x:c>
      <x:c r="F132" s="12" t="str">
        <x:v>Kinh phí google ads cho quan hệ báo chí</x:v>
      </x:c>
      <x:c r="G132" s="12" t="str">
        <x:v>Lượt</x:v>
      </x:c>
      <x:c r="H132" s="12" t="n">
        <x:v>7</x:v>
      </x:c>
      <x:c r="I132" s="14" t="n">
        <x:v>100000000</x:v>
      </x:c>
      <x:c r="J132" s="14" t="n">
        <x:f>H132*I132</x:f>
        <x:v>700000000</x:v>
      </x:c>
      <x:c r="K132" s="12" t="str">
        <x:v>Thấp</x:v>
      </x:c>
      <x:c r="L132" s="12" t="str">
        <x:v>Dữ liệu mẫu phục vụ demo quản trị ngân sách</x:v>
      </x:c>
    </x:row>
    <x:row r="133">
      <x:c r="A133" s="12" t="str">
        <x:v>DT-MKT-2026-132</x:v>
      </x:c>
      <x:c r="B133" s="12" t="n">
        <x:v>2026</x:v>
      </x:c>
      <x:c r="C133" s="12" t="str">
        <x:v>Q4</x:v>
      </x:c>
      <x:c r="D133" s="12" t="str">
        <x:v>Video/Photo Production</x:v>
      </x:c>
      <x:c r="E133" s="12" t="str">
        <x:v>KOL/Influencer</x:v>
      </x:c>
      <x:c r="F133" s="12" t="str">
        <x:v>Kinh phí kol/influencer cho video/photo production</x:v>
      </x:c>
      <x:c r="G133" s="12" t="str">
        <x:v>Gói</x:v>
      </x:c>
      <x:c r="H133" s="12" t="n">
        <x:v>4</x:v>
      </x:c>
      <x:c r="I133" s="14" t="n">
        <x:v>15000000</x:v>
      </x:c>
      <x:c r="J133" s="14" t="n">
        <x:f>H133*I133</x:f>
        <x:v>60000000</x:v>
      </x:c>
      <x:c r="K133" s="12" t="str">
        <x:v>Trung bình</x:v>
      </x:c>
      <x:c r="L133" s="12" t="str">
        <x:v>Dữ liệu mẫu phục vụ demo quản trị ngân sách</x:v>
      </x:c>
    </x:row>
    <x:row r="134">
      <x:c r="A134" s="12" t="str">
        <x:v>DT-MKT-2026-133</x:v>
      </x:c>
      <x:c r="B134" s="12" t="n">
        <x:v>2026</x:v>
      </x:c>
      <x:c r="C134" s="12" t="str">
        <x:v>Q1</x:v>
      </x:c>
      <x:c r="D134" s="12" t="str">
        <x:v>Social Media</x:v>
      </x:c>
      <x:c r="E134" s="12" t="str">
        <x:v>PR agency</x:v>
      </x:c>
      <x:c r="F134" s="12" t="str">
        <x:v>Kinh phí pr agency cho social media</x:v>
      </x:c>
      <x:c r="G134" s="12" t="str">
        <x:v>Lượt</x:v>
      </x:c>
      <x:c r="H134" s="12" t="n">
        <x:v>38</x:v>
      </x:c>
      <x:c r="I134" s="14" t="n">
        <x:v>5000000</x:v>
      </x:c>
      <x:c r="J134" s="14" t="n">
        <x:f>H134*I134</x:f>
        <x:v>190000000</x:v>
      </x:c>
      <x:c r="K134" s="12" t="str">
        <x:v>Thấp</x:v>
      </x:c>
      <x:c r="L134" s="12" t="str">
        <x:v>Dữ liệu mẫu phục vụ demo quản trị ngân sách</x:v>
      </x:c>
    </x:row>
    <x:row r="135">
      <x:c r="A135" s="12" t="str">
        <x:v>DT-MKT-2026-134</x:v>
      </x:c>
      <x:c r="B135" s="12" t="n">
        <x:v>2026</x:v>
      </x:c>
      <x:c r="C135" s="12" t="str">
        <x:v>Q2</x:v>
      </x:c>
      <x:c r="D135" s="12" t="str">
        <x:v>Social Media</x:v>
      </x:c>
      <x:c r="E135" s="12" t="str">
        <x:v>Phần mềm marketing</x:v>
      </x:c>
      <x:c r="F135" s="12" t="str">
        <x:v>Kinh phí phần mềm marketing cho social media</x:v>
      </x:c>
      <x:c r="G135" s="12" t="str">
        <x:v>Gói</x:v>
      </x:c>
      <x:c r="H135" s="12" t="n">
        <x:v>1</x:v>
      </x:c>
      <x:c r="I135" s="14" t="n">
        <x:v>25000000</x:v>
      </x:c>
      <x:c r="J135" s="14" t="n">
        <x:f>H135*I135</x:f>
        <x:v>25000000</x:v>
      </x:c>
      <x:c r="K135" s="12" t="str">
        <x:v>Trung bình</x:v>
      </x:c>
      <x:c r="L135" s="12" t="str">
        <x:v>Dữ liệu mẫu phục vụ demo quản trị ngân sách</x:v>
      </x:c>
    </x:row>
    <x:row r="136">
      <x:c r="A136" s="12" t="str">
        <x:v>DT-MKT-2026-135</x:v>
      </x:c>
      <x:c r="B136" s="12" t="n">
        <x:v>2026</x:v>
      </x:c>
      <x:c r="C136" s="12" t="str">
        <x:v>Q3</x:v>
      </x:c>
      <x:c r="D136" s="12" t="str">
        <x:v>Social Media</x:v>
      </x:c>
      <x:c r="E136" s="12" t="str">
        <x:v>Khảo sát thị trường</x:v>
      </x:c>
      <x:c r="F136" s="12" t="str">
        <x:v>Kinh phí khảo sát thị trường cho social media</x:v>
      </x:c>
      <x:c r="G136" s="12" t="str">
        <x:v>Lượt</x:v>
      </x:c>
      <x:c r="H136" s="12" t="n">
        <x:v>27</x:v>
      </x:c>
      <x:c r="I136" s="14" t="n">
        <x:v>80000000</x:v>
      </x:c>
      <x:c r="J136" s="14" t="n">
        <x:f>H136*I136</x:f>
        <x:v>2160000000</x:v>
      </x:c>
      <x:c r="K136" s="12" t="str">
        <x:v>Thấp</x:v>
      </x:c>
      <x:c r="L136" s="12" t="str">
        <x:v>Dữ liệu mẫu phục vụ demo quản trị ngân sách</x:v>
      </x:c>
    </x:row>
    <x:row r="137">
      <x:c r="A137" s="12" t="str">
        <x:v>DT-MKT-2026-136</x:v>
      </x:c>
      <x:c r="B137" s="12" t="n">
        <x:v>2026</x:v>
      </x:c>
      <x:c r="C137" s="12" t="str">
        <x:v>Q4</x:v>
      </x:c>
      <x:c r="D137" s="12" t="str">
        <x:v>Truyền thông nội bộ</x:v>
      </x:c>
      <x:c r="E137" s="12" t="str">
        <x:v>In ấn POSM</x:v>
      </x:c>
      <x:c r="F137" s="12" t="str">
        <x:v>Kinh phí in ấn posm cho truyền thông nội bộ</x:v>
      </x:c>
      <x:c r="G137" s="12" t="str">
        <x:v>Lượt</x:v>
      </x:c>
      <x:c r="H137" s="12" t="n">
        <x:v>39</x:v>
      </x:c>
      <x:c r="I137" s="14" t="n">
        <x:v>15000000</x:v>
      </x:c>
      <x:c r="J137" s="14" t="n">
        <x:f>H137*I137</x:f>
        <x:v>585000000</x:v>
      </x:c>
      <x:c r="K137" s="12" t="str">
        <x:v>Trung bình</x:v>
      </x:c>
      <x:c r="L137" s="12" t="str">
        <x:v>Dữ liệu mẫu phục vụ demo quản trị ngân sách</x:v>
      </x:c>
    </x:row>
    <x:row r="138">
      <x:c r="A138" s="12" t="str">
        <x:v>DT-MKT-2026-137</x:v>
      </x:c>
      <x:c r="B138" s="12" t="n">
        <x:v>2026</x:v>
      </x:c>
      <x:c r="C138" s="12" t="str">
        <x:v>Q1</x:v>
      </x:c>
      <x:c r="D138" s="12" t="str">
        <x:v>Quan hệ báo chí</x:v>
      </x:c>
      <x:c r="E138" s="12" t="str">
        <x:v>Booking báo chí</x:v>
      </x:c>
      <x:c r="F138" s="12" t="str">
        <x:v>Kinh phí booking báo chí cho quan hệ báo chí</x:v>
      </x:c>
      <x:c r="G138" s="12" t="str">
        <x:v>Lượt</x:v>
      </x:c>
      <x:c r="H138" s="12" t="n">
        <x:v>28</x:v>
      </x:c>
      <x:c r="I138" s="14" t="n">
        <x:v>50000000</x:v>
      </x:c>
      <x:c r="J138" s="14" t="n">
        <x:f>H138*I138</x:f>
        <x:v>1400000000</x:v>
      </x:c>
      <x:c r="K138" s="12" t="str">
        <x:v>Cao</x:v>
      </x:c>
      <x:c r="L138" s="12" t="str">
        <x:v>Dữ liệu mẫu phục vụ demo quản trị ngân sách</x:v>
      </x:c>
    </x:row>
    <x:row r="139">
      <x:c r="A139" s="12" t="str">
        <x:v>DT-MKT-2026-138</x:v>
      </x:c>
      <x:c r="B139" s="12" t="n">
        <x:v>2026</x:v>
      </x:c>
      <x:c r="C139" s="12" t="str">
        <x:v>Q2</x:v>
      </x:c>
      <x:c r="D139" s="12" t="str">
        <x:v>Social Media</x:v>
      </x:c>
      <x:c r="E139" s="12" t="str">
        <x:v>Tổ chức sự kiện</x:v>
      </x:c>
      <x:c r="F139" s="12" t="str">
        <x:v>Kinh phí tổ chức sự kiện cho social media</x:v>
      </x:c>
      <x:c r="G139" s="12" t="str">
        <x:v>Lượt</x:v>
      </x:c>
      <x:c r="H139" s="12" t="n">
        <x:v>26</x:v>
      </x:c>
      <x:c r="I139" s="14" t="n">
        <x:v>10000000</x:v>
      </x:c>
      <x:c r="J139" s="14" t="n">
        <x:f>H139*I139</x:f>
        <x:v>260000000</x:v>
      </x:c>
      <x:c r="K139" s="12" t="str">
        <x:v>Trung bình</x:v>
      </x:c>
      <x:c r="L139" s="12" t="str">
        <x:v>Dữ liệu mẫu phục vụ demo quản trị ngân sách</x:v>
      </x:c>
    </x:row>
    <x:row r="140">
      <x:c r="A140" s="12" t="str">
        <x:v>DT-MKT-2026-139</x:v>
      </x:c>
      <x:c r="B140" s="12" t="n">
        <x:v>2026</x:v>
      </x:c>
      <x:c r="C140" s="12" t="str">
        <x:v>Q3</x:v>
      </x:c>
      <x:c r="D140" s="12" t="str">
        <x:v>Sản xuất nội dung</x:v>
      </x:c>
      <x:c r="E140" s="12" t="str">
        <x:v>Chụp ảnh</x:v>
      </x:c>
      <x:c r="F140" s="12" t="str">
        <x:v>Kinh phí chụp ảnh cho sản xuất nội dung</x:v>
      </x:c>
      <x:c r="G140" s="12" t="str">
        <x:v>Lượt</x:v>
      </x:c>
      <x:c r="H140" s="12" t="n">
        <x:v>35</x:v>
      </x:c>
      <x:c r="I140" s="14" t="n">
        <x:v>5000000</x:v>
      </x:c>
      <x:c r="J140" s="14" t="n">
        <x:f>H140*I140</x:f>
        <x:v>175000000</x:v>
      </x:c>
      <x:c r="K140" s="12" t="str">
        <x:v>Trung bình</x:v>
      </x:c>
      <x:c r="L140" s="12" t="str">
        <x:v>Dữ liệu mẫu phục vụ demo quản trị ngân sách</x:v>
      </x:c>
    </x:row>
    <x:row r="141">
      <x:c r="A141" s="12" t="str">
        <x:v>DT-MKT-2026-140</x:v>
      </x:c>
      <x:c r="B141" s="12" t="n">
        <x:v>2026</x:v>
      </x:c>
      <x:c r="C141" s="12" t="str">
        <x:v>Q4</x:v>
      </x:c>
      <x:c r="D141" s="12" t="str">
        <x:v>Nghiên cứu thị trường</x:v>
      </x:c>
      <x:c r="E141" s="12" t="str">
        <x:v>Chụp ảnh</x:v>
      </x:c>
      <x:c r="F141" s="12" t="str">
        <x:v>Kinh phí chụp ảnh cho nghiên cứu thị trường</x:v>
      </x:c>
      <x:c r="G141" s="12" t="str">
        <x:v>Gói</x:v>
      </x:c>
      <x:c r="H141" s="12" t="n">
        <x:v>2</x:v>
      </x:c>
      <x:c r="I141" s="14" t="n">
        <x:v>8000000</x:v>
      </x:c>
      <x:c r="J141" s="14" t="n">
        <x:f>H141*I141</x:f>
        <x:v>16000000</x:v>
      </x:c>
      <x:c r="K141" s="12" t="str">
        <x:v>Thấp</x:v>
      </x:c>
      <x:c r="L141" s="12" t="str">
        <x:v>Dữ liệu mẫu phục vụ demo quản trị ngân sách</x:v>
      </x:c>
    </x:row>
    <x:row r="142">
      <x:c r="A142" s="12" t="str">
        <x:v>DT-MKT-2026-141</x:v>
      </x:c>
      <x:c r="B142" s="12" t="n">
        <x:v>2026</x:v>
      </x:c>
      <x:c r="C142" s="12" t="str">
        <x:v>Q1</x:v>
      </x:c>
      <x:c r="D142" s="12" t="str">
        <x:v>Social Media</x:v>
      </x:c>
      <x:c r="E142" s="12" t="str">
        <x:v>Sản xuất video</x:v>
      </x:c>
      <x:c r="F142" s="12" t="str">
        <x:v>Kinh phí sản xuất video cho social media</x:v>
      </x:c>
      <x:c r="G142" s="12" t="str">
        <x:v>Lượt</x:v>
      </x:c>
      <x:c r="H142" s="12" t="n">
        <x:v>30</x:v>
      </x:c>
      <x:c r="I142" s="14" t="n">
        <x:v>10000000</x:v>
      </x:c>
      <x:c r="J142" s="14" t="n">
        <x:f>H142*I142</x:f>
        <x:v>300000000</x:v>
      </x:c>
      <x:c r="K142" s="12" t="str">
        <x:v>Cao</x:v>
      </x:c>
      <x:c r="L142" s="12" t="str">
        <x:v>Dữ liệu mẫu phục vụ demo quản trị ngân sách</x:v>
      </x:c>
    </x:row>
    <x:row r="143">
      <x:c r="A143" s="12" t="str">
        <x:v>DT-MKT-2026-142</x:v>
      </x:c>
      <x:c r="B143" s="12" t="n">
        <x:v>2026</x:v>
      </x:c>
      <x:c r="C143" s="12" t="str">
        <x:v>Q2</x:v>
      </x:c>
      <x:c r="D143" s="12" t="str">
        <x:v>Sự kiện truyền thông</x:v>
      </x:c>
      <x:c r="E143" s="12" t="str">
        <x:v>KOL/Influencer</x:v>
      </x:c>
      <x:c r="F143" s="12" t="str">
        <x:v>Kinh phí kol/influencer cho sự kiện truyền thông</x:v>
      </x:c>
      <x:c r="G143" s="12" t="str">
        <x:v>Lượt</x:v>
      </x:c>
      <x:c r="H143" s="12" t="n">
        <x:v>21</x:v>
      </x:c>
      <x:c r="I143" s="14" t="n">
        <x:v>15000000</x:v>
      </x:c>
      <x:c r="J143" s="14" t="n">
        <x:f>H143*I143</x:f>
        <x:v>315000000</x:v>
      </x:c>
      <x:c r="K143" s="12" t="str">
        <x:v>Trung bình</x:v>
      </x:c>
      <x:c r="L143" s="12" t="str">
        <x:v>Dữ liệu mẫu phục vụ demo quản trị ngân sách</x:v>
      </x:c>
    </x:row>
    <x:row r="144">
      <x:c r="A144" s="12" t="str">
        <x:v>DT-MKT-2026-143</x:v>
      </x:c>
      <x:c r="B144" s="12" t="n">
        <x:v>2026</x:v>
      </x:c>
      <x:c r="C144" s="12" t="str">
        <x:v>Q3</x:v>
      </x:c>
      <x:c r="D144" s="12" t="str">
        <x:v>Website &amp; SEO</x:v>
      </x:c>
      <x:c r="E144" s="12" t="str">
        <x:v>Tổ chức sự kiện</x:v>
      </x:c>
      <x:c r="F144" s="12" t="str">
        <x:v>Kinh phí tổ chức sự kiện cho website &amp; seo</x:v>
      </x:c>
      <x:c r="G144" s="12" t="str">
        <x:v>Lượt</x:v>
      </x:c>
      <x:c r="H144" s="12" t="n">
        <x:v>25</x:v>
      </x:c>
      <x:c r="I144" s="14" t="n">
        <x:v>20000000</x:v>
      </x:c>
      <x:c r="J144" s="14" t="n">
        <x:f>H144*I144</x:f>
        <x:v>500000000</x:v>
      </x:c>
      <x:c r="K144" s="12" t="str">
        <x:v>Trung bình</x:v>
      </x:c>
      <x:c r="L144" s="12" t="str">
        <x:v>Dữ liệu mẫu phục vụ demo quản trị ngân sách</x:v>
      </x:c>
    </x:row>
    <x:row r="145">
      <x:c r="A145" s="12" t="str">
        <x:v>DT-MKT-2026-144</x:v>
      </x:c>
      <x:c r="B145" s="12" t="n">
        <x:v>2026</x:v>
      </x:c>
      <x:c r="C145" s="12" t="str">
        <x:v>Q4</x:v>
      </x:c>
      <x:c r="D145" s="12" t="str">
        <x:v>Sự kiện truyền thông</x:v>
      </x:c>
      <x:c r="E145" s="12" t="str">
        <x:v>Khảo sát thị trường</x:v>
      </x:c>
      <x:c r="F145" s="12" t="str">
        <x:v>Kinh phí khảo sát thị trường cho sự kiện truyền thông</x:v>
      </x:c>
      <x:c r="G145" s="12" t="str">
        <x:v>Lượt</x:v>
      </x:c>
      <x:c r="H145" s="12" t="n">
        <x:v>6</x:v>
      </x:c>
      <x:c r="I145" s="14" t="n">
        <x:v>50000000</x:v>
      </x:c>
      <x:c r="J145" s="14" t="n">
        <x:f>H145*I145</x:f>
        <x:v>300000000</x:v>
      </x:c>
      <x:c r="K145" s="12" t="str">
        <x:v>Cao</x:v>
      </x:c>
      <x:c r="L145" s="12" t="str">
        <x:v>Dữ liệu mẫu phục vụ demo quản trị ngân sách</x:v>
      </x:c>
    </x:row>
    <x:row r="146">
      <x:c r="A146" s="12" t="str">
        <x:v>DT-MKT-2026-145</x:v>
      </x:c>
      <x:c r="B146" s="12" t="n">
        <x:v>2026</x:v>
      </x:c>
      <x:c r="C146" s="12" t="str">
        <x:v>Q1</x:v>
      </x:c>
      <x:c r="D146" s="12" t="str">
        <x:v>Truyền thông nội bộ</x:v>
      </x:c>
      <x:c r="E146" s="12" t="str">
        <x:v>In ấn POSM</x:v>
      </x:c>
      <x:c r="F146" s="12" t="str">
        <x:v>Kinh phí in ấn posm cho truyền thông nội bộ</x:v>
      </x:c>
      <x:c r="G146" s="12" t="str">
        <x:v>Gói</x:v>
      </x:c>
      <x:c r="H146" s="12" t="n">
        <x:v>4</x:v>
      </x:c>
      <x:c r="I146" s="14" t="n">
        <x:v>25000000</x:v>
      </x:c>
      <x:c r="J146" s="14" t="n">
        <x:f>H146*I146</x:f>
        <x:v>100000000</x:v>
      </x:c>
      <x:c r="K146" s="12" t="str">
        <x:v>Cao</x:v>
      </x:c>
      <x:c r="L146" s="12" t="str">
        <x:v>Dữ liệu mẫu phục vụ demo quản trị ngân sách</x:v>
      </x:c>
    </x:row>
    <x:row r="147">
      <x:c r="A147" s="12" t="str">
        <x:v>DT-MKT-2026-146</x:v>
      </x:c>
      <x:c r="B147" s="12" t="n">
        <x:v>2026</x:v>
      </x:c>
      <x:c r="C147" s="12" t="str">
        <x:v>Q2</x:v>
      </x:c>
      <x:c r="D147" s="12" t="str">
        <x:v>Quản trị thương hiệu</x:v>
      </x:c>
      <x:c r="E147" s="12" t="str">
        <x:v>Google Ads</x:v>
      </x:c>
      <x:c r="F147" s="12" t="str">
        <x:v>Kinh phí google ads cho quản trị thương hiệu</x:v>
      </x:c>
      <x:c r="G147" s="12" t="str">
        <x:v>Lượt</x:v>
      </x:c>
      <x:c r="H147" s="12" t="n">
        <x:v>11</x:v>
      </x:c>
      <x:c r="I147" s="14" t="n">
        <x:v>50000000</x:v>
      </x:c>
      <x:c r="J147" s="14" t="n">
        <x:f>H147*I147</x:f>
        <x:v>550000000</x:v>
      </x:c>
      <x:c r="K147" s="12" t="str">
        <x:v>Cao</x:v>
      </x:c>
      <x:c r="L147" s="12" t="str">
        <x:v>Dữ liệu mẫu phục vụ demo quản trị ngân sách</x:v>
      </x:c>
    </x:row>
    <x:row r="148">
      <x:c r="A148" s="12" t="str">
        <x:v>DT-MKT-2026-147</x:v>
      </x:c>
      <x:c r="B148" s="12" t="n">
        <x:v>2026</x:v>
      </x:c>
      <x:c r="C148" s="12" t="str">
        <x:v>Q3</x:v>
      </x:c>
      <x:c r="D148" s="12" t="str">
        <x:v>Quan hệ báo chí</x:v>
      </x:c>
      <x:c r="E148" s="12" t="str">
        <x:v>Khảo sát thị trường</x:v>
      </x:c>
      <x:c r="F148" s="12" t="str">
        <x:v>Kinh phí khảo sát thị trường cho quan hệ báo chí</x:v>
      </x:c>
      <x:c r="G148" s="12" t="str">
        <x:v>Gói</x:v>
      </x:c>
      <x:c r="H148" s="12" t="n">
        <x:v>2</x:v>
      </x:c>
      <x:c r="I148" s="14" t="n">
        <x:v>120000000</x:v>
      </x:c>
      <x:c r="J148" s="14" t="n">
        <x:f>H148*I148</x:f>
        <x:v>240000000</x:v>
      </x:c>
      <x:c r="K148" s="12" t="str">
        <x:v>Cao</x:v>
      </x:c>
      <x:c r="L148" s="12" t="str">
        <x:v>Dữ liệu mẫu phục vụ demo quản trị ngân sách</x:v>
      </x:c>
    </x:row>
    <x:row r="149">
      <x:c r="A149" s="12" t="str">
        <x:v>DT-MKT-2026-148</x:v>
      </x:c>
      <x:c r="B149" s="12" t="n">
        <x:v>2026</x:v>
      </x:c>
      <x:c r="C149" s="12" t="str">
        <x:v>Q4</x:v>
      </x:c>
      <x:c r="D149" s="12" t="str">
        <x:v>Quan hệ báo chí</x:v>
      </x:c>
      <x:c r="E149" s="12" t="str">
        <x:v>Sản xuất video</x:v>
      </x:c>
      <x:c r="F149" s="12" t="str">
        <x:v>Kinh phí sản xuất video cho quan hệ báo chí</x:v>
      </x:c>
      <x:c r="G149" s="12" t="str">
        <x:v>Lượt</x:v>
      </x:c>
      <x:c r="H149" s="12" t="n">
        <x:v>31</x:v>
      </x:c>
      <x:c r="I149" s="14" t="n">
        <x:v>8000000</x:v>
      </x:c>
      <x:c r="J149" s="14" t="n">
        <x:f>H149*I149</x:f>
        <x:v>248000000</x:v>
      </x:c>
      <x:c r="K149" s="12" t="str">
        <x:v>Thấp</x:v>
      </x:c>
      <x:c r="L149" s="12" t="str">
        <x:v>Dữ liệu mẫu phục vụ demo quản trị ngân sách</x:v>
      </x:c>
    </x:row>
    <x:row r="150">
      <x:c r="A150" s="12" t="str">
        <x:v>DT-MKT-2026-149</x:v>
      </x:c>
      <x:c r="B150" s="12" t="n">
        <x:v>2026</x:v>
      </x:c>
      <x:c r="C150" s="12" t="str">
        <x:v>Q1</x:v>
      </x:c>
      <x:c r="D150" s="12" t="str">
        <x:v>Quan hệ báo chí</x:v>
      </x:c>
      <x:c r="E150" s="12" t="str">
        <x:v>Phần mềm marketing</x:v>
      </x:c>
      <x:c r="F150" s="12" t="str">
        <x:v>Kinh phí phần mềm marketing cho quan hệ báo chí</x:v>
      </x:c>
      <x:c r="G150" s="12" t="str">
        <x:v>Lượt</x:v>
      </x:c>
      <x:c r="H150" s="12" t="n">
        <x:v>17</x:v>
      </x:c>
      <x:c r="I150" s="14" t="n">
        <x:v>25000000</x:v>
      </x:c>
      <x:c r="J150" s="14" t="n">
        <x:f>H150*I150</x:f>
        <x:v>425000000</x:v>
      </x:c>
      <x:c r="K150" s="12" t="str">
        <x:v>Cao</x:v>
      </x:c>
      <x:c r="L150" s="12" t="str">
        <x:v>Dữ liệu mẫu phục vụ demo quản trị ngân sách</x:v>
      </x:c>
    </x:row>
    <x:row r="151">
      <x:c r="A151" s="12" t="str">
        <x:v>DT-MKT-2026-150</x:v>
      </x:c>
      <x:c r="B151" s="12" t="n">
        <x:v>2026</x:v>
      </x:c>
      <x:c r="C151" s="12" t="str">
        <x:v>Q2</x:v>
      </x:c>
      <x:c r="D151" s="12" t="str">
        <x:v>Nghiên cứu thị trường</x:v>
      </x:c>
      <x:c r="E151" s="12" t="str">
        <x:v>Chụp ảnh</x:v>
      </x:c>
      <x:c r="F151" s="12" t="str">
        <x:v>Kinh phí chụp ảnh cho nghiên cứu thị trường</x:v>
      </x:c>
      <x:c r="G151" s="12" t="str">
        <x:v>Lượt</x:v>
      </x:c>
      <x:c r="H151" s="12" t="n">
        <x:v>8</x:v>
      </x:c>
      <x:c r="I151" s="14" t="n">
        <x:v>10000000</x:v>
      </x:c>
      <x:c r="J151" s="14" t="n">
        <x:f>H151*I151</x:f>
        <x:v>80000000</x:v>
      </x:c>
      <x:c r="K151" s="12" t="str">
        <x:v>Trung bình</x:v>
      </x:c>
      <x:c r="L151" s="12" t="str">
        <x:v>Dữ liệu mẫu phục vụ demo quản trị ngân sách</x:v>
      </x:c>
    </x:row>
  </x:sheetData>
  <x:dataValidations count="2">
    <x:dataValidation type="list" sqref="D2:D151">
      <x:formula1>Danh_muc!$A$2:$A$13</x:formula1>
    </x:dataValidation>
    <x:dataValidation type="list" sqref="K2:K151">
      <x:formula1>Danh_muc!$C$2:$C$4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4125732963b455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>
      <x:c r="A1" s="6" t="str">
        <x:v>Tháng</x:v>
      </x:c>
      <x:c r="B1" s="6" t="str">
        <x:v>Quý</x:v>
      </x:c>
      <x:c r="C1" s="6" t="str">
        <x:v>Chương trình</x:v>
      </x:c>
      <x:c r="D1" s="6" t="str">
        <x:v>Ngân sách kế hoạch (VND)</x:v>
      </x:c>
      <x:c r="E1" s="6" t="str">
        <x:v>Thực chi (VND)</x:v>
      </x:c>
      <x:c r="F1" s="6" t="str">
        <x:v>Chênh lệch (VND)</x:v>
      </x:c>
      <x:c r="G1" s="6" t="str">
        <x:v>Tỷ lệ sử dụng</x:v>
      </x:c>
      <x:c r="H1" s="6" t="str">
        <x:v>Cảnh báo</x:v>
      </x:c>
      <x:c r="I1" s="6" t="str">
        <x:v>Người phụ trách</x:v>
      </x:c>
      <x:c r="J1" s="6" t="str">
        <x:v>Ghi chú</x:v>
      </x:c>
    </x:row>
    <x:row r="2">
      <x:c r="A2" s="16" t="n">
        <x:v>46023</x:v>
      </x:c>
      <x:c r="B2" s="12" t="str">
        <x:v>Q1</x:v>
      </x:c>
      <x:c r="C2" s="12" t="str">
        <x:v>Tuyển sinh &amp; truyền thông thương hiệu</x:v>
      </x:c>
      <x:c r="D2" s="14" t="n">
        <x:v>80000000</x:v>
      </x:c>
      <x:c r="E2" s="14" t="n">
        <x:v>78895598</x:v>
      </x:c>
      <x:c r="F2" s="14" t="n">
        <x:f>D2-E2</x:f>
        <x:v>1104402</x:v>
      </x:c>
      <x:c r="G2" s="18" t="n">
        <x:f>E2/D2</x:f>
        <x:v>0.986194975</x:v>
      </x:c>
      <x:c r="H2" s="12" t="str">
        <x:f>IF(G2&gt;1,"Vượt ngân sách",IF(G2&gt;0.9,"Cần theo dõi","Đúng kế hoạch"))</x:f>
        <x:v>Cần theo dõi</x:v>
      </x:c>
      <x:c r="I2" s="12" t="str">
        <x:v>Lê Thu Hà</x:v>
      </x:c>
      <x:c r="J2" s="12" t="str">
        <x:v>Theo dõi theo tháng</x:v>
      </x:c>
    </x:row>
    <x:row r="3">
      <x:c r="A3" s="16" t="n">
        <x:v>46023</x:v>
      </x:c>
      <x:c r="B3" s="12" t="str">
        <x:v>Q1</x:v>
      </x:c>
      <x:c r="C3" s="12" t="str">
        <x:v>Digital Marketing</x:v>
      </x:c>
      <x:c r="D3" s="14" t="n">
        <x:v>250000000</x:v>
      </x:c>
      <x:c r="E3" s="14" t="n">
        <x:v>257894937</x:v>
      </x:c>
      <x:c r="F3" s="14" t="n">
        <x:f>D3-E3</x:f>
        <x:v>-7894937</x:v>
      </x:c>
      <x:c r="G3" s="18" t="n">
        <x:f>E3/D3</x:f>
        <x:v>1.031579748</x:v>
      </x:c>
      <x:c r="H3" s="12" t="str">
        <x:f>IF(G3&gt;1,"Vượt ngân sách",IF(G3&gt;0.9,"Cần theo dõi","Đúng kế hoạch"))</x:f>
        <x:v>Vượt ngân sách</x:v>
      </x:c>
      <x:c r="I3" s="12" t="str">
        <x:v>Phạm Quang Huy</x:v>
      </x:c>
      <x:c r="J3" s="12" t="str">
        <x:v>Theo dõi theo tháng</x:v>
      </x:c>
    </x:row>
    <x:row r="4">
      <x:c r="A4" s="16" t="n">
        <x:v>46023</x:v>
      </x:c>
      <x:c r="B4" s="12" t="str">
        <x:v>Q1</x:v>
      </x:c>
      <x:c r="C4" s="12" t="str">
        <x:v>Sản xuất nội dung</x:v>
      </x:c>
      <x:c r="D4" s="14" t="n">
        <x:v>200000000</x:v>
      </x:c>
      <x:c r="E4" s="14" t="n">
        <x:v>230615295</x:v>
      </x:c>
      <x:c r="F4" s="14" t="n">
        <x:f>D4-E4</x:f>
        <x:v>-30615295</x:v>
      </x:c>
      <x:c r="G4" s="18" t="n">
        <x:f>E4/D4</x:f>
        <x:v>1.153076475</x:v>
      </x:c>
      <x:c r="H4" s="12" t="str">
        <x:f>IF(G4&gt;1,"Vượt ngân sách",IF(G4&gt;0.9,"Cần theo dõi","Đúng kế hoạch"))</x:f>
        <x:v>Vượt ngân sách</x:v>
      </x:c>
      <x:c r="I4" s="12" t="str">
        <x:v>Trần Hoàng Nam</x:v>
      </x:c>
      <x:c r="J4" s="12" t="str">
        <x:v>Theo dõi theo tháng</x:v>
      </x:c>
    </x:row>
    <x:row r="5">
      <x:c r="A5" s="16" t="n">
        <x:v>46023</x:v>
      </x:c>
      <x:c r="B5" s="12" t="str">
        <x:v>Q1</x:v>
      </x:c>
      <x:c r="C5" s="12" t="str">
        <x:v>Quan hệ báo chí</x:v>
      </x:c>
      <x:c r="D5" s="14" t="n">
        <x:v>80000000</x:v>
      </x:c>
      <x:c r="E5" s="14" t="n">
        <x:v>79389201</x:v>
      </x:c>
      <x:c r="F5" s="14" t="n">
        <x:f>D5-E5</x:f>
        <x:v>610799</x:v>
      </x:c>
      <x:c r="G5" s="18" t="n">
        <x:f>E5/D5</x:f>
        <x:v>0.9923650125</x:v>
      </x:c>
      <x:c r="H5" s="12" t="str">
        <x:f>IF(G5&gt;1,"Vượt ngân sách",IF(G5&gt;0.9,"Cần theo dõi","Đúng kế hoạch"))</x:f>
        <x:v>Cần theo dõi</x:v>
      </x:c>
      <x:c r="I5" s="12" t="str">
        <x:v>Trần Hoàng Nam</x:v>
      </x:c>
      <x:c r="J5" s="12" t="str">
        <x:v>Theo dõi theo tháng</x:v>
      </x:c>
    </x:row>
    <x:row r="6">
      <x:c r="A6" s="16" t="n">
        <x:v>46023</x:v>
      </x:c>
      <x:c r="B6" s="12" t="str">
        <x:v>Q1</x:v>
      </x:c>
      <x:c r="C6" s="12" t="str">
        <x:v>Sự kiện truyền thông</x:v>
      </x:c>
      <x:c r="D6" s="14" t="n">
        <x:v>80000000</x:v>
      </x:c>
      <x:c r="E6" s="14" t="n">
        <x:v>83256702</x:v>
      </x:c>
      <x:c r="F6" s="14" t="n">
        <x:f>D6-E6</x:f>
        <x:v>-3256702</x:v>
      </x:c>
      <x:c r="G6" s="18" t="n">
        <x:f>E6/D6</x:f>
        <x:v>1.040708775</x:v>
      </x:c>
      <x:c r="H6" s="12" t="str">
        <x:f>IF(G6&gt;1,"Vượt ngân sách",IF(G6&gt;0.9,"Cần theo dõi","Đúng kế hoạch"))</x:f>
        <x:v>Vượt ngân sách</x:v>
      </x:c>
      <x:c r="I6" s="12" t="str">
        <x:v>Lê Thu Hà</x:v>
      </x:c>
      <x:c r="J6" s="12" t="str">
        <x:v>Theo dõi theo tháng</x:v>
      </x:c>
    </x:row>
    <x:row r="7">
      <x:c r="A7" s="16" t="n">
        <x:v>46023</x:v>
      </x:c>
      <x:c r="B7" s="12" t="str">
        <x:v>Q1</x:v>
      </x:c>
      <x:c r="C7" s="12" t="str">
        <x:v>Website &amp; SEO</x:v>
      </x:c>
      <x:c r="D7" s="14" t="n">
        <x:v>300000000</x:v>
      </x:c>
      <x:c r="E7" s="14" t="n">
        <x:v>298856802</x:v>
      </x:c>
      <x:c r="F7" s="14" t="n">
        <x:f>D7-E7</x:f>
        <x:v>1143198</x:v>
      </x:c>
      <x:c r="G7" s="18" t="n">
        <x:f>E7/D7</x:f>
        <x:v>0.99618934</x:v>
      </x:c>
      <x:c r="H7" s="12" t="str">
        <x:f>IF(G7&gt;1,"Vượt ngân sách",IF(G7&gt;0.9,"Cần theo dõi","Đúng kế hoạch"))</x:f>
        <x:v>Cần theo dõi</x:v>
      </x:c>
      <x:c r="I7" s="12" t="str">
        <x:v>Nguyễn Minh Anh</x:v>
      </x:c>
      <x:c r="J7" s="12" t="str">
        <x:v>Theo dõi theo tháng</x:v>
      </x:c>
    </x:row>
    <x:row r="8">
      <x:c r="A8" s="16" t="n">
        <x:v>46023</x:v>
      </x:c>
      <x:c r="B8" s="12" t="str">
        <x:v>Q1</x:v>
      </x:c>
      <x:c r="C8" s="12" t="str">
        <x:v>Social Media</x:v>
      </x:c>
      <x:c r="D8" s="14" t="n">
        <x:v>250000000</x:v>
      </x:c>
      <x:c r="E8" s="14" t="n">
        <x:v>270003064</x:v>
      </x:c>
      <x:c r="F8" s="14" t="n">
        <x:f>D8-E8</x:f>
        <x:v>-20003064</x:v>
      </x:c>
      <x:c r="G8" s="18" t="n">
        <x:f>E8/D8</x:f>
        <x:v>1.080012256</x:v>
      </x:c>
      <x:c r="H8" s="12" t="str">
        <x:f>IF(G8&gt;1,"Vượt ngân sách",IF(G8&gt;0.9,"Cần theo dõi","Đúng kế hoạch"))</x:f>
        <x:v>Vượt ngân sách</x:v>
      </x:c>
      <x:c r="I8" s="12" t="str">
        <x:v>Lê Thu Hà</x:v>
      </x:c>
      <x:c r="J8" s="12" t="str">
        <x:v>Theo dõi theo tháng</x:v>
      </x:c>
    </x:row>
    <x:row r="9">
      <x:c r="A9" s="16" t="n">
        <x:v>46023</x:v>
      </x:c>
      <x:c r="B9" s="12" t="str">
        <x:v>Q1</x:v>
      </x:c>
      <x:c r="C9" s="12" t="str">
        <x:v>Video/Photo Production</x:v>
      </x:c>
      <x:c r="D9" s="14" t="n">
        <x:v>250000000</x:v>
      </x:c>
      <x:c r="E9" s="14" t="n">
        <x:v>229263471</x:v>
      </x:c>
      <x:c r="F9" s="14" t="n">
        <x:f>D9-E9</x:f>
        <x:v>20736529</x:v>
      </x:c>
      <x:c r="G9" s="18" t="n">
        <x:f>E9/D9</x:f>
        <x:v>0.917053884</x:v>
      </x:c>
      <x:c r="H9" s="12" t="str">
        <x:f>IF(G9&gt;1,"Vượt ngân sách",IF(G9&gt;0.9,"Cần theo dõi","Đúng kế hoạch"))</x:f>
        <x:v>Cần theo dõi</x:v>
      </x:c>
      <x:c r="I9" s="12" t="str">
        <x:v>Lê Thu Hà</x:v>
      </x:c>
      <x:c r="J9" s="12" t="str">
        <x:v>Theo dõi theo tháng</x:v>
      </x:c>
    </x:row>
    <x:row r="10">
      <x:c r="A10" s="16" t="n">
        <x:v>46023</x:v>
      </x:c>
      <x:c r="B10" s="12" t="str">
        <x:v>Q1</x:v>
      </x:c>
      <x:c r="C10" s="12" t="str">
        <x:v>Email Marketing</x:v>
      </x:c>
      <x:c r="D10" s="14" t="n">
        <x:v>80000000</x:v>
      </x:c>
      <x:c r="E10" s="14" t="n">
        <x:v>76219357</x:v>
      </x:c>
      <x:c r="F10" s="14" t="n">
        <x:f>D10-E10</x:f>
        <x:v>3780643</x:v>
      </x:c>
      <x:c r="G10" s="18" t="n">
        <x:f>E10/D10</x:f>
        <x:v>0.9527419625</x:v>
      </x:c>
      <x:c r="H10" s="12" t="str">
        <x:f>IF(G10&gt;1,"Vượt ngân sách",IF(G10&gt;0.9,"Cần theo dõi","Đúng kế hoạch"))</x:f>
        <x:v>Cần theo dõi</x:v>
      </x:c>
      <x:c r="I10" s="12" t="str">
        <x:v>Lê Thu Hà</x:v>
      </x:c>
      <x:c r="J10" s="12" t="str">
        <x:v>Theo dõi theo tháng</x:v>
      </x:c>
    </x:row>
    <x:row r="11">
      <x:c r="A11" s="16" t="n">
        <x:v>46023</x:v>
      </x:c>
      <x:c r="B11" s="12" t="str">
        <x:v>Q1</x:v>
      </x:c>
      <x:c r="C11" s="12" t="str">
        <x:v>Nghiên cứu thị trường</x:v>
      </x:c>
      <x:c r="D11" s="14" t="n">
        <x:v>80000000</x:v>
      </x:c>
      <x:c r="E11" s="14" t="n">
        <x:v>88864383</x:v>
      </x:c>
      <x:c r="F11" s="14" t="n">
        <x:f>D11-E11</x:f>
        <x:v>-8864383</x:v>
      </x:c>
      <x:c r="G11" s="18" t="n">
        <x:f>E11/D11</x:f>
        <x:v>1.1108047875</x:v>
      </x:c>
      <x:c r="H11" s="12" t="str">
        <x:f>IF(G11&gt;1,"Vượt ngân sách",IF(G11&gt;0.9,"Cần theo dõi","Đúng kế hoạch"))</x:f>
        <x:v>Vượt ngân sách</x:v>
      </x:c>
      <x:c r="I11" s="12" t="str">
        <x:v>Phạm Quang Huy</x:v>
      </x:c>
      <x:c r="J11" s="12" t="str">
        <x:v>Theo dõi theo tháng</x:v>
      </x:c>
    </x:row>
    <x:row r="12">
      <x:c r="A12" s="16" t="n">
        <x:v>46054</x:v>
      </x:c>
      <x:c r="B12" s="12" t="str">
        <x:v>Q1</x:v>
      </x:c>
      <x:c r="C12" s="12" t="str">
        <x:v>Tuyển sinh &amp; truyền thông thương hiệu</x:v>
      </x:c>
      <x:c r="D12" s="14" t="n">
        <x:v>80000000</x:v>
      </x:c>
      <x:c r="E12" s="14" t="n">
        <x:v>73553661</x:v>
      </x:c>
      <x:c r="F12" s="14" t="n">
        <x:f>D12-E12</x:f>
        <x:v>6446339</x:v>
      </x:c>
      <x:c r="G12" s="18" t="n">
        <x:f>E12/D12</x:f>
        <x:v>0.9194207625</x:v>
      </x:c>
      <x:c r="H12" s="12" t="str">
        <x:f>IF(G12&gt;1,"Vượt ngân sách",IF(G12&gt;0.9,"Cần theo dõi","Đúng kế hoạch"))</x:f>
        <x:v>Cần theo dõi</x:v>
      </x:c>
      <x:c r="I12" s="12" t="str">
        <x:v>Lê Thu Hà</x:v>
      </x:c>
      <x:c r="J12" s="12" t="str">
        <x:v>Theo dõi theo tháng</x:v>
      </x:c>
    </x:row>
    <x:row r="13">
      <x:c r="A13" s="16" t="n">
        <x:v>46054</x:v>
      </x:c>
      <x:c r="B13" s="12" t="str">
        <x:v>Q1</x:v>
      </x:c>
      <x:c r="C13" s="12" t="str">
        <x:v>Digital Marketing</x:v>
      </x:c>
      <x:c r="D13" s="14" t="n">
        <x:v>300000000</x:v>
      </x:c>
      <x:c r="E13" s="14" t="n">
        <x:v>339037352</x:v>
      </x:c>
      <x:c r="F13" s="14" t="n">
        <x:f>D13-E13</x:f>
        <x:v>-39037352</x:v>
      </x:c>
      <x:c r="G13" s="18" t="n">
        <x:f>E13/D13</x:f>
        <x:v>1.1301245066666668</x:v>
      </x:c>
      <x:c r="H13" s="12" t="str">
        <x:f>IF(G13&gt;1,"Vượt ngân sách",IF(G13&gt;0.9,"Cần theo dõi","Đúng kế hoạch"))</x:f>
        <x:v>Vượt ngân sách</x:v>
      </x:c>
      <x:c r="I13" s="12" t="str">
        <x:v>Phạm Quang Huy</x:v>
      </x:c>
      <x:c r="J13" s="12" t="str">
        <x:v>Theo dõi theo tháng</x:v>
      </x:c>
    </x:row>
    <x:row r="14">
      <x:c r="A14" s="16" t="n">
        <x:v>46054</x:v>
      </x:c>
      <x:c r="B14" s="12" t="str">
        <x:v>Q1</x:v>
      </x:c>
      <x:c r="C14" s="12" t="str">
        <x:v>Sản xuất nội dung</x:v>
      </x:c>
      <x:c r="D14" s="14" t="n">
        <x:v>300000000</x:v>
      </x:c>
      <x:c r="E14" s="14" t="n">
        <x:v>237112778</x:v>
      </x:c>
      <x:c r="F14" s="14" t="n">
        <x:f>D14-E14</x:f>
        <x:v>62887222</x:v>
      </x:c>
      <x:c r="G14" s="18" t="n">
        <x:f>E14/D14</x:f>
        <x:v>0.7903759266666667</x:v>
      </x:c>
      <x:c r="H14" s="12" t="str">
        <x:f>IF(G14&gt;1,"Vượt ngân sách",IF(G14&gt;0.9,"Cần theo dõi","Đúng kế hoạch"))</x:f>
        <x:v>Đúng kế hoạch</x:v>
      </x:c>
      <x:c r="I14" s="12" t="str">
        <x:v>Trần Hoàng Nam</x:v>
      </x:c>
      <x:c r="J14" s="12" t="str">
        <x:v>Theo dõi theo tháng</x:v>
      </x:c>
    </x:row>
    <x:row r="15">
      <x:c r="A15" s="16" t="n">
        <x:v>46054</x:v>
      </x:c>
      <x:c r="B15" s="12" t="str">
        <x:v>Q1</x:v>
      </x:c>
      <x:c r="C15" s="12" t="str">
        <x:v>Quan hệ báo chí</x:v>
      </x:c>
      <x:c r="D15" s="14" t="n">
        <x:v>300000000</x:v>
      </x:c>
      <x:c r="E15" s="14" t="n">
        <x:v>288001051</x:v>
      </x:c>
      <x:c r="F15" s="14" t="n">
        <x:f>D15-E15</x:f>
        <x:v>11998949</x:v>
      </x:c>
      <x:c r="G15" s="18" t="n">
        <x:f>E15/D15</x:f>
        <x:v>0.9600035033333333</x:v>
      </x:c>
      <x:c r="H15" s="12" t="str">
        <x:f>IF(G15&gt;1,"Vượt ngân sách",IF(G15&gt;0.9,"Cần theo dõi","Đúng kế hoạch"))</x:f>
        <x:v>Cần theo dõi</x:v>
      </x:c>
      <x:c r="I15" s="12" t="str">
        <x:v>Lê Thu Hà</x:v>
      </x:c>
      <x:c r="J15" s="12" t="str">
        <x:v>Theo dõi theo tháng</x:v>
      </x:c>
    </x:row>
    <x:row r="16">
      <x:c r="A16" s="16" t="n">
        <x:v>46054</x:v>
      </x:c>
      <x:c r="B16" s="12" t="str">
        <x:v>Q1</x:v>
      </x:c>
      <x:c r="C16" s="12" t="str">
        <x:v>Sự kiện truyền thông</x:v>
      </x:c>
      <x:c r="D16" s="14" t="n">
        <x:v>250000000</x:v>
      </x:c>
      <x:c r="E16" s="14" t="n">
        <x:v>272942910</x:v>
      </x:c>
      <x:c r="F16" s="14" t="n">
        <x:f>D16-E16</x:f>
        <x:v>-22942910</x:v>
      </x:c>
      <x:c r="G16" s="18" t="n">
        <x:f>E16/D16</x:f>
        <x:v>1.09177164</x:v>
      </x:c>
      <x:c r="H16" s="12" t="str">
        <x:f>IF(G16&gt;1,"Vượt ngân sách",IF(G16&gt;0.9,"Cần theo dõi","Đúng kế hoạch"))</x:f>
        <x:v>Vượt ngân sách</x:v>
      </x:c>
      <x:c r="I16" s="12" t="str">
        <x:v>Đỗ Mai Linh</x:v>
      </x:c>
      <x:c r="J16" s="12" t="str">
        <x:v>Theo dõi theo tháng</x:v>
      </x:c>
    </x:row>
    <x:row r="17">
      <x:c r="A17" s="16" t="n">
        <x:v>46054</x:v>
      </x:c>
      <x:c r="B17" s="12" t="str">
        <x:v>Q1</x:v>
      </x:c>
      <x:c r="C17" s="12" t="str">
        <x:v>Website &amp; SEO</x:v>
      </x:c>
      <x:c r="D17" s="14" t="n">
        <x:v>200000000</x:v>
      </x:c>
      <x:c r="E17" s="14" t="n">
        <x:v>186768386</x:v>
      </x:c>
      <x:c r="F17" s="14" t="n">
        <x:f>D17-E17</x:f>
        <x:v>13231614</x:v>
      </x:c>
      <x:c r="G17" s="18" t="n">
        <x:f>E17/D17</x:f>
        <x:v>0.93384193</x:v>
      </x:c>
      <x:c r="H17" s="12" t="str">
        <x:f>IF(G17&gt;1,"Vượt ngân sách",IF(G17&gt;0.9,"Cần theo dõi","Đúng kế hoạch"))</x:f>
        <x:v>Cần theo dõi</x:v>
      </x:c>
      <x:c r="I17" s="12" t="str">
        <x:v>Đỗ Mai Linh</x:v>
      </x:c>
      <x:c r="J17" s="12" t="str">
        <x:v>Theo dõi theo tháng</x:v>
      </x:c>
    </x:row>
    <x:row r="18">
      <x:c r="A18" s="16" t="n">
        <x:v>46054</x:v>
      </x:c>
      <x:c r="B18" s="12" t="str">
        <x:v>Q1</x:v>
      </x:c>
      <x:c r="C18" s="12" t="str">
        <x:v>Social Media</x:v>
      </x:c>
      <x:c r="D18" s="14" t="n">
        <x:v>150000000</x:v>
      </x:c>
      <x:c r="E18" s="14" t="n">
        <x:v>130239016</x:v>
      </x:c>
      <x:c r="F18" s="14" t="n">
        <x:f>D18-E18</x:f>
        <x:v>19760984</x:v>
      </x:c>
      <x:c r="G18" s="18" t="n">
        <x:f>E18/D18</x:f>
        <x:v>0.8682601066666666</x:v>
      </x:c>
      <x:c r="H18" s="12" t="str">
        <x:f>IF(G18&gt;1,"Vượt ngân sách",IF(G18&gt;0.9,"Cần theo dõi","Đúng kế hoạch"))</x:f>
        <x:v>Đúng kế hoạch</x:v>
      </x:c>
      <x:c r="I18" s="12" t="str">
        <x:v>Trần Hoàng Nam</x:v>
      </x:c>
      <x:c r="J18" s="12" t="str">
        <x:v>Theo dõi theo tháng</x:v>
      </x:c>
    </x:row>
    <x:row r="19">
      <x:c r="A19" s="16" t="n">
        <x:v>46054</x:v>
      </x:c>
      <x:c r="B19" s="12" t="str">
        <x:v>Q1</x:v>
      </x:c>
      <x:c r="C19" s="12" t="str">
        <x:v>Video/Photo Production</x:v>
      </x:c>
      <x:c r="D19" s="14" t="n">
        <x:v>80000000</x:v>
      </x:c>
      <x:c r="E19" s="14" t="n">
        <x:v>67864559</x:v>
      </x:c>
      <x:c r="F19" s="14" t="n">
        <x:f>D19-E19</x:f>
        <x:v>12135441</x:v>
      </x:c>
      <x:c r="G19" s="18" t="n">
        <x:f>E19/D19</x:f>
        <x:v>0.8483069875</x:v>
      </x:c>
      <x:c r="H19" s="12" t="str">
        <x:f>IF(G19&gt;1,"Vượt ngân sách",IF(G19&gt;0.9,"Cần theo dõi","Đúng kế hoạch"))</x:f>
        <x:v>Đúng kế hoạch</x:v>
      </x:c>
      <x:c r="I19" s="12" t="str">
        <x:v>Phạm Quang Huy</x:v>
      </x:c>
      <x:c r="J19" s="12" t="str">
        <x:v>Theo dõi theo tháng</x:v>
      </x:c>
    </x:row>
    <x:row r="20">
      <x:c r="A20" s="16" t="n">
        <x:v>46054</x:v>
      </x:c>
      <x:c r="B20" s="12" t="str">
        <x:v>Q1</x:v>
      </x:c>
      <x:c r="C20" s="12" t="str">
        <x:v>Email Marketing</x:v>
      </x:c>
      <x:c r="D20" s="14" t="n">
        <x:v>120000000</x:v>
      </x:c>
      <x:c r="E20" s="14" t="n">
        <x:v>127826290</x:v>
      </x:c>
      <x:c r="F20" s="14" t="n">
        <x:f>D20-E20</x:f>
        <x:v>-7826290</x:v>
      </x:c>
      <x:c r="G20" s="18" t="n">
        <x:f>E20/D20</x:f>
        <x:v>1.0652190833333333</x:v>
      </x:c>
      <x:c r="H20" s="12" t="str">
        <x:f>IF(G20&gt;1,"Vượt ngân sách",IF(G20&gt;0.9,"Cần theo dõi","Đúng kế hoạch"))</x:f>
        <x:v>Vượt ngân sách</x:v>
      </x:c>
      <x:c r="I20" s="12" t="str">
        <x:v>Đỗ Mai Linh</x:v>
      </x:c>
      <x:c r="J20" s="12" t="str">
        <x:v>Theo dõi theo tháng</x:v>
      </x:c>
    </x:row>
    <x:row r="21">
      <x:c r="A21" s="16" t="n">
        <x:v>46054</x:v>
      </x:c>
      <x:c r="B21" s="12" t="str">
        <x:v>Q1</x:v>
      </x:c>
      <x:c r="C21" s="12" t="str">
        <x:v>Nghiên cứu thị trường</x:v>
      </x:c>
      <x:c r="D21" s="14" t="n">
        <x:v>250000000</x:v>
      </x:c>
      <x:c r="E21" s="14" t="n">
        <x:v>256841674</x:v>
      </x:c>
      <x:c r="F21" s="14" t="n">
        <x:f>D21-E21</x:f>
        <x:v>-6841674</x:v>
      </x:c>
      <x:c r="G21" s="18" t="n">
        <x:f>E21/D21</x:f>
        <x:v>1.027366696</x:v>
      </x:c>
      <x:c r="H21" s="12" t="str">
        <x:f>IF(G21&gt;1,"Vượt ngân sách",IF(G21&gt;0.9,"Cần theo dõi","Đúng kế hoạch"))</x:f>
        <x:v>Vượt ngân sách</x:v>
      </x:c>
      <x:c r="I21" s="12" t="str">
        <x:v>Lê Thu Hà</x:v>
      </x:c>
      <x:c r="J21" s="12" t="str">
        <x:v>Theo dõi theo tháng</x:v>
      </x:c>
    </x:row>
    <x:row r="22">
      <x:c r="A22" s="16" t="n">
        <x:v>46082</x:v>
      </x:c>
      <x:c r="B22" s="12" t="str">
        <x:v>Q1</x:v>
      </x:c>
      <x:c r="C22" s="12" t="str">
        <x:v>Tuyển sinh &amp; truyền thông thương hiệu</x:v>
      </x:c>
      <x:c r="D22" s="14" t="n">
        <x:v>80000000</x:v>
      </x:c>
      <x:c r="E22" s="14" t="n">
        <x:v>75790479</x:v>
      </x:c>
      <x:c r="F22" s="14" t="n">
        <x:f>D22-E22</x:f>
        <x:v>4209521</x:v>
      </x:c>
      <x:c r="G22" s="18" t="n">
        <x:f>E22/D22</x:f>
        <x:v>0.9473809875</x:v>
      </x:c>
      <x:c r="H22" s="12" t="str">
        <x:f>IF(G22&gt;1,"Vượt ngân sách",IF(G22&gt;0.9,"Cần theo dõi","Đúng kế hoạch"))</x:f>
        <x:v>Cần theo dõi</x:v>
      </x:c>
      <x:c r="I22" s="12" t="str">
        <x:v>Lê Thu Hà</x:v>
      </x:c>
      <x:c r="J22" s="12" t="str">
        <x:v>Theo dõi theo tháng</x:v>
      </x:c>
    </x:row>
    <x:row r="23">
      <x:c r="A23" s="16" t="n">
        <x:v>46082</x:v>
      </x:c>
      <x:c r="B23" s="12" t="str">
        <x:v>Q1</x:v>
      </x:c>
      <x:c r="C23" s="12" t="str">
        <x:v>Digital Marketing</x:v>
      </x:c>
      <x:c r="D23" s="14" t="n">
        <x:v>120000000</x:v>
      </x:c>
      <x:c r="E23" s="14" t="n">
        <x:v>113312756</x:v>
      </x:c>
      <x:c r="F23" s="14" t="n">
        <x:f>D23-E23</x:f>
        <x:v>6687244</x:v>
      </x:c>
      <x:c r="G23" s="18" t="n">
        <x:f>E23/D23</x:f>
        <x:v>0.9442729666666667</x:v>
      </x:c>
      <x:c r="H23" s="12" t="str">
        <x:f>IF(G23&gt;1,"Vượt ngân sách",IF(G23&gt;0.9,"Cần theo dõi","Đúng kế hoạch"))</x:f>
        <x:v>Cần theo dõi</x:v>
      </x:c>
      <x:c r="I23" s="12" t="str">
        <x:v>Lê Thu Hà</x:v>
      </x:c>
      <x:c r="J23" s="12" t="str">
        <x:v>Theo dõi theo tháng</x:v>
      </x:c>
    </x:row>
    <x:row r="24">
      <x:c r="A24" s="16" t="n">
        <x:v>46082</x:v>
      </x:c>
      <x:c r="B24" s="12" t="str">
        <x:v>Q1</x:v>
      </x:c>
      <x:c r="C24" s="12" t="str">
        <x:v>Sản xuất nội dung</x:v>
      </x:c>
      <x:c r="D24" s="14" t="n">
        <x:v>150000000</x:v>
      </x:c>
      <x:c r="E24" s="14" t="n">
        <x:v>131483380</x:v>
      </x:c>
      <x:c r="F24" s="14" t="n">
        <x:f>D24-E24</x:f>
        <x:v>18516620</x:v>
      </x:c>
      <x:c r="G24" s="18" t="n">
        <x:f>E24/D24</x:f>
        <x:v>0.8765558666666666</x:v>
      </x:c>
      <x:c r="H24" s="12" t="str">
        <x:f>IF(G24&gt;1,"Vượt ngân sách",IF(G24&gt;0.9,"Cần theo dõi","Đúng kế hoạch"))</x:f>
        <x:v>Đúng kế hoạch</x:v>
      </x:c>
      <x:c r="I24" s="12" t="str">
        <x:v>Đỗ Mai Linh</x:v>
      </x:c>
      <x:c r="J24" s="12" t="str">
        <x:v>Theo dõi theo tháng</x:v>
      </x:c>
    </x:row>
    <x:row r="25">
      <x:c r="A25" s="16" t="n">
        <x:v>46082</x:v>
      </x:c>
      <x:c r="B25" s="12" t="str">
        <x:v>Q1</x:v>
      </x:c>
      <x:c r="C25" s="12" t="str">
        <x:v>Quan hệ báo chí</x:v>
      </x:c>
      <x:c r="D25" s="14" t="n">
        <x:v>300000000</x:v>
      </x:c>
      <x:c r="E25" s="14" t="n">
        <x:v>337454813</x:v>
      </x:c>
      <x:c r="F25" s="14" t="n">
        <x:f>D25-E25</x:f>
        <x:v>-37454813</x:v>
      </x:c>
      <x:c r="G25" s="18" t="n">
        <x:f>E25/D25</x:f>
        <x:v>1.1248493766666667</x:v>
      </x:c>
      <x:c r="H25" s="12" t="str">
        <x:f>IF(G25&gt;1,"Vượt ngân sách",IF(G25&gt;0.9,"Cần theo dõi","Đúng kế hoạch"))</x:f>
        <x:v>Vượt ngân sách</x:v>
      </x:c>
      <x:c r="I25" s="12" t="str">
        <x:v>Đỗ Mai Linh</x:v>
      </x:c>
      <x:c r="J25" s="12" t="str">
        <x:v>Theo dõi theo tháng</x:v>
      </x:c>
    </x:row>
    <x:row r="26">
      <x:c r="A26" s="16" t="n">
        <x:v>46082</x:v>
      </x:c>
      <x:c r="B26" s="12" t="str">
        <x:v>Q1</x:v>
      </x:c>
      <x:c r="C26" s="12" t="str">
        <x:v>Sự kiện truyền thông</x:v>
      </x:c>
      <x:c r="D26" s="14" t="n">
        <x:v>80000000</x:v>
      </x:c>
      <x:c r="E26" s="14" t="n">
        <x:v>76611882</x:v>
      </x:c>
      <x:c r="F26" s="14" t="n">
        <x:f>D26-E26</x:f>
        <x:v>3388118</x:v>
      </x:c>
      <x:c r="G26" s="18" t="n">
        <x:f>E26/D26</x:f>
        <x:v>0.957648525</x:v>
      </x:c>
      <x:c r="H26" s="12" t="str">
        <x:f>IF(G26&gt;1,"Vượt ngân sách",IF(G26&gt;0.9,"Cần theo dõi","Đúng kế hoạch"))</x:f>
        <x:v>Cần theo dõi</x:v>
      </x:c>
      <x:c r="I26" s="12" t="str">
        <x:v>Trần Hoàng Nam</x:v>
      </x:c>
      <x:c r="J26" s="12" t="str">
        <x:v>Theo dõi theo tháng</x:v>
      </x:c>
    </x:row>
    <x:row r="27">
      <x:c r="A27" s="16" t="n">
        <x:v>46082</x:v>
      </x:c>
      <x:c r="B27" s="12" t="str">
        <x:v>Q1</x:v>
      </x:c>
      <x:c r="C27" s="12" t="str">
        <x:v>Website &amp; SEO</x:v>
      </x:c>
      <x:c r="D27" s="14" t="n">
        <x:v>80000000</x:v>
      </x:c>
      <x:c r="E27" s="14" t="n">
        <x:v>66481902</x:v>
      </x:c>
      <x:c r="F27" s="14" t="n">
        <x:f>D27-E27</x:f>
        <x:v>13518098</x:v>
      </x:c>
      <x:c r="G27" s="18" t="n">
        <x:f>E27/D27</x:f>
        <x:v>0.831023775</x:v>
      </x:c>
      <x:c r="H27" s="12" t="str">
        <x:f>IF(G27&gt;1,"Vượt ngân sách",IF(G27&gt;0.9,"Cần theo dõi","Đúng kế hoạch"))</x:f>
        <x:v>Đúng kế hoạch</x:v>
      </x:c>
      <x:c r="I27" s="12" t="str">
        <x:v>Phạm Quang Huy</x:v>
      </x:c>
      <x:c r="J27" s="12" t="str">
        <x:v>Theo dõi theo tháng</x:v>
      </x:c>
    </x:row>
    <x:row r="28">
      <x:c r="A28" s="16" t="n">
        <x:v>46082</x:v>
      </x:c>
      <x:c r="B28" s="12" t="str">
        <x:v>Q1</x:v>
      </x:c>
      <x:c r="C28" s="12" t="str">
        <x:v>Social Media</x:v>
      </x:c>
      <x:c r="D28" s="14" t="n">
        <x:v>200000000</x:v>
      </x:c>
      <x:c r="E28" s="14" t="n">
        <x:v>195076211</x:v>
      </x:c>
      <x:c r="F28" s="14" t="n">
        <x:f>D28-E28</x:f>
        <x:v>4923789</x:v>
      </x:c>
      <x:c r="G28" s="18" t="n">
        <x:f>E28/D28</x:f>
        <x:v>0.975381055</x:v>
      </x:c>
      <x:c r="H28" s="12" t="str">
        <x:f>IF(G28&gt;1,"Vượt ngân sách",IF(G28&gt;0.9,"Cần theo dõi","Đúng kế hoạch"))</x:f>
        <x:v>Cần theo dõi</x:v>
      </x:c>
      <x:c r="I28" s="12" t="str">
        <x:v>Trần Hoàng Nam</x:v>
      </x:c>
      <x:c r="J28" s="12" t="str">
        <x:v>Theo dõi theo tháng</x:v>
      </x:c>
    </x:row>
    <x:row r="29">
      <x:c r="A29" s="16" t="n">
        <x:v>46082</x:v>
      </x:c>
      <x:c r="B29" s="12" t="str">
        <x:v>Q1</x:v>
      </x:c>
      <x:c r="C29" s="12" t="str">
        <x:v>Video/Photo Production</x:v>
      </x:c>
      <x:c r="D29" s="14" t="n">
        <x:v>300000000</x:v>
      </x:c>
      <x:c r="E29" s="14" t="n">
        <x:v>281700849</x:v>
      </x:c>
      <x:c r="F29" s="14" t="n">
        <x:f>D29-E29</x:f>
        <x:v>18299151</x:v>
      </x:c>
      <x:c r="G29" s="18" t="n">
        <x:f>E29/D29</x:f>
        <x:v>0.93900283</x:v>
      </x:c>
      <x:c r="H29" s="12" t="str">
        <x:f>IF(G29&gt;1,"Vượt ngân sách",IF(G29&gt;0.9,"Cần theo dõi","Đúng kế hoạch"))</x:f>
        <x:v>Cần theo dõi</x:v>
      </x:c>
      <x:c r="I29" s="12" t="str">
        <x:v>Phạm Quang Huy</x:v>
      </x:c>
      <x:c r="J29" s="12" t="str">
        <x:v>Theo dõi theo tháng</x:v>
      </x:c>
    </x:row>
    <x:row r="30">
      <x:c r="A30" s="16" t="n">
        <x:v>46082</x:v>
      </x:c>
      <x:c r="B30" s="12" t="str">
        <x:v>Q1</x:v>
      </x:c>
      <x:c r="C30" s="12" t="str">
        <x:v>Email Marketing</x:v>
      </x:c>
      <x:c r="D30" s="14" t="n">
        <x:v>200000000</x:v>
      </x:c>
      <x:c r="E30" s="14" t="n">
        <x:v>216949823</x:v>
      </x:c>
      <x:c r="F30" s="14" t="n">
        <x:f>D30-E30</x:f>
        <x:v>-16949823</x:v>
      </x:c>
      <x:c r="G30" s="18" t="n">
        <x:f>E30/D30</x:f>
        <x:v>1.084749115</x:v>
      </x:c>
      <x:c r="H30" s="12" t="str">
        <x:f>IF(G30&gt;1,"Vượt ngân sách",IF(G30&gt;0.9,"Cần theo dõi","Đúng kế hoạch"))</x:f>
        <x:v>Vượt ngân sách</x:v>
      </x:c>
      <x:c r="I30" s="12" t="str">
        <x:v>Nguyễn Minh Anh</x:v>
      </x:c>
      <x:c r="J30" s="12" t="str">
        <x:v>Theo dõi theo tháng</x:v>
      </x:c>
    </x:row>
    <x:row r="31">
      <x:c r="A31" s="16" t="n">
        <x:v>46082</x:v>
      </x:c>
      <x:c r="B31" s="12" t="str">
        <x:v>Q1</x:v>
      </x:c>
      <x:c r="C31" s="12" t="str">
        <x:v>Nghiên cứu thị trường</x:v>
      </x:c>
      <x:c r="D31" s="14" t="n">
        <x:v>150000000</x:v>
      </x:c>
      <x:c r="E31" s="14" t="n">
        <x:v>123290151</x:v>
      </x:c>
      <x:c r="F31" s="14" t="n">
        <x:f>D31-E31</x:f>
        <x:v>26709849</x:v>
      </x:c>
      <x:c r="G31" s="18" t="n">
        <x:f>E31/D31</x:f>
        <x:v>0.82193434</x:v>
      </x:c>
      <x:c r="H31" s="12" t="str">
        <x:f>IF(G31&gt;1,"Vượt ngân sách",IF(G31&gt;0.9,"Cần theo dõi","Đúng kế hoạch"))</x:f>
        <x:v>Đúng kế hoạch</x:v>
      </x:c>
      <x:c r="I31" s="12" t="str">
        <x:v>Trần Hoàng Nam</x:v>
      </x:c>
      <x:c r="J31" s="12" t="str">
        <x:v>Theo dõi theo tháng</x:v>
      </x:c>
    </x:row>
    <x:row r="32">
      <x:c r="A32" s="16" t="n">
        <x:v>46113</x:v>
      </x:c>
      <x:c r="B32" s="12" t="str">
        <x:v>Q2</x:v>
      </x:c>
      <x:c r="C32" s="12" t="str">
        <x:v>Tuyển sinh &amp; truyền thông thương hiệu</x:v>
      </x:c>
      <x:c r="D32" s="14" t="n">
        <x:v>150000000</x:v>
      </x:c>
      <x:c r="E32" s="14" t="n">
        <x:v>153813241</x:v>
      </x:c>
      <x:c r="F32" s="14" t="n">
        <x:f>D32-E32</x:f>
        <x:v>-3813241</x:v>
      </x:c>
      <x:c r="G32" s="18" t="n">
        <x:f>E32/D32</x:f>
        <x:v>1.0254216066666666</x:v>
      </x:c>
      <x:c r="H32" s="12" t="str">
        <x:f>IF(G32&gt;1,"Vượt ngân sách",IF(G32&gt;0.9,"Cần theo dõi","Đúng kế hoạch"))</x:f>
        <x:v>Vượt ngân sách</x:v>
      </x:c>
      <x:c r="I32" s="12" t="str">
        <x:v>Lê Thu Hà</x:v>
      </x:c>
      <x:c r="J32" s="12" t="str">
        <x:v>Theo dõi theo tháng</x:v>
      </x:c>
    </x:row>
    <x:row r="33">
      <x:c r="A33" s="16" t="n">
        <x:v>46113</x:v>
      </x:c>
      <x:c r="B33" s="12" t="str">
        <x:v>Q2</x:v>
      </x:c>
      <x:c r="C33" s="12" t="str">
        <x:v>Digital Marketing</x:v>
      </x:c>
      <x:c r="D33" s="14" t="n">
        <x:v>200000000</x:v>
      </x:c>
      <x:c r="E33" s="14" t="n">
        <x:v>194919511</x:v>
      </x:c>
      <x:c r="F33" s="14" t="n">
        <x:f>D33-E33</x:f>
        <x:v>5080489</x:v>
      </x:c>
      <x:c r="G33" s="18" t="n">
        <x:f>E33/D33</x:f>
        <x:v>0.974597555</x:v>
      </x:c>
      <x:c r="H33" s="12" t="str">
        <x:f>IF(G33&gt;1,"Vượt ngân sách",IF(G33&gt;0.9,"Cần theo dõi","Đúng kế hoạch"))</x:f>
        <x:v>Cần theo dõi</x:v>
      </x:c>
      <x:c r="I33" s="12" t="str">
        <x:v>Lê Thu Hà</x:v>
      </x:c>
      <x:c r="J33" s="12" t="str">
        <x:v>Theo dõi theo tháng</x:v>
      </x:c>
    </x:row>
    <x:row r="34">
      <x:c r="A34" s="16" t="n">
        <x:v>46113</x:v>
      </x:c>
      <x:c r="B34" s="12" t="str">
        <x:v>Q2</x:v>
      </x:c>
      <x:c r="C34" s="12" t="str">
        <x:v>Sản xuất nội dung</x:v>
      </x:c>
      <x:c r="D34" s="14" t="n">
        <x:v>200000000</x:v>
      </x:c>
      <x:c r="E34" s="14" t="n">
        <x:v>235690094</x:v>
      </x:c>
      <x:c r="F34" s="14" t="n">
        <x:f>D34-E34</x:f>
        <x:v>-35690094</x:v>
      </x:c>
      <x:c r="G34" s="18" t="n">
        <x:f>E34/D34</x:f>
        <x:v>1.17845047</x:v>
      </x:c>
      <x:c r="H34" s="12" t="str">
        <x:f>IF(G34&gt;1,"Vượt ngân sách",IF(G34&gt;0.9,"Cần theo dõi","Đúng kế hoạch"))</x:f>
        <x:v>Vượt ngân sách</x:v>
      </x:c>
      <x:c r="I34" s="12" t="str">
        <x:v>Đỗ Mai Linh</x:v>
      </x:c>
      <x:c r="J34" s="12" t="str">
        <x:v>Theo dõi theo tháng</x:v>
      </x:c>
    </x:row>
    <x:row r="35">
      <x:c r="A35" s="16" t="n">
        <x:v>46113</x:v>
      </x:c>
      <x:c r="B35" s="12" t="str">
        <x:v>Q2</x:v>
      </x:c>
      <x:c r="C35" s="12" t="str">
        <x:v>Quan hệ báo chí</x:v>
      </x:c>
      <x:c r="D35" s="14" t="n">
        <x:v>150000000</x:v>
      </x:c>
      <x:c r="E35" s="14" t="n">
        <x:v>132274926</x:v>
      </x:c>
      <x:c r="F35" s="14" t="n">
        <x:f>D35-E35</x:f>
        <x:v>17725074</x:v>
      </x:c>
      <x:c r="G35" s="18" t="n">
        <x:f>E35/D35</x:f>
        <x:v>0.88183284</x:v>
      </x:c>
      <x:c r="H35" s="12" t="str">
        <x:f>IF(G35&gt;1,"Vượt ngân sách",IF(G35&gt;0.9,"Cần theo dõi","Đúng kế hoạch"))</x:f>
        <x:v>Đúng kế hoạch</x:v>
      </x:c>
      <x:c r="I35" s="12" t="str">
        <x:v>Phạm Quang Huy</x:v>
      </x:c>
      <x:c r="J35" s="12" t="str">
        <x:v>Theo dõi theo tháng</x:v>
      </x:c>
    </x:row>
    <x:row r="36">
      <x:c r="A36" s="16" t="n">
        <x:v>46113</x:v>
      </x:c>
      <x:c r="B36" s="12" t="str">
        <x:v>Q2</x:v>
      </x:c>
      <x:c r="C36" s="12" t="str">
        <x:v>Sự kiện truyền thông</x:v>
      </x:c>
      <x:c r="D36" s="14" t="n">
        <x:v>150000000</x:v>
      </x:c>
      <x:c r="E36" s="14" t="n">
        <x:v>129156986</x:v>
      </x:c>
      <x:c r="F36" s="14" t="n">
        <x:f>D36-E36</x:f>
        <x:v>20843014</x:v>
      </x:c>
      <x:c r="G36" s="18" t="n">
        <x:f>E36/D36</x:f>
        <x:v>0.8610465733333333</x:v>
      </x:c>
      <x:c r="H36" s="12" t="str">
        <x:f>IF(G36&gt;1,"Vượt ngân sách",IF(G36&gt;0.9,"Cần theo dõi","Đúng kế hoạch"))</x:f>
        <x:v>Đúng kế hoạch</x:v>
      </x:c>
      <x:c r="I36" s="12" t="str">
        <x:v>Trần Hoàng Nam</x:v>
      </x:c>
      <x:c r="J36" s="12" t="str">
        <x:v>Theo dõi theo tháng</x:v>
      </x:c>
    </x:row>
    <x:row r="37">
      <x:c r="A37" s="16" t="n">
        <x:v>46113</x:v>
      </x:c>
      <x:c r="B37" s="12" t="str">
        <x:v>Q2</x:v>
      </x:c>
      <x:c r="C37" s="12" t="str">
        <x:v>Website &amp; SEO</x:v>
      </x:c>
      <x:c r="D37" s="14" t="n">
        <x:v>80000000</x:v>
      </x:c>
      <x:c r="E37" s="14" t="n">
        <x:v>84143263</x:v>
      </x:c>
      <x:c r="F37" s="14" t="n">
        <x:f>D37-E37</x:f>
        <x:v>-4143263</x:v>
      </x:c>
      <x:c r="G37" s="18" t="n">
        <x:f>E37/D37</x:f>
        <x:v>1.0517907875</x:v>
      </x:c>
      <x:c r="H37" s="12" t="str">
        <x:f>IF(G37&gt;1,"Vượt ngân sách",IF(G37&gt;0.9,"Cần theo dõi","Đúng kế hoạch"))</x:f>
        <x:v>Vượt ngân sách</x:v>
      </x:c>
      <x:c r="I37" s="12" t="str">
        <x:v>Lê Thu Hà</x:v>
      </x:c>
      <x:c r="J37" s="12" t="str">
        <x:v>Theo dõi theo tháng</x:v>
      </x:c>
    </x:row>
    <x:row r="38">
      <x:c r="A38" s="16" t="n">
        <x:v>46113</x:v>
      </x:c>
      <x:c r="B38" s="12" t="str">
        <x:v>Q2</x:v>
      </x:c>
      <x:c r="C38" s="12" t="str">
        <x:v>Social Media</x:v>
      </x:c>
      <x:c r="D38" s="14" t="n">
        <x:v>80000000</x:v>
      </x:c>
      <x:c r="E38" s="14" t="n">
        <x:v>84938023</x:v>
      </x:c>
      <x:c r="F38" s="14" t="n">
        <x:f>D38-E38</x:f>
        <x:v>-4938023</x:v>
      </x:c>
      <x:c r="G38" s="18" t="n">
        <x:f>E38/D38</x:f>
        <x:v>1.0617252875</x:v>
      </x:c>
      <x:c r="H38" s="12" t="str">
        <x:f>IF(G38&gt;1,"Vượt ngân sách",IF(G38&gt;0.9,"Cần theo dõi","Đúng kế hoạch"))</x:f>
        <x:v>Vượt ngân sách</x:v>
      </x:c>
      <x:c r="I38" s="12" t="str">
        <x:v>Trần Hoàng Nam</x:v>
      </x:c>
      <x:c r="J38" s="12" t="str">
        <x:v>Theo dõi theo tháng</x:v>
      </x:c>
    </x:row>
    <x:row r="39">
      <x:c r="A39" s="16" t="n">
        <x:v>46113</x:v>
      </x:c>
      <x:c r="B39" s="12" t="str">
        <x:v>Q2</x:v>
      </x:c>
      <x:c r="C39" s="12" t="str">
        <x:v>Video/Photo Production</x:v>
      </x:c>
      <x:c r="D39" s="14" t="n">
        <x:v>120000000</x:v>
      </x:c>
      <x:c r="E39" s="14" t="n">
        <x:v>98344432</x:v>
      </x:c>
      <x:c r="F39" s="14" t="n">
        <x:f>D39-E39</x:f>
        <x:v>21655568</x:v>
      </x:c>
      <x:c r="G39" s="18" t="n">
        <x:f>E39/D39</x:f>
        <x:v>0.8195369333333333</x:v>
      </x:c>
      <x:c r="H39" s="12" t="str">
        <x:f>IF(G39&gt;1,"Vượt ngân sách",IF(G39&gt;0.9,"Cần theo dõi","Đúng kế hoạch"))</x:f>
        <x:v>Đúng kế hoạch</x:v>
      </x:c>
      <x:c r="I39" s="12" t="str">
        <x:v>Phạm Quang Huy</x:v>
      </x:c>
      <x:c r="J39" s="12" t="str">
        <x:v>Theo dõi theo tháng</x:v>
      </x:c>
    </x:row>
    <x:row r="40">
      <x:c r="A40" s="16" t="n">
        <x:v>46113</x:v>
      </x:c>
      <x:c r="B40" s="12" t="str">
        <x:v>Q2</x:v>
      </x:c>
      <x:c r="C40" s="12" t="str">
        <x:v>Email Marketing</x:v>
      </x:c>
      <x:c r="D40" s="14" t="n">
        <x:v>150000000</x:v>
      </x:c>
      <x:c r="E40" s="14" t="n">
        <x:v>157996365</x:v>
      </x:c>
      <x:c r="F40" s="14" t="n">
        <x:f>D40-E40</x:f>
        <x:v>-7996365</x:v>
      </x:c>
      <x:c r="G40" s="18" t="n">
        <x:f>E40/D40</x:f>
        <x:v>1.0533091</x:v>
      </x:c>
      <x:c r="H40" s="12" t="str">
        <x:f>IF(G40&gt;1,"Vượt ngân sách",IF(G40&gt;0.9,"Cần theo dõi","Đúng kế hoạch"))</x:f>
        <x:v>Vượt ngân sách</x:v>
      </x:c>
      <x:c r="I40" s="12" t="str">
        <x:v>Đỗ Mai Linh</x:v>
      </x:c>
      <x:c r="J40" s="12" t="str">
        <x:v>Theo dõi theo tháng</x:v>
      </x:c>
    </x:row>
    <x:row r="41">
      <x:c r="A41" s="16" t="n">
        <x:v>46113</x:v>
      </x:c>
      <x:c r="B41" s="12" t="str">
        <x:v>Q2</x:v>
      </x:c>
      <x:c r="C41" s="12" t="str">
        <x:v>Nghiên cứu thị trường</x:v>
      </x:c>
      <x:c r="D41" s="14" t="n">
        <x:v>250000000</x:v>
      </x:c>
      <x:c r="E41" s="14" t="n">
        <x:v>212544850</x:v>
      </x:c>
      <x:c r="F41" s="14" t="n">
        <x:f>D41-E41</x:f>
        <x:v>37455150</x:v>
      </x:c>
      <x:c r="G41" s="18" t="n">
        <x:f>E41/D41</x:f>
        <x:v>0.8501794</x:v>
      </x:c>
      <x:c r="H41" s="12" t="str">
        <x:f>IF(G41&gt;1,"Vượt ngân sách",IF(G41&gt;0.9,"Cần theo dõi","Đúng kế hoạch"))</x:f>
        <x:v>Đúng kế hoạch</x:v>
      </x:c>
      <x:c r="I41" s="12" t="str">
        <x:v>Nguyễn Minh Anh</x:v>
      </x:c>
      <x:c r="J41" s="12" t="str">
        <x:v>Theo dõi theo tháng</x:v>
      </x:c>
    </x:row>
    <x:row r="42">
      <x:c r="A42" s="16" t="n">
        <x:v>46143</x:v>
      </x:c>
      <x:c r="B42" s="12" t="str">
        <x:v>Q2</x:v>
      </x:c>
      <x:c r="C42" s="12" t="str">
        <x:v>Tuyển sinh &amp; truyền thông thương hiệu</x:v>
      </x:c>
      <x:c r="D42" s="14" t="n">
        <x:v>120000000</x:v>
      </x:c>
      <x:c r="E42" s="14" t="n">
        <x:v>102752804</x:v>
      </x:c>
      <x:c r="F42" s="14" t="n">
        <x:f>D42-E42</x:f>
        <x:v>17247196</x:v>
      </x:c>
      <x:c r="G42" s="18" t="n">
        <x:f>E42/D42</x:f>
        <x:v>0.8562733666666666</x:v>
      </x:c>
      <x:c r="H42" s="12" t="str">
        <x:f>IF(G42&gt;1,"Vượt ngân sách",IF(G42&gt;0.9,"Cần theo dõi","Đúng kế hoạch"))</x:f>
        <x:v>Đúng kế hoạch</x:v>
      </x:c>
      <x:c r="I42" s="12" t="str">
        <x:v>Lê Thu Hà</x:v>
      </x:c>
      <x:c r="J42" s="12" t="str">
        <x:v>Theo dõi theo tháng</x:v>
      </x:c>
    </x:row>
    <x:row r="43">
      <x:c r="A43" s="16" t="n">
        <x:v>46143</x:v>
      </x:c>
      <x:c r="B43" s="12" t="str">
        <x:v>Q2</x:v>
      </x:c>
      <x:c r="C43" s="12" t="str">
        <x:v>Digital Marketing</x:v>
      </x:c>
      <x:c r="D43" s="14" t="n">
        <x:v>120000000</x:v>
      </x:c>
      <x:c r="E43" s="14" t="n">
        <x:v>103085170</x:v>
      </x:c>
      <x:c r="F43" s="14" t="n">
        <x:f>D43-E43</x:f>
        <x:v>16914830</x:v>
      </x:c>
      <x:c r="G43" s="18" t="n">
        <x:f>E43/D43</x:f>
        <x:v>0.8590430833333333</x:v>
      </x:c>
      <x:c r="H43" s="12" t="str">
        <x:f>IF(G43&gt;1,"Vượt ngân sách",IF(G43&gt;0.9,"Cần theo dõi","Đúng kế hoạch"))</x:f>
        <x:v>Đúng kế hoạch</x:v>
      </x:c>
      <x:c r="I43" s="12" t="str">
        <x:v>Đỗ Mai Linh</x:v>
      </x:c>
      <x:c r="J43" s="12" t="str">
        <x:v>Theo dõi theo tháng</x:v>
      </x:c>
    </x:row>
    <x:row r="44">
      <x:c r="A44" s="16" t="n">
        <x:v>46143</x:v>
      </x:c>
      <x:c r="B44" s="12" t="str">
        <x:v>Q2</x:v>
      </x:c>
      <x:c r="C44" s="12" t="str">
        <x:v>Sản xuất nội dung</x:v>
      </x:c>
      <x:c r="D44" s="14" t="n">
        <x:v>120000000</x:v>
      </x:c>
      <x:c r="E44" s="14" t="n">
        <x:v>101541985</x:v>
      </x:c>
      <x:c r="F44" s="14" t="n">
        <x:f>D44-E44</x:f>
        <x:v>18458015</x:v>
      </x:c>
      <x:c r="G44" s="18" t="n">
        <x:f>E44/D44</x:f>
        <x:v>0.8461832083333334</x:v>
      </x:c>
      <x:c r="H44" s="12" t="str">
        <x:f>IF(G44&gt;1,"Vượt ngân sách",IF(G44&gt;0.9,"Cần theo dõi","Đúng kế hoạch"))</x:f>
        <x:v>Đúng kế hoạch</x:v>
      </x:c>
      <x:c r="I44" s="12" t="str">
        <x:v>Nguyễn Minh Anh</x:v>
      </x:c>
      <x:c r="J44" s="12" t="str">
        <x:v>Theo dõi theo tháng</x:v>
      </x:c>
    </x:row>
    <x:row r="45">
      <x:c r="A45" s="16" t="n">
        <x:v>46143</x:v>
      </x:c>
      <x:c r="B45" s="12" t="str">
        <x:v>Q2</x:v>
      </x:c>
      <x:c r="C45" s="12" t="str">
        <x:v>Quan hệ báo chí</x:v>
      </x:c>
      <x:c r="D45" s="14" t="n">
        <x:v>250000000</x:v>
      </x:c>
      <x:c r="E45" s="14" t="n">
        <x:v>213595714</x:v>
      </x:c>
      <x:c r="F45" s="14" t="n">
        <x:f>D45-E45</x:f>
        <x:v>36404286</x:v>
      </x:c>
      <x:c r="G45" s="18" t="n">
        <x:f>E45/D45</x:f>
        <x:v>0.854382856</x:v>
      </x:c>
      <x:c r="H45" s="12" t="str">
        <x:f>IF(G45&gt;1,"Vượt ngân sách",IF(G45&gt;0.9,"Cần theo dõi","Đúng kế hoạch"))</x:f>
        <x:v>Đúng kế hoạch</x:v>
      </x:c>
      <x:c r="I45" s="12" t="str">
        <x:v>Trần Hoàng Nam</x:v>
      </x:c>
      <x:c r="J45" s="12" t="str">
        <x:v>Theo dõi theo tháng</x:v>
      </x:c>
    </x:row>
    <x:row r="46">
      <x:c r="A46" s="16" t="n">
        <x:v>46143</x:v>
      </x:c>
      <x:c r="B46" s="12" t="str">
        <x:v>Q2</x:v>
      </x:c>
      <x:c r="C46" s="12" t="str">
        <x:v>Sự kiện truyền thông</x:v>
      </x:c>
      <x:c r="D46" s="14" t="n">
        <x:v>300000000</x:v>
      </x:c>
      <x:c r="E46" s="14" t="n">
        <x:v>335847645</x:v>
      </x:c>
      <x:c r="F46" s="14" t="n">
        <x:f>D46-E46</x:f>
        <x:v>-35847645</x:v>
      </x:c>
      <x:c r="G46" s="18" t="n">
        <x:f>E46/D46</x:f>
        <x:v>1.11949215</x:v>
      </x:c>
      <x:c r="H46" s="12" t="str">
        <x:f>IF(G46&gt;1,"Vượt ngân sách",IF(G46&gt;0.9,"Cần theo dõi","Đúng kế hoạch"))</x:f>
        <x:v>Vượt ngân sách</x:v>
      </x:c>
      <x:c r="I46" s="12" t="str">
        <x:v>Phạm Quang Huy</x:v>
      </x:c>
      <x:c r="J46" s="12" t="str">
        <x:v>Theo dõi theo tháng</x:v>
      </x:c>
    </x:row>
    <x:row r="47">
      <x:c r="A47" s="16" t="n">
        <x:v>46143</x:v>
      </x:c>
      <x:c r="B47" s="12" t="str">
        <x:v>Q2</x:v>
      </x:c>
      <x:c r="C47" s="12" t="str">
        <x:v>Website &amp; SEO</x:v>
      </x:c>
      <x:c r="D47" s="14" t="n">
        <x:v>80000000</x:v>
      </x:c>
      <x:c r="E47" s="14" t="n">
        <x:v>89716086</x:v>
      </x:c>
      <x:c r="F47" s="14" t="n">
        <x:f>D47-E47</x:f>
        <x:v>-9716086</x:v>
      </x:c>
      <x:c r="G47" s="18" t="n">
        <x:f>E47/D47</x:f>
        <x:v>1.121451075</x:v>
      </x:c>
      <x:c r="H47" s="12" t="str">
        <x:f>IF(G47&gt;1,"Vượt ngân sách",IF(G47&gt;0.9,"Cần theo dõi","Đúng kế hoạch"))</x:f>
        <x:v>Vượt ngân sách</x:v>
      </x:c>
      <x:c r="I47" s="12" t="str">
        <x:v>Đỗ Mai Linh</x:v>
      </x:c>
      <x:c r="J47" s="12" t="str">
        <x:v>Theo dõi theo tháng</x:v>
      </x:c>
    </x:row>
    <x:row r="48">
      <x:c r="A48" s="16" t="n">
        <x:v>46143</x:v>
      </x:c>
      <x:c r="B48" s="12" t="str">
        <x:v>Q2</x:v>
      </x:c>
      <x:c r="C48" s="12" t="str">
        <x:v>Social Media</x:v>
      </x:c>
      <x:c r="D48" s="14" t="n">
        <x:v>150000000</x:v>
      </x:c>
      <x:c r="E48" s="14" t="n">
        <x:v>140388389</x:v>
      </x:c>
      <x:c r="F48" s="14" t="n">
        <x:f>D48-E48</x:f>
        <x:v>9611611</x:v>
      </x:c>
      <x:c r="G48" s="18" t="n">
        <x:f>E48/D48</x:f>
        <x:v>0.9359225933333334</x:v>
      </x:c>
      <x:c r="H48" s="12" t="str">
        <x:f>IF(G48&gt;1,"Vượt ngân sách",IF(G48&gt;0.9,"Cần theo dõi","Đúng kế hoạch"))</x:f>
        <x:v>Cần theo dõi</x:v>
      </x:c>
      <x:c r="I48" s="12" t="str">
        <x:v>Phạm Quang Huy</x:v>
      </x:c>
      <x:c r="J48" s="12" t="str">
        <x:v>Theo dõi theo tháng</x:v>
      </x:c>
    </x:row>
    <x:row r="49">
      <x:c r="A49" s="16" t="n">
        <x:v>46143</x:v>
      </x:c>
      <x:c r="B49" s="12" t="str">
        <x:v>Q2</x:v>
      </x:c>
      <x:c r="C49" s="12" t="str">
        <x:v>Video/Photo Production</x:v>
      </x:c>
      <x:c r="D49" s="14" t="n">
        <x:v>150000000</x:v>
      </x:c>
      <x:c r="E49" s="14" t="n">
        <x:v>120721093</x:v>
      </x:c>
      <x:c r="F49" s="14" t="n">
        <x:f>D49-E49</x:f>
        <x:v>29278907</x:v>
      </x:c>
      <x:c r="G49" s="18" t="n">
        <x:f>E49/D49</x:f>
        <x:v>0.8048072866666667</x:v>
      </x:c>
      <x:c r="H49" s="12" t="str">
        <x:f>IF(G49&gt;1,"Vượt ngân sách",IF(G49&gt;0.9,"Cần theo dõi","Đúng kế hoạch"))</x:f>
        <x:v>Đúng kế hoạch</x:v>
      </x:c>
      <x:c r="I49" s="12" t="str">
        <x:v>Nguyễn Minh Anh</x:v>
      </x:c>
      <x:c r="J49" s="12" t="str">
        <x:v>Theo dõi theo tháng</x:v>
      </x:c>
    </x:row>
    <x:row r="50">
      <x:c r="A50" s="16" t="n">
        <x:v>46143</x:v>
      </x:c>
      <x:c r="B50" s="12" t="str">
        <x:v>Q2</x:v>
      </x:c>
      <x:c r="C50" s="12" t="str">
        <x:v>Email Marketing</x:v>
      </x:c>
      <x:c r="D50" s="14" t="n">
        <x:v>150000000</x:v>
      </x:c>
      <x:c r="E50" s="14" t="n">
        <x:v>172933388</x:v>
      </x:c>
      <x:c r="F50" s="14" t="n">
        <x:f>D50-E50</x:f>
        <x:v>-22933388</x:v>
      </x:c>
      <x:c r="G50" s="18" t="n">
        <x:f>E50/D50</x:f>
        <x:v>1.1528892533333333</x:v>
      </x:c>
      <x:c r="H50" s="12" t="str">
        <x:f>IF(G50&gt;1,"Vượt ngân sách",IF(G50&gt;0.9,"Cần theo dõi","Đúng kế hoạch"))</x:f>
        <x:v>Vượt ngân sách</x:v>
      </x:c>
      <x:c r="I50" s="12" t="str">
        <x:v>Phạm Quang Huy</x:v>
      </x:c>
      <x:c r="J50" s="12" t="str">
        <x:v>Theo dõi theo tháng</x:v>
      </x:c>
    </x:row>
    <x:row r="51">
      <x:c r="A51" s="16" t="n">
        <x:v>46143</x:v>
      </x:c>
      <x:c r="B51" s="12" t="str">
        <x:v>Q2</x:v>
      </x:c>
      <x:c r="C51" s="12" t="str">
        <x:v>Nghiên cứu thị trường</x:v>
      </x:c>
      <x:c r="D51" s="14" t="n">
        <x:v>80000000</x:v>
      </x:c>
      <x:c r="E51" s="14" t="n">
        <x:v>87853855</x:v>
      </x:c>
      <x:c r="F51" s="14" t="n">
        <x:f>D51-E51</x:f>
        <x:v>-7853855</x:v>
      </x:c>
      <x:c r="G51" s="18" t="n">
        <x:f>E51/D51</x:f>
        <x:v>1.0981731875</x:v>
      </x:c>
      <x:c r="H51" s="12" t="str">
        <x:f>IF(G51&gt;1,"Vượt ngân sách",IF(G51&gt;0.9,"Cần theo dõi","Đúng kế hoạch"))</x:f>
        <x:v>Vượt ngân sách</x:v>
      </x:c>
      <x:c r="I51" s="12" t="str">
        <x:v>Phạm Quang Huy</x:v>
      </x:c>
      <x:c r="J51" s="12" t="str">
        <x:v>Theo dõi theo tháng</x:v>
      </x:c>
    </x:row>
    <x:row r="52">
      <x:c r="A52" s="16" t="n">
        <x:v>46174</x:v>
      </x:c>
      <x:c r="B52" s="12" t="str">
        <x:v>Q2</x:v>
      </x:c>
      <x:c r="C52" s="12" t="str">
        <x:v>Tuyển sinh &amp; truyền thông thương hiệu</x:v>
      </x:c>
      <x:c r="D52" s="14" t="n">
        <x:v>200000000</x:v>
      </x:c>
      <x:c r="E52" s="14" t="n">
        <x:v>150815559</x:v>
      </x:c>
      <x:c r="F52" s="14" t="n">
        <x:f>D52-E52</x:f>
        <x:v>49184441</x:v>
      </x:c>
      <x:c r="G52" s="18" t="n">
        <x:f>E52/D52</x:f>
        <x:v>0.754077795</x:v>
      </x:c>
      <x:c r="H52" s="12" t="str">
        <x:f>IF(G52&gt;1,"Vượt ngân sách",IF(G52&gt;0.9,"Cần theo dõi","Đúng kế hoạch"))</x:f>
        <x:v>Đúng kế hoạch</x:v>
      </x:c>
      <x:c r="I52" s="12" t="str">
        <x:v>Nguyễn Minh Anh</x:v>
      </x:c>
      <x:c r="J52" s="12" t="str">
        <x:v>Theo dõi theo tháng</x:v>
      </x:c>
    </x:row>
    <x:row r="53">
      <x:c r="A53" s="16" t="n">
        <x:v>46174</x:v>
      </x:c>
      <x:c r="B53" s="12" t="str">
        <x:v>Q2</x:v>
      </x:c>
      <x:c r="C53" s="12" t="str">
        <x:v>Digital Marketing</x:v>
      </x:c>
      <x:c r="D53" s="14" t="n">
        <x:v>120000000</x:v>
      </x:c>
      <x:c r="E53" s="14" t="n">
        <x:v>94635706</x:v>
      </x:c>
      <x:c r="F53" s="14" t="n">
        <x:f>D53-E53</x:f>
        <x:v>25364294</x:v>
      </x:c>
      <x:c r="G53" s="18" t="n">
        <x:f>E53/D53</x:f>
        <x:v>0.7886308833333333</x:v>
      </x:c>
      <x:c r="H53" s="12" t="str">
        <x:f>IF(G53&gt;1,"Vượt ngân sách",IF(G53&gt;0.9,"Cần theo dõi","Đúng kế hoạch"))</x:f>
        <x:v>Đúng kế hoạch</x:v>
      </x:c>
      <x:c r="I53" s="12" t="str">
        <x:v>Đỗ Mai Linh</x:v>
      </x:c>
      <x:c r="J53" s="12" t="str">
        <x:v>Theo dõi theo tháng</x:v>
      </x:c>
    </x:row>
    <x:row r="54">
      <x:c r="A54" s="16" t="n">
        <x:v>46174</x:v>
      </x:c>
      <x:c r="B54" s="12" t="str">
        <x:v>Q2</x:v>
      </x:c>
      <x:c r="C54" s="12" t="str">
        <x:v>Sản xuất nội dung</x:v>
      </x:c>
      <x:c r="D54" s="14" t="n">
        <x:v>150000000</x:v>
      </x:c>
      <x:c r="E54" s="14" t="n">
        <x:v>113877482</x:v>
      </x:c>
      <x:c r="F54" s="14" t="n">
        <x:f>D54-E54</x:f>
        <x:v>36122518</x:v>
      </x:c>
      <x:c r="G54" s="18" t="n">
        <x:f>E54/D54</x:f>
        <x:v>0.7591832133333334</x:v>
      </x:c>
      <x:c r="H54" s="12" t="str">
        <x:f>IF(G54&gt;1,"Vượt ngân sách",IF(G54&gt;0.9,"Cần theo dõi","Đúng kế hoạch"))</x:f>
        <x:v>Đúng kế hoạch</x:v>
      </x:c>
      <x:c r="I54" s="12" t="str">
        <x:v>Trần Hoàng Nam</x:v>
      </x:c>
      <x:c r="J54" s="12" t="str">
        <x:v>Theo dõi theo tháng</x:v>
      </x:c>
    </x:row>
    <x:row r="55">
      <x:c r="A55" s="16" t="n">
        <x:v>46174</x:v>
      </x:c>
      <x:c r="B55" s="12" t="str">
        <x:v>Q2</x:v>
      </x:c>
      <x:c r="C55" s="12" t="str">
        <x:v>Quan hệ báo chí</x:v>
      </x:c>
      <x:c r="D55" s="14" t="n">
        <x:v>80000000</x:v>
      </x:c>
      <x:c r="E55" s="14" t="n">
        <x:v>78137087</x:v>
      </x:c>
      <x:c r="F55" s="14" t="n">
        <x:f>D55-E55</x:f>
        <x:v>1862913</x:v>
      </x:c>
      <x:c r="G55" s="18" t="n">
        <x:f>E55/D55</x:f>
        <x:v>0.9767135875</x:v>
      </x:c>
      <x:c r="H55" s="12" t="str">
        <x:f>IF(G55&gt;1,"Vượt ngân sách",IF(G55&gt;0.9,"Cần theo dõi","Đúng kế hoạch"))</x:f>
        <x:v>Cần theo dõi</x:v>
      </x:c>
      <x:c r="I55" s="12" t="str">
        <x:v>Phạm Quang Huy</x:v>
      </x:c>
      <x:c r="J55" s="12" t="str">
        <x:v>Theo dõi theo tháng</x:v>
      </x:c>
    </x:row>
    <x:row r="56">
      <x:c r="A56" s="16" t="n">
        <x:v>46174</x:v>
      </x:c>
      <x:c r="B56" s="12" t="str">
        <x:v>Q2</x:v>
      </x:c>
      <x:c r="C56" s="12" t="str">
        <x:v>Sự kiện truyền thông</x:v>
      </x:c>
      <x:c r="D56" s="14" t="n">
        <x:v>250000000</x:v>
      </x:c>
      <x:c r="E56" s="14" t="n">
        <x:v>248554587</x:v>
      </x:c>
      <x:c r="F56" s="14" t="n">
        <x:f>D56-E56</x:f>
        <x:v>1445413</x:v>
      </x:c>
      <x:c r="G56" s="18" t="n">
        <x:f>E56/D56</x:f>
        <x:v>0.994218348</x:v>
      </x:c>
      <x:c r="H56" s="12" t="str">
        <x:f>IF(G56&gt;1,"Vượt ngân sách",IF(G56&gt;0.9,"Cần theo dõi","Đúng kế hoạch"))</x:f>
        <x:v>Cần theo dõi</x:v>
      </x:c>
      <x:c r="I56" s="12" t="str">
        <x:v>Đỗ Mai Linh</x:v>
      </x:c>
      <x:c r="J56" s="12" t="str">
        <x:v>Theo dõi theo tháng</x:v>
      </x:c>
    </x:row>
    <x:row r="57">
      <x:c r="A57" s="16" t="n">
        <x:v>46174</x:v>
      </x:c>
      <x:c r="B57" s="12" t="str">
        <x:v>Q2</x:v>
      </x:c>
      <x:c r="C57" s="12" t="str">
        <x:v>Website &amp; SEO</x:v>
      </x:c>
      <x:c r="D57" s="14" t="n">
        <x:v>120000000</x:v>
      </x:c>
      <x:c r="E57" s="14" t="n">
        <x:v>129218283</x:v>
      </x:c>
      <x:c r="F57" s="14" t="n">
        <x:f>D57-E57</x:f>
        <x:v>-9218283</x:v>
      </x:c>
      <x:c r="G57" s="18" t="n">
        <x:f>E57/D57</x:f>
        <x:v>1.076819025</x:v>
      </x:c>
      <x:c r="H57" s="12" t="str">
        <x:f>IF(G57&gt;1,"Vượt ngân sách",IF(G57&gt;0.9,"Cần theo dõi","Đúng kế hoạch"))</x:f>
        <x:v>Vượt ngân sách</x:v>
      </x:c>
      <x:c r="I57" s="12" t="str">
        <x:v>Phạm Quang Huy</x:v>
      </x:c>
      <x:c r="J57" s="12" t="str">
        <x:v>Theo dõi theo tháng</x:v>
      </x:c>
    </x:row>
    <x:row r="58">
      <x:c r="A58" s="16" t="n">
        <x:v>46174</x:v>
      </x:c>
      <x:c r="B58" s="12" t="str">
        <x:v>Q2</x:v>
      </x:c>
      <x:c r="C58" s="12" t="str">
        <x:v>Social Media</x:v>
      </x:c>
      <x:c r="D58" s="14" t="n">
        <x:v>200000000</x:v>
      </x:c>
      <x:c r="E58" s="14" t="n">
        <x:v>227582402</x:v>
      </x:c>
      <x:c r="F58" s="14" t="n">
        <x:f>D58-E58</x:f>
        <x:v>-27582402</x:v>
      </x:c>
      <x:c r="G58" s="18" t="n">
        <x:f>E58/D58</x:f>
        <x:v>1.13791201</x:v>
      </x:c>
      <x:c r="H58" s="12" t="str">
        <x:f>IF(G58&gt;1,"Vượt ngân sách",IF(G58&gt;0.9,"Cần theo dõi","Đúng kế hoạch"))</x:f>
        <x:v>Vượt ngân sách</x:v>
      </x:c>
      <x:c r="I58" s="12" t="str">
        <x:v>Lê Thu Hà</x:v>
      </x:c>
      <x:c r="J58" s="12" t="str">
        <x:v>Theo dõi theo tháng</x:v>
      </x:c>
    </x:row>
    <x:row r="59">
      <x:c r="A59" s="16" t="n">
        <x:v>46174</x:v>
      </x:c>
      <x:c r="B59" s="12" t="str">
        <x:v>Q2</x:v>
      </x:c>
      <x:c r="C59" s="12" t="str">
        <x:v>Video/Photo Production</x:v>
      </x:c>
      <x:c r="D59" s="14" t="n">
        <x:v>250000000</x:v>
      </x:c>
      <x:c r="E59" s="14" t="n">
        <x:v>293853594</x:v>
      </x:c>
      <x:c r="F59" s="14" t="n">
        <x:f>D59-E59</x:f>
        <x:v>-43853594</x:v>
      </x:c>
      <x:c r="G59" s="18" t="n">
        <x:f>E59/D59</x:f>
        <x:v>1.175414376</x:v>
      </x:c>
      <x:c r="H59" s="12" t="str">
        <x:f>IF(G59&gt;1,"Vượt ngân sách",IF(G59&gt;0.9,"Cần theo dõi","Đúng kế hoạch"))</x:f>
        <x:v>Vượt ngân sách</x:v>
      </x:c>
      <x:c r="I59" s="12" t="str">
        <x:v>Lê Thu Hà</x:v>
      </x:c>
      <x:c r="J59" s="12" t="str">
        <x:v>Theo dõi theo tháng</x:v>
      </x:c>
    </x:row>
    <x:row r="60">
      <x:c r="A60" s="16" t="n">
        <x:v>46174</x:v>
      </x:c>
      <x:c r="B60" s="12" t="str">
        <x:v>Q2</x:v>
      </x:c>
      <x:c r="C60" s="12" t="str">
        <x:v>Email Marketing</x:v>
      </x:c>
      <x:c r="D60" s="14" t="n">
        <x:v>250000000</x:v>
      </x:c>
      <x:c r="E60" s="14" t="n">
        <x:v>251418141</x:v>
      </x:c>
      <x:c r="F60" s="14" t="n">
        <x:f>D60-E60</x:f>
        <x:v>-1418141</x:v>
      </x:c>
      <x:c r="G60" s="18" t="n">
        <x:f>E60/D60</x:f>
        <x:v>1.005672564</x:v>
      </x:c>
      <x:c r="H60" s="12" t="str">
        <x:f>IF(G60&gt;1,"Vượt ngân sách",IF(G60&gt;0.9,"Cần theo dõi","Đúng kế hoạch"))</x:f>
        <x:v>Vượt ngân sách</x:v>
      </x:c>
      <x:c r="I60" s="12" t="str">
        <x:v>Đỗ Mai Linh</x:v>
      </x:c>
      <x:c r="J60" s="12" t="str">
        <x:v>Theo dõi theo tháng</x:v>
      </x:c>
    </x:row>
    <x:row r="61">
      <x:c r="A61" s="16" t="n">
        <x:v>46174</x:v>
      </x:c>
      <x:c r="B61" s="12" t="str">
        <x:v>Q2</x:v>
      </x:c>
      <x:c r="C61" s="12" t="str">
        <x:v>Nghiên cứu thị trường</x:v>
      </x:c>
      <x:c r="D61" s="14" t="n">
        <x:v>300000000</x:v>
      </x:c>
      <x:c r="E61" s="14" t="n">
        <x:v>229694233</x:v>
      </x:c>
      <x:c r="F61" s="14" t="n">
        <x:f>D61-E61</x:f>
        <x:v>70305767</x:v>
      </x:c>
      <x:c r="G61" s="18" t="n">
        <x:f>E61/D61</x:f>
        <x:v>0.7656474433333333</x:v>
      </x:c>
      <x:c r="H61" s="12" t="str">
        <x:f>IF(G61&gt;1,"Vượt ngân sách",IF(G61&gt;0.9,"Cần theo dõi","Đúng kế hoạch"))</x:f>
        <x:v>Đúng kế hoạch</x:v>
      </x:c>
      <x:c r="I61" s="12" t="str">
        <x:v>Trần Hoàng Nam</x:v>
      </x:c>
      <x:c r="J61" s="12" t="str">
        <x:v>Theo dõi theo tháng</x:v>
      </x:c>
    </x:row>
    <x:row r="62">
      <x:c r="A62" s="16" t="n">
        <x:v>46204</x:v>
      </x:c>
      <x:c r="B62" s="12" t="str">
        <x:v>Q3</x:v>
      </x:c>
      <x:c r="C62" s="12" t="str">
        <x:v>Tuyển sinh &amp; truyền thông thương hiệu</x:v>
      </x:c>
      <x:c r="D62" s="14" t="n">
        <x:v>300000000</x:v>
      </x:c>
      <x:c r="E62" s="14" t="n">
        <x:v>245121476</x:v>
      </x:c>
      <x:c r="F62" s="14" t="n">
        <x:f>D62-E62</x:f>
        <x:v>54878524</x:v>
      </x:c>
      <x:c r="G62" s="18" t="n">
        <x:f>E62/D62</x:f>
        <x:v>0.8170715866666667</x:v>
      </x:c>
      <x:c r="H62" s="12" t="str">
        <x:f>IF(G62&gt;1,"Vượt ngân sách",IF(G62&gt;0.9,"Cần theo dõi","Đúng kế hoạch"))</x:f>
        <x:v>Đúng kế hoạch</x:v>
      </x:c>
      <x:c r="I62" s="12" t="str">
        <x:v>Nguyễn Minh Anh</x:v>
      </x:c>
      <x:c r="J62" s="12" t="str">
        <x:v>Theo dõi theo tháng</x:v>
      </x:c>
    </x:row>
    <x:row r="63">
      <x:c r="A63" s="16" t="n">
        <x:v>46204</x:v>
      </x:c>
      <x:c r="B63" s="12" t="str">
        <x:v>Q3</x:v>
      </x:c>
      <x:c r="C63" s="12" t="str">
        <x:v>Digital Marketing</x:v>
      </x:c>
      <x:c r="D63" s="14" t="n">
        <x:v>120000000</x:v>
      </x:c>
      <x:c r="E63" s="14" t="n">
        <x:v>99640557</x:v>
      </x:c>
      <x:c r="F63" s="14" t="n">
        <x:f>D63-E63</x:f>
        <x:v>20359443</x:v>
      </x:c>
      <x:c r="G63" s="18" t="n">
        <x:f>E63/D63</x:f>
        <x:v>0.830337975</x:v>
      </x:c>
      <x:c r="H63" s="12" t="str">
        <x:f>IF(G63&gt;1,"Vượt ngân sách",IF(G63&gt;0.9,"Cần theo dõi","Đúng kế hoạch"))</x:f>
        <x:v>Đúng kế hoạch</x:v>
      </x:c>
      <x:c r="I63" s="12" t="str">
        <x:v>Đỗ Mai Linh</x:v>
      </x:c>
      <x:c r="J63" s="12" t="str">
        <x:v>Theo dõi theo tháng</x:v>
      </x:c>
    </x:row>
    <x:row r="64">
      <x:c r="A64" s="16" t="n">
        <x:v>46204</x:v>
      </x:c>
      <x:c r="B64" s="12" t="str">
        <x:v>Q3</x:v>
      </x:c>
      <x:c r="C64" s="12" t="str">
        <x:v>Sản xuất nội dung</x:v>
      </x:c>
      <x:c r="D64" s="14" t="n">
        <x:v>80000000</x:v>
      </x:c>
      <x:c r="E64" s="14" t="n">
        <x:v>63360400</x:v>
      </x:c>
      <x:c r="F64" s="14" t="n">
        <x:f>D64-E64</x:f>
        <x:v>16639600</x:v>
      </x:c>
      <x:c r="G64" s="18" t="n">
        <x:f>E64/D64</x:f>
        <x:v>0.792005</x:v>
      </x:c>
      <x:c r="H64" s="12" t="str">
        <x:f>IF(G64&gt;1,"Vượt ngân sách",IF(G64&gt;0.9,"Cần theo dõi","Đúng kế hoạch"))</x:f>
        <x:v>Đúng kế hoạch</x:v>
      </x:c>
      <x:c r="I64" s="12" t="str">
        <x:v>Phạm Quang Huy</x:v>
      </x:c>
      <x:c r="J64" s="12" t="str">
        <x:v>Theo dõi theo tháng</x:v>
      </x:c>
    </x:row>
    <x:row r="65">
      <x:c r="A65" s="16" t="n">
        <x:v>46204</x:v>
      </x:c>
      <x:c r="B65" s="12" t="str">
        <x:v>Q3</x:v>
      </x:c>
      <x:c r="C65" s="12" t="str">
        <x:v>Quan hệ báo chí</x:v>
      </x:c>
      <x:c r="D65" s="14" t="n">
        <x:v>200000000</x:v>
      </x:c>
      <x:c r="E65" s="14" t="n">
        <x:v>207422144</x:v>
      </x:c>
      <x:c r="F65" s="14" t="n">
        <x:f>D65-E65</x:f>
        <x:v>-7422144</x:v>
      </x:c>
      <x:c r="G65" s="18" t="n">
        <x:f>E65/D65</x:f>
        <x:v>1.03711072</x:v>
      </x:c>
      <x:c r="H65" s="12" t="str">
        <x:f>IF(G65&gt;1,"Vượt ngân sách",IF(G65&gt;0.9,"Cần theo dõi","Đúng kế hoạch"))</x:f>
        <x:v>Vượt ngân sách</x:v>
      </x:c>
      <x:c r="I65" s="12" t="str">
        <x:v>Phạm Quang Huy</x:v>
      </x:c>
      <x:c r="J65" s="12" t="str">
        <x:v>Theo dõi theo tháng</x:v>
      </x:c>
    </x:row>
    <x:row r="66">
      <x:c r="A66" s="16" t="n">
        <x:v>46204</x:v>
      </x:c>
      <x:c r="B66" s="12" t="str">
        <x:v>Q3</x:v>
      </x:c>
      <x:c r="C66" s="12" t="str">
        <x:v>Sự kiện truyền thông</x:v>
      </x:c>
      <x:c r="D66" s="14" t="n">
        <x:v>150000000</x:v>
      </x:c>
      <x:c r="E66" s="14" t="n">
        <x:v>110252150</x:v>
      </x:c>
      <x:c r="F66" s="14" t="n">
        <x:f>D66-E66</x:f>
        <x:v>39747850</x:v>
      </x:c>
      <x:c r="G66" s="18" t="n">
        <x:f>E66/D66</x:f>
        <x:v>0.7350143333333333</x:v>
      </x:c>
      <x:c r="H66" s="12" t="str">
        <x:f>IF(G66&gt;1,"Vượt ngân sách",IF(G66&gt;0.9,"Cần theo dõi","Đúng kế hoạch"))</x:f>
        <x:v>Đúng kế hoạch</x:v>
      </x:c>
      <x:c r="I66" s="12" t="str">
        <x:v>Lê Thu Hà</x:v>
      </x:c>
      <x:c r="J66" s="12" t="str">
        <x:v>Theo dõi theo tháng</x:v>
      </x:c>
    </x:row>
    <x:row r="67">
      <x:c r="A67" s="16" t="n">
        <x:v>46204</x:v>
      </x:c>
      <x:c r="B67" s="12" t="str">
        <x:v>Q3</x:v>
      </x:c>
      <x:c r="C67" s="12" t="str">
        <x:v>Website &amp; SEO</x:v>
      </x:c>
      <x:c r="D67" s="14" t="n">
        <x:v>300000000</x:v>
      </x:c>
      <x:c r="E67" s="14" t="n">
        <x:v>255015135</x:v>
      </x:c>
      <x:c r="F67" s="14" t="n">
        <x:f>D67-E67</x:f>
        <x:v>44984865</x:v>
      </x:c>
      <x:c r="G67" s="18" t="n">
        <x:f>E67/D67</x:f>
        <x:v>0.85005045</x:v>
      </x:c>
      <x:c r="H67" s="12" t="str">
        <x:f>IF(G67&gt;1,"Vượt ngân sách",IF(G67&gt;0.9,"Cần theo dõi","Đúng kế hoạch"))</x:f>
        <x:v>Đúng kế hoạch</x:v>
      </x:c>
      <x:c r="I67" s="12" t="str">
        <x:v>Phạm Quang Huy</x:v>
      </x:c>
      <x:c r="J67" s="12" t="str">
        <x:v>Theo dõi theo tháng</x:v>
      </x:c>
    </x:row>
    <x:row r="68">
      <x:c r="A68" s="16" t="n">
        <x:v>46204</x:v>
      </x:c>
      <x:c r="B68" s="12" t="str">
        <x:v>Q3</x:v>
      </x:c>
      <x:c r="C68" s="12" t="str">
        <x:v>Social Media</x:v>
      </x:c>
      <x:c r="D68" s="14" t="n">
        <x:v>80000000</x:v>
      </x:c>
      <x:c r="E68" s="14" t="n">
        <x:v>82895765</x:v>
      </x:c>
      <x:c r="F68" s="14" t="n">
        <x:f>D68-E68</x:f>
        <x:v>-2895765</x:v>
      </x:c>
      <x:c r="G68" s="18" t="n">
        <x:f>E68/D68</x:f>
        <x:v>1.0361970625</x:v>
      </x:c>
      <x:c r="H68" s="12" t="str">
        <x:f>IF(G68&gt;1,"Vượt ngân sách",IF(G68&gt;0.9,"Cần theo dõi","Đúng kế hoạch"))</x:f>
        <x:v>Vượt ngân sách</x:v>
      </x:c>
      <x:c r="I68" s="12" t="str">
        <x:v>Lê Thu Hà</x:v>
      </x:c>
      <x:c r="J68" s="12" t="str">
        <x:v>Theo dõi theo tháng</x:v>
      </x:c>
    </x:row>
    <x:row r="69">
      <x:c r="A69" s="16" t="n">
        <x:v>46204</x:v>
      </x:c>
      <x:c r="B69" s="12" t="str">
        <x:v>Q3</x:v>
      </x:c>
      <x:c r="C69" s="12" t="str">
        <x:v>Video/Photo Production</x:v>
      </x:c>
      <x:c r="D69" s="14" t="n">
        <x:v>300000000</x:v>
      </x:c>
      <x:c r="E69" s="14" t="n">
        <x:v>297390963</x:v>
      </x:c>
      <x:c r="F69" s="14" t="n">
        <x:f>D69-E69</x:f>
        <x:v>2609037</x:v>
      </x:c>
      <x:c r="G69" s="18" t="n">
        <x:f>E69/D69</x:f>
        <x:v>0.99130321</x:v>
      </x:c>
      <x:c r="H69" s="12" t="str">
        <x:f>IF(G69&gt;1,"Vượt ngân sách",IF(G69&gt;0.9,"Cần theo dõi","Đúng kế hoạch"))</x:f>
        <x:v>Cần theo dõi</x:v>
      </x:c>
      <x:c r="I69" s="12" t="str">
        <x:v>Trần Hoàng Nam</x:v>
      </x:c>
      <x:c r="J69" s="12" t="str">
        <x:v>Theo dõi theo tháng</x:v>
      </x:c>
    </x:row>
    <x:row r="70">
      <x:c r="A70" s="16" t="n">
        <x:v>46204</x:v>
      </x:c>
      <x:c r="B70" s="12" t="str">
        <x:v>Q3</x:v>
      </x:c>
      <x:c r="C70" s="12" t="str">
        <x:v>Email Marketing</x:v>
      </x:c>
      <x:c r="D70" s="14" t="n">
        <x:v>200000000</x:v>
      </x:c>
      <x:c r="E70" s="14" t="n">
        <x:v>154559419</x:v>
      </x:c>
      <x:c r="F70" s="14" t="n">
        <x:f>D70-E70</x:f>
        <x:v>45440581</x:v>
      </x:c>
      <x:c r="G70" s="18" t="n">
        <x:f>E70/D70</x:f>
        <x:v>0.772797095</x:v>
      </x:c>
      <x:c r="H70" s="12" t="str">
        <x:f>IF(G70&gt;1,"Vượt ngân sách",IF(G70&gt;0.9,"Cần theo dõi","Đúng kế hoạch"))</x:f>
        <x:v>Đúng kế hoạch</x:v>
      </x:c>
      <x:c r="I70" s="12" t="str">
        <x:v>Trần Hoàng Nam</x:v>
      </x:c>
      <x:c r="J70" s="12" t="str">
        <x:v>Theo dõi theo tháng</x:v>
      </x:c>
    </x:row>
    <x:row r="71">
      <x:c r="A71" s="16" t="n">
        <x:v>46204</x:v>
      </x:c>
      <x:c r="B71" s="12" t="str">
        <x:v>Q3</x:v>
      </x:c>
      <x:c r="C71" s="12" t="str">
        <x:v>Nghiên cứu thị trường</x:v>
      </x:c>
      <x:c r="D71" s="14" t="n">
        <x:v>300000000</x:v>
      </x:c>
      <x:c r="E71" s="14" t="n">
        <x:v>236560537</x:v>
      </x:c>
      <x:c r="F71" s="14" t="n">
        <x:f>D71-E71</x:f>
        <x:v>63439463</x:v>
      </x:c>
      <x:c r="G71" s="18" t="n">
        <x:f>E71/D71</x:f>
        <x:v>0.7885351233333333</x:v>
      </x:c>
      <x:c r="H71" s="12" t="str">
        <x:f>IF(G71&gt;1,"Vượt ngân sách",IF(G71&gt;0.9,"Cần theo dõi","Đúng kế hoạch"))</x:f>
        <x:v>Đúng kế hoạch</x:v>
      </x:c>
      <x:c r="I71" s="12" t="str">
        <x:v>Lê Thu Hà</x:v>
      </x:c>
      <x:c r="J71" s="12" t="str">
        <x:v>Theo dõi theo tháng</x:v>
      </x:c>
    </x:row>
    <x:row r="72">
      <x:c r="A72" s="16" t="n">
        <x:v>46235</x:v>
      </x:c>
      <x:c r="B72" s="12" t="str">
        <x:v>Q3</x:v>
      </x:c>
      <x:c r="C72" s="12" t="str">
        <x:v>Tuyển sinh &amp; truyền thông thương hiệu</x:v>
      </x:c>
      <x:c r="D72" s="14" t="n">
        <x:v>120000000</x:v>
      </x:c>
      <x:c r="E72" s="14" t="n">
        <x:v>90341822</x:v>
      </x:c>
      <x:c r="F72" s="14" t="n">
        <x:f>D72-E72</x:f>
        <x:v>29658178</x:v>
      </x:c>
      <x:c r="G72" s="18" t="n">
        <x:f>E72/D72</x:f>
        <x:v>0.7528485166666666</x:v>
      </x:c>
      <x:c r="H72" s="12" t="str">
        <x:f>IF(G72&gt;1,"Vượt ngân sách",IF(G72&gt;0.9,"Cần theo dõi","Đúng kế hoạch"))</x:f>
        <x:v>Đúng kế hoạch</x:v>
      </x:c>
      <x:c r="I72" s="12" t="str">
        <x:v>Trần Hoàng Nam</x:v>
      </x:c>
      <x:c r="J72" s="12" t="str">
        <x:v>Theo dõi theo tháng</x:v>
      </x:c>
    </x:row>
    <x:row r="73">
      <x:c r="A73" s="16" t="n">
        <x:v>46235</x:v>
      </x:c>
      <x:c r="B73" s="12" t="str">
        <x:v>Q3</x:v>
      </x:c>
      <x:c r="C73" s="12" t="str">
        <x:v>Digital Marketing</x:v>
      </x:c>
      <x:c r="D73" s="14" t="n">
        <x:v>150000000</x:v>
      </x:c>
      <x:c r="E73" s="14" t="n">
        <x:v>149058038</x:v>
      </x:c>
      <x:c r="F73" s="14" t="n">
        <x:f>D73-E73</x:f>
        <x:v>941962</x:v>
      </x:c>
      <x:c r="G73" s="18" t="n">
        <x:f>E73/D73</x:f>
        <x:v>0.9937202533333334</x:v>
      </x:c>
      <x:c r="H73" s="12" t="str">
        <x:f>IF(G73&gt;1,"Vượt ngân sách",IF(G73&gt;0.9,"Cần theo dõi","Đúng kế hoạch"))</x:f>
        <x:v>Cần theo dõi</x:v>
      </x:c>
      <x:c r="I73" s="12" t="str">
        <x:v>Đỗ Mai Linh</x:v>
      </x:c>
      <x:c r="J73" s="12" t="str">
        <x:v>Theo dõi theo tháng</x:v>
      </x:c>
    </x:row>
    <x:row r="74">
      <x:c r="A74" s="16" t="n">
        <x:v>46235</x:v>
      </x:c>
      <x:c r="B74" s="12" t="str">
        <x:v>Q3</x:v>
      </x:c>
      <x:c r="C74" s="12" t="str">
        <x:v>Sản xuất nội dung</x:v>
      </x:c>
      <x:c r="D74" s="14" t="n">
        <x:v>150000000</x:v>
      </x:c>
      <x:c r="E74" s="14" t="n">
        <x:v>138301587</x:v>
      </x:c>
      <x:c r="F74" s="14" t="n">
        <x:f>D74-E74</x:f>
        <x:v>11698413</x:v>
      </x:c>
      <x:c r="G74" s="18" t="n">
        <x:f>E74/D74</x:f>
        <x:v>0.92201058</x:v>
      </x:c>
      <x:c r="H74" s="12" t="str">
        <x:f>IF(G74&gt;1,"Vượt ngân sách",IF(G74&gt;0.9,"Cần theo dõi","Đúng kế hoạch"))</x:f>
        <x:v>Cần theo dõi</x:v>
      </x:c>
      <x:c r="I74" s="12" t="str">
        <x:v>Phạm Quang Huy</x:v>
      </x:c>
      <x:c r="J74" s="12" t="str">
        <x:v>Theo dõi theo tháng</x:v>
      </x:c>
    </x:row>
    <x:row r="75">
      <x:c r="A75" s="16" t="n">
        <x:v>46235</x:v>
      </x:c>
      <x:c r="B75" s="12" t="str">
        <x:v>Q3</x:v>
      </x:c>
      <x:c r="C75" s="12" t="str">
        <x:v>Quan hệ báo chí</x:v>
      </x:c>
      <x:c r="D75" s="14" t="n">
        <x:v>300000000</x:v>
      </x:c>
      <x:c r="E75" s="14" t="n">
        <x:v>257964584</x:v>
      </x:c>
      <x:c r="F75" s="14" t="n">
        <x:f>D75-E75</x:f>
        <x:v>42035416</x:v>
      </x:c>
      <x:c r="G75" s="18" t="n">
        <x:f>E75/D75</x:f>
        <x:v>0.8598819466666666</x:v>
      </x:c>
      <x:c r="H75" s="12" t="str">
        <x:f>IF(G75&gt;1,"Vượt ngân sách",IF(G75&gt;0.9,"Cần theo dõi","Đúng kế hoạch"))</x:f>
        <x:v>Đúng kế hoạch</x:v>
      </x:c>
      <x:c r="I75" s="12" t="str">
        <x:v>Phạm Quang Huy</x:v>
      </x:c>
      <x:c r="J75" s="12" t="str">
        <x:v>Theo dõi theo tháng</x:v>
      </x:c>
    </x:row>
    <x:row r="76">
      <x:c r="A76" s="16" t="n">
        <x:v>46235</x:v>
      </x:c>
      <x:c r="B76" s="12" t="str">
        <x:v>Q3</x:v>
      </x:c>
      <x:c r="C76" s="12" t="str">
        <x:v>Sự kiện truyền thông</x:v>
      </x:c>
      <x:c r="D76" s="14" t="n">
        <x:v>150000000</x:v>
      </x:c>
      <x:c r="E76" s="14" t="n">
        <x:v>142532580</x:v>
      </x:c>
      <x:c r="F76" s="14" t="n">
        <x:f>D76-E76</x:f>
        <x:v>7467420</x:v>
      </x:c>
      <x:c r="G76" s="18" t="n">
        <x:f>E76/D76</x:f>
        <x:v>0.9502172</x:v>
      </x:c>
      <x:c r="H76" s="12" t="str">
        <x:f>IF(G76&gt;1,"Vượt ngân sách",IF(G76&gt;0.9,"Cần theo dõi","Đúng kế hoạch"))</x:f>
        <x:v>Cần theo dõi</x:v>
      </x:c>
      <x:c r="I76" s="12" t="str">
        <x:v>Phạm Quang Huy</x:v>
      </x:c>
      <x:c r="J76" s="12" t="str">
        <x:v>Theo dõi theo tháng</x:v>
      </x:c>
    </x:row>
    <x:row r="77">
      <x:c r="A77" s="16" t="n">
        <x:v>46235</x:v>
      </x:c>
      <x:c r="B77" s="12" t="str">
        <x:v>Q3</x:v>
      </x:c>
      <x:c r="C77" s="12" t="str">
        <x:v>Website &amp; SEO</x:v>
      </x:c>
      <x:c r="D77" s="14" t="n">
        <x:v>200000000</x:v>
      </x:c>
      <x:c r="E77" s="14" t="n">
        <x:v>151400650</x:v>
      </x:c>
      <x:c r="F77" s="14" t="n">
        <x:f>D77-E77</x:f>
        <x:v>48599350</x:v>
      </x:c>
      <x:c r="G77" s="18" t="n">
        <x:f>E77/D77</x:f>
        <x:v>0.75700325</x:v>
      </x:c>
      <x:c r="H77" s="12" t="str">
        <x:f>IF(G77&gt;1,"Vượt ngân sách",IF(G77&gt;0.9,"Cần theo dõi","Đúng kế hoạch"))</x:f>
        <x:v>Đúng kế hoạch</x:v>
      </x:c>
      <x:c r="I77" s="12" t="str">
        <x:v>Nguyễn Minh Anh</x:v>
      </x:c>
      <x:c r="J77" s="12" t="str">
        <x:v>Theo dõi theo tháng</x:v>
      </x:c>
    </x:row>
    <x:row r="78">
      <x:c r="A78" s="16" t="n">
        <x:v>46235</x:v>
      </x:c>
      <x:c r="B78" s="12" t="str">
        <x:v>Q3</x:v>
      </x:c>
      <x:c r="C78" s="12" t="str">
        <x:v>Social Media</x:v>
      </x:c>
      <x:c r="D78" s="14" t="n">
        <x:v>200000000</x:v>
      </x:c>
      <x:c r="E78" s="14" t="n">
        <x:v>211577120</x:v>
      </x:c>
      <x:c r="F78" s="14" t="n">
        <x:f>D78-E78</x:f>
        <x:v>-11577120</x:v>
      </x:c>
      <x:c r="G78" s="18" t="n">
        <x:f>E78/D78</x:f>
        <x:v>1.0578856</x:v>
      </x:c>
      <x:c r="H78" s="12" t="str">
        <x:f>IF(G78&gt;1,"Vượt ngân sách",IF(G78&gt;0.9,"Cần theo dõi","Đúng kế hoạch"))</x:f>
        <x:v>Vượt ngân sách</x:v>
      </x:c>
      <x:c r="I78" s="12" t="str">
        <x:v>Đỗ Mai Linh</x:v>
      </x:c>
      <x:c r="J78" s="12" t="str">
        <x:v>Theo dõi theo tháng</x:v>
      </x:c>
    </x:row>
    <x:row r="79">
      <x:c r="A79" s="16" t="n">
        <x:v>46235</x:v>
      </x:c>
      <x:c r="B79" s="12" t="str">
        <x:v>Q3</x:v>
      </x:c>
      <x:c r="C79" s="12" t="str">
        <x:v>Video/Photo Production</x:v>
      </x:c>
      <x:c r="D79" s="14" t="n">
        <x:v>150000000</x:v>
      </x:c>
      <x:c r="E79" s="14" t="n">
        <x:v>109784677</x:v>
      </x:c>
      <x:c r="F79" s="14" t="n">
        <x:f>D79-E79</x:f>
        <x:v>40215323</x:v>
      </x:c>
      <x:c r="G79" s="18" t="n">
        <x:f>E79/D79</x:f>
        <x:v>0.7318978466666667</x:v>
      </x:c>
      <x:c r="H79" s="12" t="str">
        <x:f>IF(G79&gt;1,"Vượt ngân sách",IF(G79&gt;0.9,"Cần theo dõi","Đúng kế hoạch"))</x:f>
        <x:v>Đúng kế hoạch</x:v>
      </x:c>
      <x:c r="I79" s="12" t="str">
        <x:v>Trần Hoàng Nam</x:v>
      </x:c>
      <x:c r="J79" s="12" t="str">
        <x:v>Theo dõi theo tháng</x:v>
      </x:c>
    </x:row>
    <x:row r="80">
      <x:c r="A80" s="16" t="n">
        <x:v>46235</x:v>
      </x:c>
      <x:c r="B80" s="12" t="str">
        <x:v>Q3</x:v>
      </x:c>
      <x:c r="C80" s="12" t="str">
        <x:v>Email Marketing</x:v>
      </x:c>
      <x:c r="D80" s="14" t="n">
        <x:v>300000000</x:v>
      </x:c>
      <x:c r="E80" s="14" t="n">
        <x:v>331362288</x:v>
      </x:c>
      <x:c r="F80" s="14" t="n">
        <x:f>D80-E80</x:f>
        <x:v>-31362288</x:v>
      </x:c>
      <x:c r="G80" s="18" t="n">
        <x:f>E80/D80</x:f>
        <x:v>1.10454096</x:v>
      </x:c>
      <x:c r="H80" s="12" t="str">
        <x:f>IF(G80&gt;1,"Vượt ngân sách",IF(G80&gt;0.9,"Cần theo dõi","Đúng kế hoạch"))</x:f>
        <x:v>Vượt ngân sách</x:v>
      </x:c>
      <x:c r="I80" s="12" t="str">
        <x:v>Đỗ Mai Linh</x:v>
      </x:c>
      <x:c r="J80" s="12" t="str">
        <x:v>Theo dõi theo tháng</x:v>
      </x:c>
    </x:row>
    <x:row r="81">
      <x:c r="A81" s="16" t="n">
        <x:v>46235</x:v>
      </x:c>
      <x:c r="B81" s="12" t="str">
        <x:v>Q3</x:v>
      </x:c>
      <x:c r="C81" s="12" t="str">
        <x:v>Nghiên cứu thị trường</x:v>
      </x:c>
      <x:c r="D81" s="14" t="n">
        <x:v>250000000</x:v>
      </x:c>
      <x:c r="E81" s="14" t="n">
        <x:v>289340421</x:v>
      </x:c>
      <x:c r="F81" s="14" t="n">
        <x:f>D81-E81</x:f>
        <x:v>-39340421</x:v>
      </x:c>
      <x:c r="G81" s="18" t="n">
        <x:f>E81/D81</x:f>
        <x:v>1.157361684</x:v>
      </x:c>
      <x:c r="H81" s="12" t="str">
        <x:f>IF(G81&gt;1,"Vượt ngân sách",IF(G81&gt;0.9,"Cần theo dõi","Đúng kế hoạch"))</x:f>
        <x:v>Vượt ngân sách</x:v>
      </x:c>
      <x:c r="I81" s="12" t="str">
        <x:v>Lê Thu Hà</x:v>
      </x:c>
      <x:c r="J81" s="12" t="str">
        <x:v>Theo dõi theo tháng</x:v>
      </x:c>
    </x:row>
    <x:row r="82">
      <x:c r="A82" s="16" t="n">
        <x:v>46266</x:v>
      </x:c>
      <x:c r="B82" s="12" t="str">
        <x:v>Q3</x:v>
      </x:c>
      <x:c r="C82" s="12" t="str">
        <x:v>Tuyển sinh &amp; truyền thông thương hiệu</x:v>
      </x:c>
      <x:c r="D82" s="14" t="n">
        <x:v>250000000</x:v>
      </x:c>
      <x:c r="E82" s="14" t="n">
        <x:v>184626642</x:v>
      </x:c>
      <x:c r="F82" s="14" t="n">
        <x:f>D82-E82</x:f>
        <x:v>65373358</x:v>
      </x:c>
      <x:c r="G82" s="18" t="n">
        <x:f>E82/D82</x:f>
        <x:v>0.738506568</x:v>
      </x:c>
      <x:c r="H82" s="12" t="str">
        <x:f>IF(G82&gt;1,"Vượt ngân sách",IF(G82&gt;0.9,"Cần theo dõi","Đúng kế hoạch"))</x:f>
        <x:v>Đúng kế hoạch</x:v>
      </x:c>
      <x:c r="I82" s="12" t="str">
        <x:v>Trần Hoàng Nam</x:v>
      </x:c>
      <x:c r="J82" s="12" t="str">
        <x:v>Theo dõi theo tháng</x:v>
      </x:c>
    </x:row>
    <x:row r="83">
      <x:c r="A83" s="16" t="n">
        <x:v>46266</x:v>
      </x:c>
      <x:c r="B83" s="12" t="str">
        <x:v>Q3</x:v>
      </x:c>
      <x:c r="C83" s="12" t="str">
        <x:v>Digital Marketing</x:v>
      </x:c>
      <x:c r="D83" s="14" t="n">
        <x:v>200000000</x:v>
      </x:c>
      <x:c r="E83" s="14" t="n">
        <x:v>191744673</x:v>
      </x:c>
      <x:c r="F83" s="14" t="n">
        <x:f>D83-E83</x:f>
        <x:v>8255327</x:v>
      </x:c>
      <x:c r="G83" s="18" t="n">
        <x:f>E83/D83</x:f>
        <x:v>0.958723365</x:v>
      </x:c>
      <x:c r="H83" s="12" t="str">
        <x:f>IF(G83&gt;1,"Vượt ngân sách",IF(G83&gt;0.9,"Cần theo dõi","Đúng kế hoạch"))</x:f>
        <x:v>Cần theo dõi</x:v>
      </x:c>
      <x:c r="I83" s="12" t="str">
        <x:v>Phạm Quang Huy</x:v>
      </x:c>
      <x:c r="J83" s="12" t="str">
        <x:v>Theo dõi theo tháng</x:v>
      </x:c>
    </x:row>
    <x:row r="84">
      <x:c r="A84" s="16" t="n">
        <x:v>46266</x:v>
      </x:c>
      <x:c r="B84" s="12" t="str">
        <x:v>Q3</x:v>
      </x:c>
      <x:c r="C84" s="12" t="str">
        <x:v>Sản xuất nội dung</x:v>
      </x:c>
      <x:c r="D84" s="14" t="n">
        <x:v>150000000</x:v>
      </x:c>
      <x:c r="E84" s="14" t="n">
        <x:v>120522751</x:v>
      </x:c>
      <x:c r="F84" s="14" t="n">
        <x:f>D84-E84</x:f>
        <x:v>29477249</x:v>
      </x:c>
      <x:c r="G84" s="18" t="n">
        <x:f>E84/D84</x:f>
        <x:v>0.8034850066666667</x:v>
      </x:c>
      <x:c r="H84" s="12" t="str">
        <x:f>IF(G84&gt;1,"Vượt ngân sách",IF(G84&gt;0.9,"Cần theo dõi","Đúng kế hoạch"))</x:f>
        <x:v>Đúng kế hoạch</x:v>
      </x:c>
      <x:c r="I84" s="12" t="str">
        <x:v>Đỗ Mai Linh</x:v>
      </x:c>
      <x:c r="J84" s="12" t="str">
        <x:v>Theo dõi theo tháng</x:v>
      </x:c>
    </x:row>
    <x:row r="85">
      <x:c r="A85" s="16" t="n">
        <x:v>46266</x:v>
      </x:c>
      <x:c r="B85" s="12" t="str">
        <x:v>Q3</x:v>
      </x:c>
      <x:c r="C85" s="12" t="str">
        <x:v>Quan hệ báo chí</x:v>
      </x:c>
      <x:c r="D85" s="14" t="n">
        <x:v>200000000</x:v>
      </x:c>
      <x:c r="E85" s="14" t="n">
        <x:v>202400194</x:v>
      </x:c>
      <x:c r="F85" s="14" t="n">
        <x:f>D85-E85</x:f>
        <x:v>-2400194</x:v>
      </x:c>
      <x:c r="G85" s="18" t="n">
        <x:f>E85/D85</x:f>
        <x:v>1.01200097</x:v>
      </x:c>
      <x:c r="H85" s="12" t="str">
        <x:f>IF(G85&gt;1,"Vượt ngân sách",IF(G85&gt;0.9,"Cần theo dõi","Đúng kế hoạch"))</x:f>
        <x:v>Vượt ngân sách</x:v>
      </x:c>
      <x:c r="I85" s="12" t="str">
        <x:v>Phạm Quang Huy</x:v>
      </x:c>
      <x:c r="J85" s="12" t="str">
        <x:v>Theo dõi theo tháng</x:v>
      </x:c>
    </x:row>
    <x:row r="86">
      <x:c r="A86" s="16" t="n">
        <x:v>46266</x:v>
      </x:c>
      <x:c r="B86" s="12" t="str">
        <x:v>Q3</x:v>
      </x:c>
      <x:c r="C86" s="12" t="str">
        <x:v>Sự kiện truyền thông</x:v>
      </x:c>
      <x:c r="D86" s="14" t="n">
        <x:v>80000000</x:v>
      </x:c>
      <x:c r="E86" s="14" t="n">
        <x:v>74896382</x:v>
      </x:c>
      <x:c r="F86" s="14" t="n">
        <x:f>D86-E86</x:f>
        <x:v>5103618</x:v>
      </x:c>
      <x:c r="G86" s="18" t="n">
        <x:f>E86/D86</x:f>
        <x:v>0.936204775</x:v>
      </x:c>
      <x:c r="H86" s="12" t="str">
        <x:f>IF(G86&gt;1,"Vượt ngân sách",IF(G86&gt;0.9,"Cần theo dõi","Đúng kế hoạch"))</x:f>
        <x:v>Cần theo dõi</x:v>
      </x:c>
      <x:c r="I86" s="12" t="str">
        <x:v>Phạm Quang Huy</x:v>
      </x:c>
      <x:c r="J86" s="12" t="str">
        <x:v>Theo dõi theo tháng</x:v>
      </x:c>
    </x:row>
    <x:row r="87">
      <x:c r="A87" s="16" t="n">
        <x:v>46266</x:v>
      </x:c>
      <x:c r="B87" s="12" t="str">
        <x:v>Q3</x:v>
      </x:c>
      <x:c r="C87" s="12" t="str">
        <x:v>Website &amp; SEO</x:v>
      </x:c>
      <x:c r="D87" s="14" t="n">
        <x:v>150000000</x:v>
      </x:c>
      <x:c r="E87" s="14" t="n">
        <x:v>130153019</x:v>
      </x:c>
      <x:c r="F87" s="14" t="n">
        <x:f>D87-E87</x:f>
        <x:v>19846981</x:v>
      </x:c>
      <x:c r="G87" s="18" t="n">
        <x:f>E87/D87</x:f>
        <x:v>0.8676867933333333</x:v>
      </x:c>
      <x:c r="H87" s="12" t="str">
        <x:f>IF(G87&gt;1,"Vượt ngân sách",IF(G87&gt;0.9,"Cần theo dõi","Đúng kế hoạch"))</x:f>
        <x:v>Đúng kế hoạch</x:v>
      </x:c>
      <x:c r="I87" s="12" t="str">
        <x:v>Nguyễn Minh Anh</x:v>
      </x:c>
      <x:c r="J87" s="12" t="str">
        <x:v>Theo dõi theo tháng</x:v>
      </x:c>
    </x:row>
    <x:row r="88">
      <x:c r="A88" s="16" t="n">
        <x:v>46266</x:v>
      </x:c>
      <x:c r="B88" s="12" t="str">
        <x:v>Q3</x:v>
      </x:c>
      <x:c r="C88" s="12" t="str">
        <x:v>Social Media</x:v>
      </x:c>
      <x:c r="D88" s="14" t="n">
        <x:v>120000000</x:v>
      </x:c>
      <x:c r="E88" s="14" t="n">
        <x:v>104605162</x:v>
      </x:c>
      <x:c r="F88" s="14" t="n">
        <x:f>D88-E88</x:f>
        <x:v>15394838</x:v>
      </x:c>
      <x:c r="G88" s="18" t="n">
        <x:f>E88/D88</x:f>
        <x:v>0.8717096833333333</x:v>
      </x:c>
      <x:c r="H88" s="12" t="str">
        <x:f>IF(G88&gt;1,"Vượt ngân sách",IF(G88&gt;0.9,"Cần theo dõi","Đúng kế hoạch"))</x:f>
        <x:v>Đúng kế hoạch</x:v>
      </x:c>
      <x:c r="I88" s="12" t="str">
        <x:v>Phạm Quang Huy</x:v>
      </x:c>
      <x:c r="J88" s="12" t="str">
        <x:v>Theo dõi theo tháng</x:v>
      </x:c>
    </x:row>
    <x:row r="89">
      <x:c r="A89" s="16" t="n">
        <x:v>46266</x:v>
      </x:c>
      <x:c r="B89" s="12" t="str">
        <x:v>Q3</x:v>
      </x:c>
      <x:c r="C89" s="12" t="str">
        <x:v>Video/Photo Production</x:v>
      </x:c>
      <x:c r="D89" s="14" t="n">
        <x:v>150000000</x:v>
      </x:c>
      <x:c r="E89" s="14" t="n">
        <x:v>153718264</x:v>
      </x:c>
      <x:c r="F89" s="14" t="n">
        <x:f>D89-E89</x:f>
        <x:v>-3718264</x:v>
      </x:c>
      <x:c r="G89" s="18" t="n">
        <x:f>E89/D89</x:f>
        <x:v>1.0247884266666667</x:v>
      </x:c>
      <x:c r="H89" s="12" t="str">
        <x:f>IF(G89&gt;1,"Vượt ngân sách",IF(G89&gt;0.9,"Cần theo dõi","Đúng kế hoạch"))</x:f>
        <x:v>Vượt ngân sách</x:v>
      </x:c>
      <x:c r="I89" s="12" t="str">
        <x:v>Phạm Quang Huy</x:v>
      </x:c>
      <x:c r="J89" s="12" t="str">
        <x:v>Theo dõi theo tháng</x:v>
      </x:c>
    </x:row>
    <x:row r="90">
      <x:c r="A90" s="16" t="n">
        <x:v>46266</x:v>
      </x:c>
      <x:c r="B90" s="12" t="str">
        <x:v>Q3</x:v>
      </x:c>
      <x:c r="C90" s="12" t="str">
        <x:v>Email Marketing</x:v>
      </x:c>
      <x:c r="D90" s="14" t="n">
        <x:v>250000000</x:v>
      </x:c>
      <x:c r="E90" s="14" t="n">
        <x:v>184220169</x:v>
      </x:c>
      <x:c r="F90" s="14" t="n">
        <x:f>D90-E90</x:f>
        <x:v>65779831</x:v>
      </x:c>
      <x:c r="G90" s="18" t="n">
        <x:f>E90/D90</x:f>
        <x:v>0.736880676</x:v>
      </x:c>
      <x:c r="H90" s="12" t="str">
        <x:f>IF(G90&gt;1,"Vượt ngân sách",IF(G90&gt;0.9,"Cần theo dõi","Đúng kế hoạch"))</x:f>
        <x:v>Đúng kế hoạch</x:v>
      </x:c>
      <x:c r="I90" s="12" t="str">
        <x:v>Nguyễn Minh Anh</x:v>
      </x:c>
      <x:c r="J90" s="12" t="str">
        <x:v>Theo dõi theo tháng</x:v>
      </x:c>
    </x:row>
    <x:row r="91">
      <x:c r="A91" s="16" t="n">
        <x:v>46266</x:v>
      </x:c>
      <x:c r="B91" s="12" t="str">
        <x:v>Q3</x:v>
      </x:c>
      <x:c r="C91" s="12" t="str">
        <x:v>Nghiên cứu thị trường</x:v>
      </x:c>
      <x:c r="D91" s="14" t="n">
        <x:v>150000000</x:v>
      </x:c>
      <x:c r="E91" s="14" t="n">
        <x:v>125415520</x:v>
      </x:c>
      <x:c r="F91" s="14" t="n">
        <x:f>D91-E91</x:f>
        <x:v>24584480</x:v>
      </x:c>
      <x:c r="G91" s="18" t="n">
        <x:f>E91/D91</x:f>
        <x:v>0.8361034666666667</x:v>
      </x:c>
      <x:c r="H91" s="12" t="str">
        <x:f>IF(G91&gt;1,"Vượt ngân sách",IF(G91&gt;0.9,"Cần theo dõi","Đúng kế hoạch"))</x:f>
        <x:v>Đúng kế hoạch</x:v>
      </x:c>
      <x:c r="I91" s="12" t="str">
        <x:v>Nguyễn Minh Anh</x:v>
      </x:c>
      <x:c r="J91" s="12" t="str">
        <x:v>Theo dõi theo tháng</x:v>
      </x:c>
    </x:row>
    <x:row r="92">
      <x:c r="A92" s="16" t="n">
        <x:v>46296</x:v>
      </x:c>
      <x:c r="B92" s="12" t="str">
        <x:v>Q4</x:v>
      </x:c>
      <x:c r="C92" s="12" t="str">
        <x:v>Tuyển sinh &amp; truyền thông thương hiệu</x:v>
      </x:c>
      <x:c r="D92" s="14" t="n">
        <x:v>200000000</x:v>
      </x:c>
      <x:c r="E92" s="14" t="n">
        <x:v>223571773</x:v>
      </x:c>
      <x:c r="F92" s="14" t="n">
        <x:f>D92-E92</x:f>
        <x:v>-23571773</x:v>
      </x:c>
      <x:c r="G92" s="18" t="n">
        <x:f>E92/D92</x:f>
        <x:v>1.117858865</x:v>
      </x:c>
      <x:c r="H92" s="12" t="str">
        <x:f>IF(G92&gt;1,"Vượt ngân sách",IF(G92&gt;0.9,"Cần theo dõi","Đúng kế hoạch"))</x:f>
        <x:v>Vượt ngân sách</x:v>
      </x:c>
      <x:c r="I92" s="12" t="str">
        <x:v>Nguyễn Minh Anh</x:v>
      </x:c>
      <x:c r="J92" s="12" t="str">
        <x:v>Theo dõi theo tháng</x:v>
      </x:c>
    </x:row>
    <x:row r="93">
      <x:c r="A93" s="16" t="n">
        <x:v>46296</x:v>
      </x:c>
      <x:c r="B93" s="12" t="str">
        <x:v>Q4</x:v>
      </x:c>
      <x:c r="C93" s="12" t="str">
        <x:v>Digital Marketing</x:v>
      </x:c>
      <x:c r="D93" s="14" t="n">
        <x:v>300000000</x:v>
      </x:c>
      <x:c r="E93" s="14" t="n">
        <x:v>335972712</x:v>
      </x:c>
      <x:c r="F93" s="14" t="n">
        <x:f>D93-E93</x:f>
        <x:v>-35972712</x:v>
      </x:c>
      <x:c r="G93" s="18" t="n">
        <x:f>E93/D93</x:f>
        <x:v>1.11990904</x:v>
      </x:c>
      <x:c r="H93" s="12" t="str">
        <x:f>IF(G93&gt;1,"Vượt ngân sách",IF(G93&gt;0.9,"Cần theo dõi","Đúng kế hoạch"))</x:f>
        <x:v>Vượt ngân sách</x:v>
      </x:c>
      <x:c r="I93" s="12" t="str">
        <x:v>Phạm Quang Huy</x:v>
      </x:c>
      <x:c r="J93" s="12" t="str">
        <x:v>Theo dõi theo tháng</x:v>
      </x:c>
    </x:row>
    <x:row r="94">
      <x:c r="A94" s="16" t="n">
        <x:v>46296</x:v>
      </x:c>
      <x:c r="B94" s="12" t="str">
        <x:v>Q4</x:v>
      </x:c>
      <x:c r="C94" s="12" t="str">
        <x:v>Sản xuất nội dung</x:v>
      </x:c>
      <x:c r="D94" s="14" t="n">
        <x:v>200000000</x:v>
      </x:c>
      <x:c r="E94" s="14" t="n">
        <x:v>148986775</x:v>
      </x:c>
      <x:c r="F94" s="14" t="n">
        <x:f>D94-E94</x:f>
        <x:v>51013225</x:v>
      </x:c>
      <x:c r="G94" s="18" t="n">
        <x:f>E94/D94</x:f>
        <x:v>0.744933875</x:v>
      </x:c>
      <x:c r="H94" s="12" t="str">
        <x:f>IF(G94&gt;1,"Vượt ngân sách",IF(G94&gt;0.9,"Cần theo dõi","Đúng kế hoạch"))</x:f>
        <x:v>Đúng kế hoạch</x:v>
      </x:c>
      <x:c r="I94" s="12" t="str">
        <x:v>Đỗ Mai Linh</x:v>
      </x:c>
      <x:c r="J94" s="12" t="str">
        <x:v>Theo dõi theo tháng</x:v>
      </x:c>
    </x:row>
    <x:row r="95">
      <x:c r="A95" s="16" t="n">
        <x:v>46296</x:v>
      </x:c>
      <x:c r="B95" s="12" t="str">
        <x:v>Q4</x:v>
      </x:c>
      <x:c r="C95" s="12" t="str">
        <x:v>Quan hệ báo chí</x:v>
      </x:c>
      <x:c r="D95" s="14" t="n">
        <x:v>150000000</x:v>
      </x:c>
      <x:c r="E95" s="14" t="n">
        <x:v>150961737</x:v>
      </x:c>
      <x:c r="F95" s="14" t="n">
        <x:f>D95-E95</x:f>
        <x:v>-961737</x:v>
      </x:c>
      <x:c r="G95" s="18" t="n">
        <x:f>E95/D95</x:f>
        <x:v>1.00641158</x:v>
      </x:c>
      <x:c r="H95" s="12" t="str">
        <x:f>IF(G95&gt;1,"Vượt ngân sách",IF(G95&gt;0.9,"Cần theo dõi","Đúng kế hoạch"))</x:f>
        <x:v>Vượt ngân sách</x:v>
      </x:c>
      <x:c r="I95" s="12" t="str">
        <x:v>Phạm Quang Huy</x:v>
      </x:c>
      <x:c r="J95" s="12" t="str">
        <x:v>Theo dõi theo tháng</x:v>
      </x:c>
    </x:row>
    <x:row r="96">
      <x:c r="A96" s="16" t="n">
        <x:v>46296</x:v>
      </x:c>
      <x:c r="B96" s="12" t="str">
        <x:v>Q4</x:v>
      </x:c>
      <x:c r="C96" s="12" t="str">
        <x:v>Sự kiện truyền thông</x:v>
      </x:c>
      <x:c r="D96" s="14" t="n">
        <x:v>300000000</x:v>
      </x:c>
      <x:c r="E96" s="14" t="n">
        <x:v>277001651</x:v>
      </x:c>
      <x:c r="F96" s="14" t="n">
        <x:f>D96-E96</x:f>
        <x:v>22998349</x:v>
      </x:c>
      <x:c r="G96" s="18" t="n">
        <x:f>E96/D96</x:f>
        <x:v>0.9233388366666667</x:v>
      </x:c>
      <x:c r="H96" s="12" t="str">
        <x:f>IF(G96&gt;1,"Vượt ngân sách",IF(G96&gt;0.9,"Cần theo dõi","Đúng kế hoạch"))</x:f>
        <x:v>Cần theo dõi</x:v>
      </x:c>
      <x:c r="I96" s="12" t="str">
        <x:v>Nguyễn Minh Anh</x:v>
      </x:c>
      <x:c r="J96" s="12" t="str">
        <x:v>Theo dõi theo tháng</x:v>
      </x:c>
    </x:row>
    <x:row r="97">
      <x:c r="A97" s="16" t="n">
        <x:v>46296</x:v>
      </x:c>
      <x:c r="B97" s="12" t="str">
        <x:v>Q4</x:v>
      </x:c>
      <x:c r="C97" s="12" t="str">
        <x:v>Website &amp; SEO</x:v>
      </x:c>
      <x:c r="D97" s="14" t="n">
        <x:v>120000000</x:v>
      </x:c>
      <x:c r="E97" s="14" t="n">
        <x:v>101141504</x:v>
      </x:c>
      <x:c r="F97" s="14" t="n">
        <x:f>D97-E97</x:f>
        <x:v>18858496</x:v>
      </x:c>
      <x:c r="G97" s="18" t="n">
        <x:f>E97/D97</x:f>
        <x:v>0.8428458666666667</x:v>
      </x:c>
      <x:c r="H97" s="12" t="str">
        <x:f>IF(G97&gt;1,"Vượt ngân sách",IF(G97&gt;0.9,"Cần theo dõi","Đúng kế hoạch"))</x:f>
        <x:v>Đúng kế hoạch</x:v>
      </x:c>
      <x:c r="I97" s="12" t="str">
        <x:v>Trần Hoàng Nam</x:v>
      </x:c>
      <x:c r="J97" s="12" t="str">
        <x:v>Theo dõi theo tháng</x:v>
      </x:c>
    </x:row>
    <x:row r="98">
      <x:c r="A98" s="16" t="n">
        <x:v>46296</x:v>
      </x:c>
      <x:c r="B98" s="12" t="str">
        <x:v>Q4</x:v>
      </x:c>
      <x:c r="C98" s="12" t="str">
        <x:v>Social Media</x:v>
      </x:c>
      <x:c r="D98" s="14" t="n">
        <x:v>150000000</x:v>
      </x:c>
      <x:c r="E98" s="14" t="n">
        <x:v>138230010</x:v>
      </x:c>
      <x:c r="F98" s="14" t="n">
        <x:f>D98-E98</x:f>
        <x:v>11769990</x:v>
      </x:c>
      <x:c r="G98" s="18" t="n">
        <x:f>E98/D98</x:f>
        <x:v>0.9215334</x:v>
      </x:c>
      <x:c r="H98" s="12" t="str">
        <x:f>IF(G98&gt;1,"Vượt ngân sách",IF(G98&gt;0.9,"Cần theo dõi","Đúng kế hoạch"))</x:f>
        <x:v>Cần theo dõi</x:v>
      </x:c>
      <x:c r="I98" s="12" t="str">
        <x:v>Phạm Quang Huy</x:v>
      </x:c>
      <x:c r="J98" s="12" t="str">
        <x:v>Theo dõi theo tháng</x:v>
      </x:c>
    </x:row>
    <x:row r="99">
      <x:c r="A99" s="16" t="n">
        <x:v>46296</x:v>
      </x:c>
      <x:c r="B99" s="12" t="str">
        <x:v>Q4</x:v>
      </x:c>
      <x:c r="C99" s="12" t="str">
        <x:v>Video/Photo Production</x:v>
      </x:c>
      <x:c r="D99" s="14" t="n">
        <x:v>80000000</x:v>
      </x:c>
      <x:c r="E99" s="14" t="n">
        <x:v>58662395</x:v>
      </x:c>
      <x:c r="F99" s="14" t="n">
        <x:f>D99-E99</x:f>
        <x:v>21337605</x:v>
      </x:c>
      <x:c r="G99" s="18" t="n">
        <x:f>E99/D99</x:f>
        <x:v>0.7332799375</x:v>
      </x:c>
      <x:c r="H99" s="12" t="str">
        <x:f>IF(G99&gt;1,"Vượt ngân sách",IF(G99&gt;0.9,"Cần theo dõi","Đúng kế hoạch"))</x:f>
        <x:v>Đúng kế hoạch</x:v>
      </x:c>
      <x:c r="I99" s="12" t="str">
        <x:v>Đỗ Mai Linh</x:v>
      </x:c>
      <x:c r="J99" s="12" t="str">
        <x:v>Theo dõi theo tháng</x:v>
      </x:c>
    </x:row>
    <x:row r="100">
      <x:c r="A100" s="16" t="n">
        <x:v>46296</x:v>
      </x:c>
      <x:c r="B100" s="12" t="str">
        <x:v>Q4</x:v>
      </x:c>
      <x:c r="C100" s="12" t="str">
        <x:v>Email Marketing</x:v>
      </x:c>
      <x:c r="D100" s="14" t="n">
        <x:v>120000000</x:v>
      </x:c>
      <x:c r="E100" s="14" t="n">
        <x:v>125580011</x:v>
      </x:c>
      <x:c r="F100" s="14" t="n">
        <x:f>D100-E100</x:f>
        <x:v>-5580011</x:v>
      </x:c>
      <x:c r="G100" s="18" t="n">
        <x:f>E100/D100</x:f>
        <x:v>1.0465000916666667</x:v>
      </x:c>
      <x:c r="H100" s="12" t="str">
        <x:f>IF(G100&gt;1,"Vượt ngân sách",IF(G100&gt;0.9,"Cần theo dõi","Đúng kế hoạch"))</x:f>
        <x:v>Vượt ngân sách</x:v>
      </x:c>
      <x:c r="I100" s="12" t="str">
        <x:v>Lê Thu Hà</x:v>
      </x:c>
      <x:c r="J100" s="12" t="str">
        <x:v>Theo dõi theo tháng</x:v>
      </x:c>
    </x:row>
    <x:row r="101">
      <x:c r="A101" s="16" t="n">
        <x:v>46296</x:v>
      </x:c>
      <x:c r="B101" s="12" t="str">
        <x:v>Q4</x:v>
      </x:c>
      <x:c r="C101" s="12" t="str">
        <x:v>Nghiên cứu thị trường</x:v>
      </x:c>
      <x:c r="D101" s="14" t="n">
        <x:v>250000000</x:v>
      </x:c>
      <x:c r="E101" s="14" t="n">
        <x:v>181572563</x:v>
      </x:c>
      <x:c r="F101" s="14" t="n">
        <x:f>D101-E101</x:f>
        <x:v>68427437</x:v>
      </x:c>
      <x:c r="G101" s="18" t="n">
        <x:f>E101/D101</x:f>
        <x:v>0.726290252</x:v>
      </x:c>
      <x:c r="H101" s="12" t="str">
        <x:f>IF(G101&gt;1,"Vượt ngân sách",IF(G101&gt;0.9,"Cần theo dõi","Đúng kế hoạch"))</x:f>
        <x:v>Đúng kế hoạch</x:v>
      </x:c>
      <x:c r="I101" s="12" t="str">
        <x:v>Phạm Quang Huy</x:v>
      </x:c>
      <x:c r="J101" s="12" t="str">
        <x:v>Theo dõi theo tháng</x:v>
      </x:c>
    </x:row>
    <x:row r="102">
      <x:c r="A102" s="16" t="n">
        <x:v>46327</x:v>
      </x:c>
      <x:c r="B102" s="12" t="str">
        <x:v>Q4</x:v>
      </x:c>
      <x:c r="C102" s="12" t="str">
        <x:v>Tuyển sinh &amp; truyền thông thương hiệu</x:v>
      </x:c>
      <x:c r="D102" s="14" t="n">
        <x:v>80000000</x:v>
      </x:c>
      <x:c r="E102" s="14" t="n">
        <x:v>65868984</x:v>
      </x:c>
      <x:c r="F102" s="14" t="n">
        <x:f>D102-E102</x:f>
        <x:v>14131016</x:v>
      </x:c>
      <x:c r="G102" s="18" t="n">
        <x:f>E102/D102</x:f>
        <x:v>0.8233623</x:v>
      </x:c>
      <x:c r="H102" s="12" t="str">
        <x:f>IF(G102&gt;1,"Vượt ngân sách",IF(G102&gt;0.9,"Cần theo dõi","Đúng kế hoạch"))</x:f>
        <x:v>Đúng kế hoạch</x:v>
      </x:c>
      <x:c r="I102" s="12" t="str">
        <x:v>Nguyễn Minh Anh</x:v>
      </x:c>
      <x:c r="J102" s="12" t="str">
        <x:v>Theo dõi theo tháng</x:v>
      </x:c>
    </x:row>
    <x:row r="103">
      <x:c r="A103" s="16" t="n">
        <x:v>46327</x:v>
      </x:c>
      <x:c r="B103" s="12" t="str">
        <x:v>Q4</x:v>
      </x:c>
      <x:c r="C103" s="12" t="str">
        <x:v>Digital Marketing</x:v>
      </x:c>
      <x:c r="D103" s="14" t="n">
        <x:v>200000000</x:v>
      </x:c>
      <x:c r="E103" s="14" t="n">
        <x:v>231129588</x:v>
      </x:c>
      <x:c r="F103" s="14" t="n">
        <x:f>D103-E103</x:f>
        <x:v>-31129588</x:v>
      </x:c>
      <x:c r="G103" s="18" t="n">
        <x:f>E103/D103</x:f>
        <x:v>1.15564794</x:v>
      </x:c>
      <x:c r="H103" s="12" t="str">
        <x:f>IF(G103&gt;1,"Vượt ngân sách",IF(G103&gt;0.9,"Cần theo dõi","Đúng kế hoạch"))</x:f>
        <x:v>Vượt ngân sách</x:v>
      </x:c>
      <x:c r="I103" s="12" t="str">
        <x:v>Trần Hoàng Nam</x:v>
      </x:c>
      <x:c r="J103" s="12" t="str">
        <x:v>Theo dõi theo tháng</x:v>
      </x:c>
    </x:row>
    <x:row r="104">
      <x:c r="A104" s="16" t="n">
        <x:v>46327</x:v>
      </x:c>
      <x:c r="B104" s="12" t="str">
        <x:v>Q4</x:v>
      </x:c>
      <x:c r="C104" s="12" t="str">
        <x:v>Sản xuất nội dung</x:v>
      </x:c>
      <x:c r="D104" s="14" t="n">
        <x:v>200000000</x:v>
      </x:c>
      <x:c r="E104" s="14" t="n">
        <x:v>229804081</x:v>
      </x:c>
      <x:c r="F104" s="14" t="n">
        <x:f>D104-E104</x:f>
        <x:v>-29804081</x:v>
      </x:c>
      <x:c r="G104" s="18" t="n">
        <x:f>E104/D104</x:f>
        <x:v>1.149020405</x:v>
      </x:c>
      <x:c r="H104" s="12" t="str">
        <x:f>IF(G104&gt;1,"Vượt ngân sách",IF(G104&gt;0.9,"Cần theo dõi","Đúng kế hoạch"))</x:f>
        <x:v>Vượt ngân sách</x:v>
      </x:c>
      <x:c r="I104" s="12" t="str">
        <x:v>Lê Thu Hà</x:v>
      </x:c>
      <x:c r="J104" s="12" t="str">
        <x:v>Theo dõi theo tháng</x:v>
      </x:c>
    </x:row>
    <x:row r="105">
      <x:c r="A105" s="16" t="n">
        <x:v>46327</x:v>
      </x:c>
      <x:c r="B105" s="12" t="str">
        <x:v>Q4</x:v>
      </x:c>
      <x:c r="C105" s="12" t="str">
        <x:v>Quan hệ báo chí</x:v>
      </x:c>
      <x:c r="D105" s="14" t="n">
        <x:v>250000000</x:v>
      </x:c>
      <x:c r="E105" s="14" t="n">
        <x:v>261122337</x:v>
      </x:c>
      <x:c r="F105" s="14" t="n">
        <x:f>D105-E105</x:f>
        <x:v>-11122337</x:v>
      </x:c>
      <x:c r="G105" s="18" t="n">
        <x:f>E105/D105</x:f>
        <x:v>1.044489348</x:v>
      </x:c>
      <x:c r="H105" s="12" t="str">
        <x:f>IF(G105&gt;1,"Vượt ngân sách",IF(G105&gt;0.9,"Cần theo dõi","Đúng kế hoạch"))</x:f>
        <x:v>Vượt ngân sách</x:v>
      </x:c>
      <x:c r="I105" s="12" t="str">
        <x:v>Phạm Quang Huy</x:v>
      </x:c>
      <x:c r="J105" s="12" t="str">
        <x:v>Theo dõi theo tháng</x:v>
      </x:c>
    </x:row>
    <x:row r="106">
      <x:c r="A106" s="16" t="n">
        <x:v>46327</x:v>
      </x:c>
      <x:c r="B106" s="12" t="str">
        <x:v>Q4</x:v>
      </x:c>
      <x:c r="C106" s="12" t="str">
        <x:v>Sự kiện truyền thông</x:v>
      </x:c>
      <x:c r="D106" s="14" t="n">
        <x:v>200000000</x:v>
      </x:c>
      <x:c r="E106" s="14" t="n">
        <x:v>234182506</x:v>
      </x:c>
      <x:c r="F106" s="14" t="n">
        <x:f>D106-E106</x:f>
        <x:v>-34182506</x:v>
      </x:c>
      <x:c r="G106" s="18" t="n">
        <x:f>E106/D106</x:f>
        <x:v>1.17091253</x:v>
      </x:c>
      <x:c r="H106" s="12" t="str">
        <x:f>IF(G106&gt;1,"Vượt ngân sách",IF(G106&gt;0.9,"Cần theo dõi","Đúng kế hoạch"))</x:f>
        <x:v>Vượt ngân sách</x:v>
      </x:c>
      <x:c r="I106" s="12" t="str">
        <x:v>Trần Hoàng Nam</x:v>
      </x:c>
      <x:c r="J106" s="12" t="str">
        <x:v>Theo dõi theo tháng</x:v>
      </x:c>
    </x:row>
    <x:row r="107">
      <x:c r="A107" s="16" t="n">
        <x:v>46327</x:v>
      </x:c>
      <x:c r="B107" s="12" t="str">
        <x:v>Q4</x:v>
      </x:c>
      <x:c r="C107" s="12" t="str">
        <x:v>Website &amp; SEO</x:v>
      </x:c>
      <x:c r="D107" s="14" t="n">
        <x:v>200000000</x:v>
      </x:c>
      <x:c r="E107" s="14" t="n">
        <x:v>194716387</x:v>
      </x:c>
      <x:c r="F107" s="14" t="n">
        <x:f>D107-E107</x:f>
        <x:v>5283613</x:v>
      </x:c>
      <x:c r="G107" s="18" t="n">
        <x:f>E107/D107</x:f>
        <x:v>0.973581935</x:v>
      </x:c>
      <x:c r="H107" s="12" t="str">
        <x:f>IF(G107&gt;1,"Vượt ngân sách",IF(G107&gt;0.9,"Cần theo dõi","Đúng kế hoạch"))</x:f>
        <x:v>Cần theo dõi</x:v>
      </x:c>
      <x:c r="I107" s="12" t="str">
        <x:v>Phạm Quang Huy</x:v>
      </x:c>
      <x:c r="J107" s="12" t="str">
        <x:v>Theo dõi theo tháng</x:v>
      </x:c>
    </x:row>
    <x:row r="108">
      <x:c r="A108" s="16" t="n">
        <x:v>46327</x:v>
      </x:c>
      <x:c r="B108" s="12" t="str">
        <x:v>Q4</x:v>
      </x:c>
      <x:c r="C108" s="12" t="str">
        <x:v>Social Media</x:v>
      </x:c>
      <x:c r="D108" s="14" t="n">
        <x:v>120000000</x:v>
      </x:c>
      <x:c r="E108" s="14" t="n">
        <x:v>137287121</x:v>
      </x:c>
      <x:c r="F108" s="14" t="n">
        <x:f>D108-E108</x:f>
        <x:v>-17287121</x:v>
      </x:c>
      <x:c r="G108" s="18" t="n">
        <x:f>E108/D108</x:f>
        <x:v>1.1440593416666667</x:v>
      </x:c>
      <x:c r="H108" s="12" t="str">
        <x:f>IF(G108&gt;1,"Vượt ngân sách",IF(G108&gt;0.9,"Cần theo dõi","Đúng kế hoạch"))</x:f>
        <x:v>Vượt ngân sách</x:v>
      </x:c>
      <x:c r="I108" s="12" t="str">
        <x:v>Đỗ Mai Linh</x:v>
      </x:c>
      <x:c r="J108" s="12" t="str">
        <x:v>Theo dõi theo tháng</x:v>
      </x:c>
    </x:row>
    <x:row r="109">
      <x:c r="A109" s="16" t="n">
        <x:v>46327</x:v>
      </x:c>
      <x:c r="B109" s="12" t="str">
        <x:v>Q4</x:v>
      </x:c>
      <x:c r="C109" s="12" t="str">
        <x:v>Video/Photo Production</x:v>
      </x:c>
      <x:c r="D109" s="14" t="n">
        <x:v>300000000</x:v>
      </x:c>
      <x:c r="E109" s="14" t="n">
        <x:v>337347023</x:v>
      </x:c>
      <x:c r="F109" s="14" t="n">
        <x:f>D109-E109</x:f>
        <x:v>-37347023</x:v>
      </x:c>
      <x:c r="G109" s="18" t="n">
        <x:f>E109/D109</x:f>
        <x:v>1.1244900766666666</x:v>
      </x:c>
      <x:c r="H109" s="12" t="str">
        <x:f>IF(G109&gt;1,"Vượt ngân sách",IF(G109&gt;0.9,"Cần theo dõi","Đúng kế hoạch"))</x:f>
        <x:v>Vượt ngân sách</x:v>
      </x:c>
      <x:c r="I109" s="12" t="str">
        <x:v>Nguyễn Minh Anh</x:v>
      </x:c>
      <x:c r="J109" s="12" t="str">
        <x:v>Theo dõi theo tháng</x:v>
      </x:c>
    </x:row>
    <x:row r="110">
      <x:c r="A110" s="16" t="n">
        <x:v>46327</x:v>
      </x:c>
      <x:c r="B110" s="12" t="str">
        <x:v>Q4</x:v>
      </x:c>
      <x:c r="C110" s="12" t="str">
        <x:v>Email Marketing</x:v>
      </x:c>
      <x:c r="D110" s="14" t="n">
        <x:v>150000000</x:v>
      </x:c>
      <x:c r="E110" s="14" t="n">
        <x:v>161314584</x:v>
      </x:c>
      <x:c r="F110" s="14" t="n">
        <x:f>D110-E110</x:f>
        <x:v>-11314584</x:v>
      </x:c>
      <x:c r="G110" s="18" t="n">
        <x:f>E110/D110</x:f>
        <x:v>1.07543056</x:v>
      </x:c>
      <x:c r="H110" s="12" t="str">
        <x:f>IF(G110&gt;1,"Vượt ngân sách",IF(G110&gt;0.9,"Cần theo dõi","Đúng kế hoạch"))</x:f>
        <x:v>Vượt ngân sách</x:v>
      </x:c>
      <x:c r="I110" s="12" t="str">
        <x:v>Phạm Quang Huy</x:v>
      </x:c>
      <x:c r="J110" s="12" t="str">
        <x:v>Theo dõi theo tháng</x:v>
      </x:c>
    </x:row>
    <x:row r="111">
      <x:c r="A111" s="16" t="n">
        <x:v>46327</x:v>
      </x:c>
      <x:c r="B111" s="12" t="str">
        <x:v>Q4</x:v>
      </x:c>
      <x:c r="C111" s="12" t="str">
        <x:v>Nghiên cứu thị trường</x:v>
      </x:c>
      <x:c r="D111" s="14" t="n">
        <x:v>150000000</x:v>
      </x:c>
      <x:c r="E111" s="14" t="n">
        <x:v>172463139</x:v>
      </x:c>
      <x:c r="F111" s="14" t="n">
        <x:f>D111-E111</x:f>
        <x:v>-22463139</x:v>
      </x:c>
      <x:c r="G111" s="18" t="n">
        <x:f>E111/D111</x:f>
        <x:v>1.14975426</x:v>
      </x:c>
      <x:c r="H111" s="12" t="str">
        <x:f>IF(G111&gt;1,"Vượt ngân sách",IF(G111&gt;0.9,"Cần theo dõi","Đúng kế hoạch"))</x:f>
        <x:v>Vượt ngân sách</x:v>
      </x:c>
      <x:c r="I111" s="12" t="str">
        <x:v>Đỗ Mai Linh</x:v>
      </x:c>
      <x:c r="J111" s="12" t="str">
        <x:v>Theo dõi theo tháng</x:v>
      </x:c>
    </x:row>
    <x:row r="112">
      <x:c r="A112" s="16" t="n">
        <x:v>46357</x:v>
      </x:c>
      <x:c r="B112" s="12" t="str">
        <x:v>Q4</x:v>
      </x:c>
      <x:c r="C112" s="12" t="str">
        <x:v>Tuyển sinh &amp; truyền thông thương hiệu</x:v>
      </x:c>
      <x:c r="D112" s="14" t="n">
        <x:v>150000000</x:v>
      </x:c>
      <x:c r="E112" s="14" t="n">
        <x:v>164617913</x:v>
      </x:c>
      <x:c r="F112" s="14" t="n">
        <x:f>D112-E112</x:f>
        <x:v>-14617913</x:v>
      </x:c>
      <x:c r="G112" s="18" t="n">
        <x:f>E112/D112</x:f>
        <x:v>1.0974527533333334</x:v>
      </x:c>
      <x:c r="H112" s="12" t="str">
        <x:f>IF(G112&gt;1,"Vượt ngân sách",IF(G112&gt;0.9,"Cần theo dõi","Đúng kế hoạch"))</x:f>
        <x:v>Vượt ngân sách</x:v>
      </x:c>
      <x:c r="I112" s="12" t="str">
        <x:v>Lê Thu Hà</x:v>
      </x:c>
      <x:c r="J112" s="12" t="str">
        <x:v>Theo dõi theo tháng</x:v>
      </x:c>
    </x:row>
    <x:row r="113">
      <x:c r="A113" s="16" t="n">
        <x:v>46357</x:v>
      </x:c>
      <x:c r="B113" s="12" t="str">
        <x:v>Q4</x:v>
      </x:c>
      <x:c r="C113" s="12" t="str">
        <x:v>Digital Marketing</x:v>
      </x:c>
      <x:c r="D113" s="14" t="n">
        <x:v>300000000</x:v>
      </x:c>
      <x:c r="E113" s="14" t="n">
        <x:v>257200707</x:v>
      </x:c>
      <x:c r="F113" s="14" t="n">
        <x:f>D113-E113</x:f>
        <x:v>42799293</x:v>
      </x:c>
      <x:c r="G113" s="18" t="n">
        <x:f>E113/D113</x:f>
        <x:v>0.85733569</x:v>
      </x:c>
      <x:c r="H113" s="12" t="str">
        <x:f>IF(G113&gt;1,"Vượt ngân sách",IF(G113&gt;0.9,"Cần theo dõi","Đúng kế hoạch"))</x:f>
        <x:v>Đúng kế hoạch</x:v>
      </x:c>
      <x:c r="I113" s="12" t="str">
        <x:v>Đỗ Mai Linh</x:v>
      </x:c>
      <x:c r="J113" s="12" t="str">
        <x:v>Theo dõi theo tháng</x:v>
      </x:c>
    </x:row>
    <x:row r="114">
      <x:c r="A114" s="16" t="n">
        <x:v>46357</x:v>
      </x:c>
      <x:c r="B114" s="12" t="str">
        <x:v>Q4</x:v>
      </x:c>
      <x:c r="C114" s="12" t="str">
        <x:v>Sản xuất nội dung</x:v>
      </x:c>
      <x:c r="D114" s="14" t="n">
        <x:v>250000000</x:v>
      </x:c>
      <x:c r="E114" s="14" t="n">
        <x:v>294873768</x:v>
      </x:c>
      <x:c r="F114" s="14" t="n">
        <x:f>D114-E114</x:f>
        <x:v>-44873768</x:v>
      </x:c>
      <x:c r="G114" s="18" t="n">
        <x:f>E114/D114</x:f>
        <x:v>1.179495072</x:v>
      </x:c>
      <x:c r="H114" s="12" t="str">
        <x:f>IF(G114&gt;1,"Vượt ngân sách",IF(G114&gt;0.9,"Cần theo dõi","Đúng kế hoạch"))</x:f>
        <x:v>Vượt ngân sách</x:v>
      </x:c>
      <x:c r="I114" s="12" t="str">
        <x:v>Phạm Quang Huy</x:v>
      </x:c>
      <x:c r="J114" s="12" t="str">
        <x:v>Theo dõi theo tháng</x:v>
      </x:c>
    </x:row>
    <x:row r="115">
      <x:c r="A115" s="16" t="n">
        <x:v>46357</x:v>
      </x:c>
      <x:c r="B115" s="12" t="str">
        <x:v>Q4</x:v>
      </x:c>
      <x:c r="C115" s="12" t="str">
        <x:v>Quan hệ báo chí</x:v>
      </x:c>
      <x:c r="D115" s="14" t="n">
        <x:v>120000000</x:v>
      </x:c>
      <x:c r="E115" s="14" t="n">
        <x:v>111049416</x:v>
      </x:c>
      <x:c r="F115" s="14" t="n">
        <x:f>D115-E115</x:f>
        <x:v>8950584</x:v>
      </x:c>
      <x:c r="G115" s="18" t="n">
        <x:f>E115/D115</x:f>
        <x:v>0.9254118</x:v>
      </x:c>
      <x:c r="H115" s="12" t="str">
        <x:f>IF(G115&gt;1,"Vượt ngân sách",IF(G115&gt;0.9,"Cần theo dõi","Đúng kế hoạch"))</x:f>
        <x:v>Cần theo dõi</x:v>
      </x:c>
      <x:c r="I115" s="12" t="str">
        <x:v>Phạm Quang Huy</x:v>
      </x:c>
      <x:c r="J115" s="12" t="str">
        <x:v>Theo dõi theo tháng</x:v>
      </x:c>
    </x:row>
    <x:row r="116">
      <x:c r="A116" s="16" t="n">
        <x:v>46357</x:v>
      </x:c>
      <x:c r="B116" s="12" t="str">
        <x:v>Q4</x:v>
      </x:c>
      <x:c r="C116" s="12" t="str">
        <x:v>Sự kiện truyền thông</x:v>
      </x:c>
      <x:c r="D116" s="14" t="n">
        <x:v>150000000</x:v>
      </x:c>
      <x:c r="E116" s="14" t="n">
        <x:v>130938356</x:v>
      </x:c>
      <x:c r="F116" s="14" t="n">
        <x:f>D116-E116</x:f>
        <x:v>19061644</x:v>
      </x:c>
      <x:c r="G116" s="18" t="n">
        <x:f>E116/D116</x:f>
        <x:v>0.8729223733333333</x:v>
      </x:c>
      <x:c r="H116" s="12" t="str">
        <x:f>IF(G116&gt;1,"Vượt ngân sách",IF(G116&gt;0.9,"Cần theo dõi","Đúng kế hoạch"))</x:f>
        <x:v>Đúng kế hoạch</x:v>
      </x:c>
      <x:c r="I116" s="12" t="str">
        <x:v>Đỗ Mai Linh</x:v>
      </x:c>
      <x:c r="J116" s="12" t="str">
        <x:v>Theo dõi theo tháng</x:v>
      </x:c>
    </x:row>
    <x:row r="117">
      <x:c r="A117" s="16" t="n">
        <x:v>46357</x:v>
      </x:c>
      <x:c r="B117" s="12" t="str">
        <x:v>Q4</x:v>
      </x:c>
      <x:c r="C117" s="12" t="str">
        <x:v>Website &amp; SEO</x:v>
      </x:c>
      <x:c r="D117" s="14" t="n">
        <x:v>200000000</x:v>
      </x:c>
      <x:c r="E117" s="14" t="n">
        <x:v>185891704</x:v>
      </x:c>
      <x:c r="F117" s="14" t="n">
        <x:f>D117-E117</x:f>
        <x:v>14108296</x:v>
      </x:c>
      <x:c r="G117" s="18" t="n">
        <x:f>E117/D117</x:f>
        <x:v>0.92945852</x:v>
      </x:c>
      <x:c r="H117" s="12" t="str">
        <x:f>IF(G117&gt;1,"Vượt ngân sách",IF(G117&gt;0.9,"Cần theo dõi","Đúng kế hoạch"))</x:f>
        <x:v>Cần theo dõi</x:v>
      </x:c>
      <x:c r="I117" s="12" t="str">
        <x:v>Lê Thu Hà</x:v>
      </x:c>
      <x:c r="J117" s="12" t="str">
        <x:v>Theo dõi theo tháng</x:v>
      </x:c>
    </x:row>
    <x:row r="118">
      <x:c r="A118" s="16" t="n">
        <x:v>46357</x:v>
      </x:c>
      <x:c r="B118" s="12" t="str">
        <x:v>Q4</x:v>
      </x:c>
      <x:c r="C118" s="12" t="str">
        <x:v>Social Media</x:v>
      </x:c>
      <x:c r="D118" s="14" t="n">
        <x:v>120000000</x:v>
      </x:c>
      <x:c r="E118" s="14" t="n">
        <x:v>140538759</x:v>
      </x:c>
      <x:c r="F118" s="14" t="n">
        <x:f>D118-E118</x:f>
        <x:v>-20538759</x:v>
      </x:c>
      <x:c r="G118" s="18" t="n">
        <x:f>E118/D118</x:f>
        <x:v>1.171156325</x:v>
      </x:c>
      <x:c r="H118" s="12" t="str">
        <x:f>IF(G118&gt;1,"Vượt ngân sách",IF(G118&gt;0.9,"Cần theo dõi","Đúng kế hoạch"))</x:f>
        <x:v>Vượt ngân sách</x:v>
      </x:c>
      <x:c r="I118" s="12" t="str">
        <x:v>Trần Hoàng Nam</x:v>
      </x:c>
      <x:c r="J118" s="12" t="str">
        <x:v>Theo dõi theo tháng</x:v>
      </x:c>
    </x:row>
    <x:row r="119">
      <x:c r="A119" s="16" t="n">
        <x:v>46357</x:v>
      </x:c>
      <x:c r="B119" s="12" t="str">
        <x:v>Q4</x:v>
      </x:c>
      <x:c r="C119" s="12" t="str">
        <x:v>Video/Photo Production</x:v>
      </x:c>
      <x:c r="D119" s="14" t="n">
        <x:v>250000000</x:v>
      </x:c>
      <x:c r="E119" s="14" t="n">
        <x:v>224041647</x:v>
      </x:c>
      <x:c r="F119" s="14" t="n">
        <x:f>D119-E119</x:f>
        <x:v>25958353</x:v>
      </x:c>
      <x:c r="G119" s="18" t="n">
        <x:f>E119/D119</x:f>
        <x:v>0.896166588</x:v>
      </x:c>
      <x:c r="H119" s="12" t="str">
        <x:f>IF(G119&gt;1,"Vượt ngân sách",IF(G119&gt;0.9,"Cần theo dõi","Đúng kế hoạch"))</x:f>
        <x:v>Đúng kế hoạch</x:v>
      </x:c>
      <x:c r="I119" s="12" t="str">
        <x:v>Phạm Quang Huy</x:v>
      </x:c>
      <x:c r="J119" s="12" t="str">
        <x:v>Theo dõi theo tháng</x:v>
      </x:c>
    </x:row>
    <x:row r="120">
      <x:c r="A120" s="16" t="n">
        <x:v>46357</x:v>
      </x:c>
      <x:c r="B120" s="12" t="str">
        <x:v>Q4</x:v>
      </x:c>
      <x:c r="C120" s="12" t="str">
        <x:v>Email Marketing</x:v>
      </x:c>
      <x:c r="D120" s="14" t="n">
        <x:v>80000000</x:v>
      </x:c>
      <x:c r="E120" s="14" t="n">
        <x:v>69308888</x:v>
      </x:c>
      <x:c r="F120" s="14" t="n">
        <x:f>D120-E120</x:f>
        <x:v>10691112</x:v>
      </x:c>
      <x:c r="G120" s="18" t="n">
        <x:f>E120/D120</x:f>
        <x:v>0.8663611</x:v>
      </x:c>
      <x:c r="H120" s="12" t="str">
        <x:f>IF(G120&gt;1,"Vượt ngân sách",IF(G120&gt;0.9,"Cần theo dõi","Đúng kế hoạch"))</x:f>
        <x:v>Đúng kế hoạch</x:v>
      </x:c>
      <x:c r="I120" s="12" t="str">
        <x:v>Phạm Quang Huy</x:v>
      </x:c>
      <x:c r="J120" s="12" t="str">
        <x:v>Theo dõi theo tháng</x:v>
      </x:c>
    </x:row>
    <x:row r="121">
      <x:c r="A121" s="16" t="n">
        <x:v>46357</x:v>
      </x:c>
      <x:c r="B121" s="12" t="str">
        <x:v>Q4</x:v>
      </x:c>
      <x:c r="C121" s="12" t="str">
        <x:v>Nghiên cứu thị trường</x:v>
      </x:c>
      <x:c r="D121" s="14" t="n">
        <x:v>300000000</x:v>
      </x:c>
      <x:c r="E121" s="14" t="n">
        <x:v>342053363</x:v>
      </x:c>
      <x:c r="F121" s="14" t="n">
        <x:f>D121-E121</x:f>
        <x:v>-42053363</x:v>
      </x:c>
      <x:c r="G121" s="18" t="n">
        <x:f>E121/D121</x:f>
        <x:v>1.1401778766666666</x:v>
      </x:c>
      <x:c r="H121" s="12" t="str">
        <x:f>IF(G121&gt;1,"Vượt ngân sách",IF(G121&gt;0.9,"Cần theo dõi","Đúng kế hoạch"))</x:f>
        <x:v>Vượt ngân sách</x:v>
      </x:c>
      <x:c r="I121" s="12" t="str">
        <x:v>Phạm Quang Huy</x:v>
      </x:c>
      <x:c r="J121" s="12" t="str">
        <x:v>Theo dõi theo tháng</x:v>
      </x:c>
    </x:row>
  </x:sheetData>
  <x:conditionalFormatting sqref="G2:G121">
    <x:cfRule type="dataBar" priority="1">
      <x:dataBar>
        <x:cfvo type="min"/>
        <x:cfvo type="max"/>
        <x:color rgb="4472C4"/>
      </x:dataBar>
      <x:extLst>
        <x:ext xmlns:x14="http://schemas.microsoft.com/office/spreadsheetml/2009/9/main" uri="{B025F937-C7B1-47D3-B67F-A62EFF666E3E}">
          <x14:id>{46DFA29D-E20D-CC40-89E6-6BF035522FD1}</x14:id>
        </x:ext>
      </x:extLst>
    </x:cfRule>
  </x:conditionalFormatting>
  <x:conditionalFormatting sqref="H2:H121">
    <x:cfRule type="expression" dxfId="0" priority="2">
      <x:formula>H2="Vượt ngân sách"</x:formula>
    </x:cfRule>
    <x:cfRule type="expression" dxfId="1" priority="3">
      <x:formula>H2="Cần theo dõi"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772ddc0dd0543b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46DFA29D-E20D-CC40-89E6-6BF035522FD1}">
            <x14:dataBar gradient="1">
              <x14:cfvo type="min"/>
              <x14:cfvo type="max"/>
              <x14:fillColor rgb="4472C4"/>
            </x14:dataBar>
          </x14:cfRule>
          <xm:sqref>G2:G121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>
      <x:c r="A1" s="6" t="str">
        <x:v>Mã đề nghị</x:v>
      </x:c>
      <x:c r="B1" s="6" t="str">
        <x:v>Ngày đề nghị</x:v>
      </x:c>
      <x:c r="C1" s="6" t="str">
        <x:v>Quý</x:v>
      </x:c>
      <x:c r="D1" s="6" t="str">
        <x:v>Chương trình</x:v>
      </x:c>
      <x:c r="E1" s="6" t="str">
        <x:v>Nhà cung cấp</x:v>
      </x:c>
      <x:c r="F1" s="6" t="str">
        <x:v>Nội dung thanh toán</x:v>
      </x:c>
      <x:c r="G1" s="6" t="str">
        <x:v>Giá trị trước VAT (VND)</x:v>
      </x:c>
      <x:c r="H1" s="6" t="str">
        <x:v>VAT 10%</x:v>
      </x:c>
      <x:c r="I1" s="6" t="str">
        <x:v>Tổng thanh toán (VND)</x:v>
      </x:c>
      <x:c r="J1" s="6" t="str">
        <x:v>Trạng thái</x:v>
      </x:c>
      <x:c r="K1" s="6" t="str">
        <x:v>Người đề nghị</x:v>
      </x:c>
      <x:c r="L1" s="6" t="str">
        <x:v>Mã dự toán liên quan</x:v>
      </x:c>
    </x:row>
    <x:row r="2">
      <x:c r="A2" s="12" t="str">
        <x:v>DN-MKT-2026-001</x:v>
      </x:c>
      <x:c r="B2" s="20" t="n">
        <x:v>46030</x:v>
      </x:c>
      <x:c r="C2" s="12" t="str">
        <x:v>Q1</x:v>
      </x:c>
      <x:c r="D2" s="12" t="str">
        <x:v>Quản trị thương hiệu</x:v>
      </x:c>
      <x:c r="E2" s="12" t="str">
        <x:v>Công ty Thiết kế BrandLab</x:v>
      </x:c>
      <x:c r="F2" s="12" t="str">
        <x:v>Thanh toán khảo sát thị trường - đợt 1</x:v>
      </x:c>
      <x:c r="G2" s="14" t="n">
        <x:v>30000000</x:v>
      </x:c>
      <x:c r="H2" s="14" t="n">
        <x:f>G2*10%</x:f>
        <x:v>3000000</x:v>
      </x:c>
      <x:c r="I2" s="14" t="n">
        <x:f>G2+H2</x:f>
        <x:v>33000000</x:v>
      </x:c>
      <x:c r="J2" s="12" t="str">
        <x:v>Đã duyệt</x:v>
      </x:c>
      <x:c r="K2" s="12" t="str">
        <x:v>Phạm Quang Huy</x:v>
      </x:c>
      <x:c r="L2" s="12" t="str">
        <x:v>DT-MKT-2026-010</x:v>
      </x:c>
    </x:row>
    <x:row r="3">
      <x:c r="A3" s="12" t="str">
        <x:v>DN-MKT-2026-002</x:v>
      </x:c>
      <x:c r="B3" s="20" t="n">
        <x:v>46068</x:v>
      </x:c>
      <x:c r="C3" s="12" t="str">
        <x:v>Q1</x:v>
      </x:c>
      <x:c r="D3" s="12" t="str">
        <x:v>Email Marketing</x:v>
      </x:c>
      <x:c r="E3" s="12" t="str">
        <x:v>Nền tảng EmailCloud</x:v>
      </x:c>
      <x:c r="F3" s="12" t="str">
        <x:v>Thanh toán tổ chức sự kiện - đợt 2</x:v>
      </x:c>
      <x:c r="G3" s="14" t="n">
        <x:v>8000000</x:v>
      </x:c>
      <x:c r="H3" s="14" t="n">
        <x:f>G3*10%</x:f>
        <x:v>800000</x:v>
      </x:c>
      <x:c r="I3" s="14" t="n">
        <x:f>G3+H3</x:f>
        <x:v>8800000</x:v>
      </x:c>
      <x:c r="J3" s="12" t="str">
        <x:v>Đã thanh toán</x:v>
      </x:c>
      <x:c r="K3" s="12" t="str">
        <x:v>Phạm Quang Huy</x:v>
      </x:c>
      <x:c r="L3" s="12" t="str">
        <x:v>DT-MKT-2026-026</x:v>
      </x:c>
    </x:row>
    <x:row r="4">
      <x:c r="A4" s="12" t="str">
        <x:v>DN-MKT-2026-003</x:v>
      </x:c>
      <x:c r="B4" s="20" t="n">
        <x:v>46103</x:v>
      </x:c>
      <x:c r="C4" s="12" t="str">
        <x:v>Q1</x:v>
      </x:c>
      <x:c r="D4" s="12" t="str">
        <x:v>Video/Photo Production</x:v>
      </x:c>
      <x:c r="E4" s="12" t="str">
        <x:v>Meta Việt Nam</x:v>
      </x:c>
      <x:c r="F4" s="12" t="str">
        <x:v>Thanh toán livestream - đợt 3</x:v>
      </x:c>
      <x:c r="G4" s="14" t="n">
        <x:v>80000000</x:v>
      </x:c>
      <x:c r="H4" s="14" t="n">
        <x:f>G4*10%</x:f>
        <x:v>8000000</x:v>
      </x:c>
      <x:c r="I4" s="14" t="n">
        <x:f>G4+H4</x:f>
        <x:v>88000000</x:v>
      </x:c>
      <x:c r="J4" s="12" t="str">
        <x:v>Đã duyệt</x:v>
      </x:c>
      <x:c r="K4" s="12" t="str">
        <x:v>Phạm Quang Huy</x:v>
      </x:c>
      <x:c r="L4" s="12" t="str">
        <x:v>DT-MKT-2026-040</x:v>
      </x:c>
    </x:row>
    <x:row r="5">
      <x:c r="A5" s="12" t="str">
        <x:v>DN-MKT-2026-004</x:v>
      </x:c>
      <x:c r="B5" s="20" t="n">
        <x:v>46116</x:v>
      </x:c>
      <x:c r="C5" s="12" t="str">
        <x:v>Q2</x:v>
      </x:c>
      <x:c r="D5" s="12" t="str">
        <x:v>Video/Photo Production</x:v>
      </x:c>
      <x:c r="E5" s="12" t="str">
        <x:v>Công ty Thiết kế BrandLab</x:v>
      </x:c>
      <x:c r="F5" s="12" t="str">
        <x:v>Thanh toán booking báo chí - đợt 4</x:v>
      </x:c>
      <x:c r="G5" s="14" t="n">
        <x:v>5000000</x:v>
      </x:c>
      <x:c r="H5" s="14" t="n">
        <x:f>G5*10%</x:f>
        <x:v>500000</x:v>
      </x:c>
      <x:c r="I5" s="14" t="n">
        <x:f>G5+H5</x:f>
        <x:v>5500000</x:v>
      </x:c>
      <x:c r="J5" s="12" t="str">
        <x:v>Chờ duyệt</x:v>
      </x:c>
      <x:c r="K5" s="12" t="str">
        <x:v>Đỗ Mai Linh</x:v>
      </x:c>
      <x:c r="L5" s="12" t="str">
        <x:v>DT-MKT-2026-102</x:v>
      </x:c>
    </x:row>
    <x:row r="6">
      <x:c r="A6" s="12" t="str">
        <x:v>DN-MKT-2026-005</x:v>
      </x:c>
      <x:c r="B6" s="20" t="n">
        <x:v>46153</x:v>
      </x:c>
      <x:c r="C6" s="12" t="str">
        <x:v>Q2</x:v>
      </x:c>
      <x:c r="D6" s="12" t="str">
        <x:v>Website &amp; SEO</x:v>
      </x:c>
      <x:c r="E6" s="12" t="str">
        <x:v>Đơn vị Livestream MediaPro</x:v>
      </x:c>
      <x:c r="F6" s="12" t="str">
        <x:v>Thanh toán seo content - đợt 5</x:v>
      </x:c>
      <x:c r="G6" s="14" t="n">
        <x:v>5000000</x:v>
      </x:c>
      <x:c r="H6" s="14" t="n">
        <x:f>G6*10%</x:f>
        <x:v>500000</x:v>
      </x:c>
      <x:c r="I6" s="14" t="n">
        <x:f>G6+H6</x:f>
        <x:v>5500000</x:v>
      </x:c>
      <x:c r="J6" s="12" t="str">
        <x:v>Cần bổ sung chứng từ</x:v>
      </x:c>
      <x:c r="K6" s="12" t="str">
        <x:v>Lê Thu Hà</x:v>
      </x:c>
      <x:c r="L6" s="12" t="str">
        <x:v>DT-MKT-2026-125</x:v>
      </x:c>
    </x:row>
    <x:row r="7">
      <x:c r="A7" s="12" t="str">
        <x:v>DN-MKT-2026-006</x:v>
      </x:c>
      <x:c r="B7" s="20" t="n">
        <x:v>46191</x:v>
      </x:c>
      <x:c r="C7" s="12" t="str">
        <x:v>Q2</x:v>
      </x:c>
      <x:c r="D7" s="12" t="str">
        <x:v>Tuyển sinh &amp; truyền thông thương hiệu</x:v>
      </x:c>
      <x:c r="E7" s="12" t="str">
        <x:v>Nền tảng EmailCloud</x:v>
      </x:c>
      <x:c r="F7" s="12" t="str">
        <x:v>Thanh toán google ads - đợt 6</x:v>
      </x:c>
      <x:c r="G7" s="14" t="n">
        <x:v>80000000</x:v>
      </x:c>
      <x:c r="H7" s="14" t="n">
        <x:f>G7*10%</x:f>
        <x:v>8000000</x:v>
      </x:c>
      <x:c r="I7" s="14" t="n">
        <x:f>G7+H7</x:f>
        <x:v>88000000</x:v>
      </x:c>
      <x:c r="J7" s="12" t="str">
        <x:v>Đã duyệt</x:v>
      </x:c>
      <x:c r="K7" s="12" t="str">
        <x:v>Lê Thu Hà</x:v>
      </x:c>
      <x:c r="L7" s="12" t="str">
        <x:v>DT-MKT-2026-059</x:v>
      </x:c>
    </x:row>
    <x:row r="8">
      <x:c r="A8" s="12" t="str">
        <x:v>DN-MKT-2026-007</x:v>
      </x:c>
      <x:c r="B8" s="20" t="n">
        <x:v>46228</x:v>
      </x:c>
      <x:c r="C8" s="12" t="str">
        <x:v>Q3</x:v>
      </x:c>
      <x:c r="D8" s="12" t="str">
        <x:v>Social Media</x:v>
      </x:c>
      <x:c r="E8" s="12" t="str">
        <x:v>Google Asia Pacific</x:v>
      </x:c>
      <x:c r="F8" s="12" t="str">
        <x:v>Thanh toán email automation - đợt 7</x:v>
      </x:c>
      <x:c r="G8" s="14" t="n">
        <x:v>5000000</x:v>
      </x:c>
      <x:c r="H8" s="14" t="n">
        <x:f>G8*10%</x:f>
        <x:v>500000</x:v>
      </x:c>
      <x:c r="I8" s="14" t="n">
        <x:f>G8+H8</x:f>
        <x:v>5500000</x:v>
      </x:c>
      <x:c r="J8" s="12" t="str">
        <x:v>Đã thanh toán</x:v>
      </x:c>
      <x:c r="K8" s="12" t="str">
        <x:v>Phạm Quang Huy</x:v>
      </x:c>
      <x:c r="L8" s="12" t="str">
        <x:v>DT-MKT-2026-043</x:v>
      </x:c>
    </x:row>
    <x:row r="9">
      <x:c r="A9" s="12" t="str">
        <x:v>DN-MKT-2026-008</x:v>
      </x:c>
      <x:c r="B9" s="20" t="n">
        <x:v>46241</x:v>
      </x:c>
      <x:c r="C9" s="12" t="str">
        <x:v>Q3</x:v>
      </x:c>
      <x:c r="D9" s="12" t="str">
        <x:v>Tuyển sinh &amp; truyền thông thương hiệu</x:v>
      </x:c>
      <x:c r="E9" s="12" t="str">
        <x:v>Meta Việt Nam</x:v>
      </x:c>
      <x:c r="F9" s="12" t="str">
        <x:v>Thanh toán tổ chức sự kiện - đợt 8</x:v>
      </x:c>
      <x:c r="G9" s="14" t="n">
        <x:v>15000000</x:v>
      </x:c>
      <x:c r="H9" s="14" t="n">
        <x:f>G9*10%</x:f>
        <x:v>1500000</x:v>
      </x:c>
      <x:c r="I9" s="14" t="n">
        <x:f>G9+H9</x:f>
        <x:v>16500000</x:v>
      </x:c>
      <x:c r="J9" s="12" t="str">
        <x:v>Đã thanh toán</x:v>
      </x:c>
      <x:c r="K9" s="12" t="str">
        <x:v>Lê Thu Hà</x:v>
      </x:c>
      <x:c r="L9" s="12" t="str">
        <x:v>DT-MKT-2026-092</x:v>
      </x:c>
    </x:row>
    <x:row r="10">
      <x:c r="A10" s="12" t="str">
        <x:v>DN-MKT-2026-009</x:v>
      </x:c>
      <x:c r="B10" s="20" t="n">
        <x:v>46279</x:v>
      </x:c>
      <x:c r="C10" s="12" t="str">
        <x:v>Q3</x:v>
      </x:c>
      <x:c r="D10" s="12" t="str">
        <x:v>Social Media</x:v>
      </x:c>
      <x:c r="E10" s="12" t="str">
        <x:v>Công ty EventPlus</x:v>
      </x:c>
      <x:c r="F10" s="12" t="str">
        <x:v>Thanh toán thiết kế ấn phẩm - đợt 9</x:v>
      </x:c>
      <x:c r="G10" s="14" t="n">
        <x:v>20000000</x:v>
      </x:c>
      <x:c r="H10" s="14" t="n">
        <x:f>G10*10%</x:f>
        <x:v>2000000</x:v>
      </x:c>
      <x:c r="I10" s="14" t="n">
        <x:f>G10+H10</x:f>
        <x:v>22000000</x:v>
      </x:c>
      <x:c r="J10" s="12" t="str">
        <x:v>Cần bổ sung chứng từ</x:v>
      </x:c>
      <x:c r="K10" s="12" t="str">
        <x:v>Đỗ Mai Linh</x:v>
      </x:c>
      <x:c r="L10" s="12" t="str">
        <x:v>DT-MKT-2026-047</x:v>
      </x:c>
    </x:row>
    <x:row r="11">
      <x:c r="A11" s="12" t="str">
        <x:v>DN-MKT-2026-010</x:v>
      </x:c>
      <x:c r="B11" s="20" t="n">
        <x:v>46316</x:v>
      </x:c>
      <x:c r="C11" s="12" t="str">
        <x:v>Q4</x:v>
      </x:c>
      <x:c r="D11" s="12" t="str">
        <x:v>Sản xuất nội dung</x:v>
      </x:c>
      <x:c r="E11" s="12" t="str">
        <x:v>Google Asia Pacific</x:v>
      </x:c>
      <x:c r="F11" s="12" t="str">
        <x:v>Thanh toán chụp ảnh - đợt 10</x:v>
      </x:c>
      <x:c r="G11" s="14" t="n">
        <x:v>8000000</x:v>
      </x:c>
      <x:c r="H11" s="14" t="n">
        <x:f>G11*10%</x:f>
        <x:v>800000</x:v>
      </x:c>
      <x:c r="I11" s="14" t="n">
        <x:f>G11+H11</x:f>
        <x:v>8800000</x:v>
      </x:c>
      <x:c r="J11" s="12" t="str">
        <x:v>Cần bổ sung chứng từ</x:v>
      </x:c>
      <x:c r="K11" s="12" t="str">
        <x:v>Đỗ Mai Linh</x:v>
      </x:c>
      <x:c r="L11" s="12" t="str">
        <x:v>DT-MKT-2026-062</x:v>
      </x:c>
    </x:row>
    <x:row r="12">
      <x:c r="A12" s="12" t="str">
        <x:v>DN-MKT-2026-011</x:v>
      </x:c>
      <x:c r="B12" s="20" t="n">
        <x:v>46329</x:v>
      </x:c>
      <x:c r="C12" s="12" t="str">
        <x:v>Q4</x:v>
      </x:c>
      <x:c r="D12" s="12" t="str">
        <x:v>Nghiên cứu thị trường</x:v>
      </x:c>
      <x:c r="E12" s="12" t="str">
        <x:v>Công ty EventPlus</x:v>
      </x:c>
      <x:c r="F12" s="12" t="str">
        <x:v>Thanh toán thiết kế ấn phẩm - đợt 11</x:v>
      </x:c>
      <x:c r="G12" s="14" t="n">
        <x:v>50000000</x:v>
      </x:c>
      <x:c r="H12" s="14" t="n">
        <x:f>G12*10%</x:f>
        <x:v>5000000</x:v>
      </x:c>
      <x:c r="I12" s="14" t="n">
        <x:f>G12+H12</x:f>
        <x:v>55000000</x:v>
      </x:c>
      <x:c r="J12" s="12" t="str">
        <x:v>Cần bổ sung chứng từ</x:v>
      </x:c>
      <x:c r="K12" s="12" t="str">
        <x:v>Lê Thu Hà</x:v>
      </x:c>
      <x:c r="L12" s="12" t="str">
        <x:v>DT-MKT-2026-118</x:v>
      </x:c>
    </x:row>
    <x:row r="13">
      <x:c r="A13" s="12" t="str">
        <x:v>DN-MKT-2026-012</x:v>
      </x:c>
      <x:c r="B13" s="20" t="n">
        <x:v>46366</x:v>
      </x:c>
      <x:c r="C13" s="12" t="str">
        <x:v>Q4</x:v>
      </x:c>
      <x:c r="D13" s="12" t="str">
        <x:v>Quản trị thương hiệu</x:v>
      </x:c>
      <x:c r="E13" s="12" t="str">
        <x:v>Meta Việt Nam</x:v>
      </x:c>
      <x:c r="F13" s="12" t="str">
        <x:v>Thanh toán pr agency - đợt 12</x:v>
      </x:c>
      <x:c r="G13" s="14" t="n">
        <x:v>15000000</x:v>
      </x:c>
      <x:c r="H13" s="14" t="n">
        <x:f>G13*10%</x:f>
        <x:v>1500000</x:v>
      </x:c>
      <x:c r="I13" s="14" t="n">
        <x:f>G13+H13</x:f>
        <x:v>16500000</x:v>
      </x:c>
      <x:c r="J13" s="12" t="str">
        <x:v>Cần bổ sung chứng từ</x:v>
      </x:c>
      <x:c r="K13" s="12" t="str">
        <x:v>Lê Thu Hà</x:v>
      </x:c>
      <x:c r="L13" s="12" t="str">
        <x:v>DT-MKT-2026-140</x:v>
      </x:c>
    </x:row>
    <x:row r="14">
      <x:c r="A14" s="12" t="str">
        <x:v>DN-MKT-2026-013</x:v>
      </x:c>
      <x:c r="B14" s="20" t="n">
        <x:v>46039</x:v>
      </x:c>
      <x:c r="C14" s="12" t="str">
        <x:v>Q1</x:v>
      </x:c>
      <x:c r="D14" s="12" t="str">
        <x:v>Digital Marketing</x:v>
      </x:c>
      <x:c r="E14" s="12" t="str">
        <x:v>KOL Network Vietnam</x:v>
      </x:c>
      <x:c r="F14" s="12" t="str">
        <x:v>Thanh toán tổ chức sự kiện - đợt 13</x:v>
      </x:c>
      <x:c r="G14" s="14" t="n">
        <x:v>8000000</x:v>
      </x:c>
      <x:c r="H14" s="14" t="n">
        <x:f>G14*10%</x:f>
        <x:v>800000</x:v>
      </x:c>
      <x:c r="I14" s="14" t="n">
        <x:f>G14+H14</x:f>
        <x:v>8800000</x:v>
      </x:c>
      <x:c r="J14" s="12" t="str">
        <x:v>Chờ duyệt</x:v>
      </x:c>
      <x:c r="K14" s="12" t="str">
        <x:v>Phạm Quang Huy</x:v>
      </x:c>
      <x:c r="L14" s="12" t="str">
        <x:v>DT-MKT-2026-065</x:v>
      </x:c>
    </x:row>
    <x:row r="15">
      <x:c r="A15" s="12" t="str">
        <x:v>DN-MKT-2026-014</x:v>
      </x:c>
      <x:c r="B15" s="20" t="n">
        <x:v>46077</x:v>
      </x:c>
      <x:c r="C15" s="12" t="str">
        <x:v>Q1</x:v>
      </x:c>
      <x:c r="D15" s="12" t="str">
        <x:v>Sự kiện truyền thông</x:v>
      </x:c>
      <x:c r="E15" s="12" t="str">
        <x:v>Agency Truyền thông ABC</x:v>
      </x:c>
      <x:c r="F15" s="12" t="str">
        <x:v>Thanh toán kol/influencer - đợt 14</x:v>
      </x:c>
      <x:c r="G15" s="14" t="n">
        <x:v>50000000</x:v>
      </x:c>
      <x:c r="H15" s="14" t="n">
        <x:f>G15*10%</x:f>
        <x:v>5000000</x:v>
      </x:c>
      <x:c r="I15" s="14" t="n">
        <x:f>G15+H15</x:f>
        <x:v>55000000</x:v>
      </x:c>
      <x:c r="J15" s="12" t="str">
        <x:v>Cần bổ sung chứng từ</x:v>
      </x:c>
      <x:c r="K15" s="12" t="str">
        <x:v>Nguyễn Minh Anh</x:v>
      </x:c>
      <x:c r="L15" s="12" t="str">
        <x:v>DT-MKT-2026-061</x:v>
      </x:c>
    </x:row>
    <x:row r="16">
      <x:c r="A16" s="12" t="str">
        <x:v>DN-MKT-2026-015</x:v>
      </x:c>
      <x:c r="B16" s="20" t="n">
        <x:v>46087</x:v>
      </x:c>
      <x:c r="C16" s="12" t="str">
        <x:v>Q1</x:v>
      </x:c>
      <x:c r="D16" s="12" t="str">
        <x:v>Nghiên cứu thị trường</x:v>
      </x:c>
      <x:c r="E16" s="12" t="str">
        <x:v>Công ty In Ấn Minh Phát</x:v>
      </x:c>
      <x:c r="F16" s="12" t="str">
        <x:v>Thanh toán chụp ảnh - đợt 15</x:v>
      </x:c>
      <x:c r="G16" s="14" t="n">
        <x:v>30000000</x:v>
      </x:c>
      <x:c r="H16" s="14" t="n">
        <x:f>G16*10%</x:f>
        <x:v>3000000</x:v>
      </x:c>
      <x:c r="I16" s="14" t="n">
        <x:f>G16+H16</x:f>
        <x:v>33000000</x:v>
      </x:c>
      <x:c r="J16" s="12" t="str">
        <x:v>Chờ duyệt</x:v>
      </x:c>
      <x:c r="K16" s="12" t="str">
        <x:v>Lê Thu Hà</x:v>
      </x:c>
      <x:c r="L16" s="12" t="str">
        <x:v>DT-MKT-2026-006</x:v>
      </x:c>
    </x:row>
    <x:row r="17">
      <x:c r="A17" s="12" t="str">
        <x:v>DN-MKT-2026-016</x:v>
      </x:c>
      <x:c r="B17" s="20" t="n">
        <x:v>46125</x:v>
      </x:c>
      <x:c r="C17" s="12" t="str">
        <x:v>Q2</x:v>
      </x:c>
      <x:c r="D17" s="12" t="str">
        <x:v>Sự kiện truyền thông</x:v>
      </x:c>
      <x:c r="E17" s="12" t="str">
        <x:v>Meta Việt Nam</x:v>
      </x:c>
      <x:c r="F17" s="12" t="str">
        <x:v>Thanh toán chụp ảnh - đợt 16</x:v>
      </x:c>
      <x:c r="G17" s="14" t="n">
        <x:v>30000000</x:v>
      </x:c>
      <x:c r="H17" s="14" t="n">
        <x:f>G17*10%</x:f>
        <x:v>3000000</x:v>
      </x:c>
      <x:c r="I17" s="14" t="n">
        <x:f>G17+H17</x:f>
        <x:v>33000000</x:v>
      </x:c>
      <x:c r="J17" s="12" t="str">
        <x:v>Đã thanh toán</x:v>
      </x:c>
      <x:c r="K17" s="12" t="str">
        <x:v>Đỗ Mai Linh</x:v>
      </x:c>
      <x:c r="L17" s="12" t="str">
        <x:v>DT-MKT-2026-128</x:v>
      </x:c>
    </x:row>
    <x:row r="18">
      <x:c r="A18" s="12" t="str">
        <x:v>DN-MKT-2026-017</x:v>
      </x:c>
      <x:c r="B18" s="20" t="n">
        <x:v>46162</x:v>
      </x:c>
      <x:c r="C18" s="12" t="str">
        <x:v>Q2</x:v>
      </x:c>
      <x:c r="D18" s="12" t="str">
        <x:v>Quan hệ báo chí</x:v>
      </x:c>
      <x:c r="E18" s="12" t="str">
        <x:v>Nền tảng EmailCloud</x:v>
      </x:c>
      <x:c r="F18" s="12" t="str">
        <x:v>Thanh toán email automation - đợt 17</x:v>
      </x:c>
      <x:c r="G18" s="14" t="n">
        <x:v>15000000</x:v>
      </x:c>
      <x:c r="H18" s="14" t="n">
        <x:f>G18*10%</x:f>
        <x:v>1500000</x:v>
      </x:c>
      <x:c r="I18" s="14" t="n">
        <x:f>G18+H18</x:f>
        <x:v>16500000</x:v>
      </x:c>
      <x:c r="J18" s="12" t="str">
        <x:v>Chờ duyệt</x:v>
      </x:c>
      <x:c r="K18" s="12" t="str">
        <x:v>Trần Hoàng Nam</x:v>
      </x:c>
      <x:c r="L18" s="12" t="str">
        <x:v>DT-MKT-2026-049</x:v>
      </x:c>
    </x:row>
    <x:row r="19">
      <x:c r="A19" s="12" t="str">
        <x:v>DN-MKT-2026-018</x:v>
      </x:c>
      <x:c r="B19" s="20" t="n">
        <x:v>46175</x:v>
      </x:c>
      <x:c r="C19" s="12" t="str">
        <x:v>Q2</x:v>
      </x:c>
      <x:c r="D19" s="12" t="str">
        <x:v>Sự kiện truyền thông</x:v>
      </x:c>
      <x:c r="E19" s="12" t="str">
        <x:v>Công ty Nghiên cứu MarketInsight</x:v>
      </x:c>
      <x:c r="F19" s="12" t="str">
        <x:v>Thanh toán email automation - đợt 18</x:v>
      </x:c>
      <x:c r="G19" s="14" t="n">
        <x:v>120000000</x:v>
      </x:c>
      <x:c r="H19" s="14" t="n">
        <x:f>G19*10%</x:f>
        <x:v>12000000</x:v>
      </x:c>
      <x:c r="I19" s="14" t="n">
        <x:f>G19+H19</x:f>
        <x:v>132000000</x:v>
      </x:c>
      <x:c r="J19" s="12" t="str">
        <x:v>Đã duyệt</x:v>
      </x:c>
      <x:c r="K19" s="12" t="str">
        <x:v>Nguyễn Minh Anh</x:v>
      </x:c>
      <x:c r="L19" s="12" t="str">
        <x:v>DT-MKT-2026-011</x:v>
      </x:c>
    </x:row>
    <x:row r="20">
      <x:c r="A20" s="12" t="str">
        <x:v>DN-MKT-2026-019</x:v>
      </x:c>
      <x:c r="B20" s="20" t="n">
        <x:v>46212</x:v>
      </x:c>
      <x:c r="C20" s="12" t="str">
        <x:v>Q3</x:v>
      </x:c>
      <x:c r="D20" s="12" t="str">
        <x:v>Video/Photo Production</x:v>
      </x:c>
      <x:c r="E20" s="12" t="str">
        <x:v>Meta Việt Nam</x:v>
      </x:c>
      <x:c r="F20" s="12" t="str">
        <x:v>Thanh toán chụp ảnh - đợt 19</x:v>
      </x:c>
      <x:c r="G20" s="14" t="n">
        <x:v>15000000</x:v>
      </x:c>
      <x:c r="H20" s="14" t="n">
        <x:f>G20*10%</x:f>
        <x:v>1500000</x:v>
      </x:c>
      <x:c r="I20" s="14" t="n">
        <x:f>G20+H20</x:f>
        <x:v>16500000</x:v>
      </x:c>
      <x:c r="J20" s="12" t="str">
        <x:v>Chờ duyệt</x:v>
      </x:c>
      <x:c r="K20" s="12" t="str">
        <x:v>Trần Hoàng Nam</x:v>
      </x:c>
      <x:c r="L20" s="12" t="str">
        <x:v>DT-MKT-2026-024</x:v>
      </x:c>
    </x:row>
    <x:row r="21">
      <x:c r="A21" s="12" t="str">
        <x:v>DN-MKT-2026-020</x:v>
      </x:c>
      <x:c r="B21" s="20" t="n">
        <x:v>46250</x:v>
      </x:c>
      <x:c r="C21" s="12" t="str">
        <x:v>Q3</x:v>
      </x:c>
      <x:c r="D21" s="12" t="str">
        <x:v>Website &amp; SEO</x:v>
      </x:c>
      <x:c r="E21" s="12" t="str">
        <x:v>Production House Lotus</x:v>
      </x:c>
      <x:c r="F21" s="12" t="str">
        <x:v>Thanh toán kol/influencer - đợt 20</x:v>
      </x:c>
      <x:c r="G21" s="14" t="n">
        <x:v>15000000</x:v>
      </x:c>
      <x:c r="H21" s="14" t="n">
        <x:f>G21*10%</x:f>
        <x:v>1500000</x:v>
      </x:c>
      <x:c r="I21" s="14" t="n">
        <x:f>G21+H21</x:f>
        <x:v>16500000</x:v>
      </x:c>
      <x:c r="J21" s="12" t="str">
        <x:v>Đã duyệt</x:v>
      </x:c>
      <x:c r="K21" s="12" t="str">
        <x:v>Trần Hoàng Nam</x:v>
      </x:c>
      <x:c r="L21" s="12" t="str">
        <x:v>DT-MKT-2026-034</x:v>
      </x:c>
    </x:row>
    <x:row r="22">
      <x:c r="A22" s="12" t="str">
        <x:v>DN-MKT-2026-021</x:v>
      </x:c>
      <x:c r="B22" s="20" t="n">
        <x:v>46288</x:v>
      </x:c>
      <x:c r="C22" s="12" t="str">
        <x:v>Q3</x:v>
      </x:c>
      <x:c r="D22" s="12" t="str">
        <x:v>Website &amp; SEO</x:v>
      </x:c>
      <x:c r="E22" s="12" t="str">
        <x:v>Công ty SEO Pro</x:v>
      </x:c>
      <x:c r="F22" s="12" t="str">
        <x:v>Thanh toán in ấn posm - đợt 21</x:v>
      </x:c>
      <x:c r="G22" s="14" t="n">
        <x:v>80000000</x:v>
      </x:c>
      <x:c r="H22" s="14" t="n">
        <x:f>G22*10%</x:f>
        <x:v>8000000</x:v>
      </x:c>
      <x:c r="I22" s="14" t="n">
        <x:f>G22+H22</x:f>
        <x:v>88000000</x:v>
      </x:c>
      <x:c r="J22" s="12" t="str">
        <x:v>Chờ duyệt</x:v>
      </x:c>
      <x:c r="K22" s="12" t="str">
        <x:v>Trần Hoàng Nam</x:v>
      </x:c>
      <x:c r="L22" s="12" t="str">
        <x:v>DT-MKT-2026-066</x:v>
      </x:c>
    </x:row>
    <x:row r="23">
      <x:c r="A23" s="12" t="str">
        <x:v>DN-MKT-2026-022</x:v>
      </x:c>
      <x:c r="B23" s="20" t="n">
        <x:v>46300</x:v>
      </x:c>
      <x:c r="C23" s="12" t="str">
        <x:v>Q4</x:v>
      </x:c>
      <x:c r="D23" s="12" t="str">
        <x:v>Sự kiện truyền thông</x:v>
      </x:c>
      <x:c r="E23" s="12" t="str">
        <x:v>Production House Lotus</x:v>
      </x:c>
      <x:c r="F23" s="12" t="str">
        <x:v>Thanh toán khảo sát thị trường - đợt 22</x:v>
      </x:c>
      <x:c r="G23" s="14" t="n">
        <x:v>50000000</x:v>
      </x:c>
      <x:c r="H23" s="14" t="n">
        <x:f>G23*10%</x:f>
        <x:v>5000000</x:v>
      </x:c>
      <x:c r="I23" s="14" t="n">
        <x:f>G23+H23</x:f>
        <x:v>55000000</x:v>
      </x:c>
      <x:c r="J23" s="12" t="str">
        <x:v>Chờ duyệt</x:v>
      </x:c>
      <x:c r="K23" s="12" t="str">
        <x:v>Nguyễn Minh Anh</x:v>
      </x:c>
      <x:c r="L23" s="12" t="str">
        <x:v>DT-MKT-2026-120</x:v>
      </x:c>
    </x:row>
    <x:row r="24">
      <x:c r="A24" s="12" t="str">
        <x:v>DN-MKT-2026-023</x:v>
      </x:c>
      <x:c r="B24" s="20" t="n">
        <x:v>46338</x:v>
      </x:c>
      <x:c r="C24" s="12" t="str">
        <x:v>Q4</x:v>
      </x:c>
      <x:c r="D24" s="12" t="str">
        <x:v>Sản xuất nội dung</x:v>
      </x:c>
      <x:c r="E24" s="12" t="str">
        <x:v>Công ty Thiết kế BrandLab</x:v>
      </x:c>
      <x:c r="F24" s="12" t="str">
        <x:v>Thanh toán thiết kế ấn phẩm - đợt 23</x:v>
      </x:c>
      <x:c r="G24" s="14" t="n">
        <x:v>5000000</x:v>
      </x:c>
      <x:c r="H24" s="14" t="n">
        <x:f>G24*10%</x:f>
        <x:v>500000</x:v>
      </x:c>
      <x:c r="I24" s="14" t="n">
        <x:f>G24+H24</x:f>
        <x:v>5500000</x:v>
      </x:c>
      <x:c r="J24" s="12" t="str">
        <x:v>Cần bổ sung chứng từ</x:v>
      </x:c>
      <x:c r="K24" s="12" t="str">
        <x:v>Đỗ Mai Linh</x:v>
      </x:c>
      <x:c r="L24" s="12" t="str">
        <x:v>DT-MKT-2026-094</x:v>
      </x:c>
    </x:row>
    <x:row r="25">
      <x:c r="A25" s="12" t="str">
        <x:v>DN-MKT-2026-024</x:v>
      </x:c>
      <x:c r="B25" s="20" t="n">
        <x:v>46375</x:v>
      </x:c>
      <x:c r="C25" s="12" t="str">
        <x:v>Q4</x:v>
      </x:c>
      <x:c r="D25" s="12" t="str">
        <x:v>Social Media</x:v>
      </x:c>
      <x:c r="E25" s="12" t="str">
        <x:v>Meta Việt Nam</x:v>
      </x:c>
      <x:c r="F25" s="12" t="str">
        <x:v>Thanh toán booking báo chí - đợt 24</x:v>
      </x:c>
      <x:c r="G25" s="14" t="n">
        <x:v>5000000</x:v>
      </x:c>
      <x:c r="H25" s="14" t="n">
        <x:f>G25*10%</x:f>
        <x:v>500000</x:v>
      </x:c>
      <x:c r="I25" s="14" t="n">
        <x:f>G25+H25</x:f>
        <x:v>5500000</x:v>
      </x:c>
      <x:c r="J25" s="12" t="str">
        <x:v>Đã thanh toán</x:v>
      </x:c>
      <x:c r="K25" s="12" t="str">
        <x:v>Phạm Quang Huy</x:v>
      </x:c>
      <x:c r="L25" s="12" t="str">
        <x:v>DT-MKT-2026-095</x:v>
      </x:c>
    </x:row>
    <x:row r="26">
      <x:c r="A26" s="12" t="str">
        <x:v>DN-MKT-2026-025</x:v>
      </x:c>
      <x:c r="B26" s="20" t="n">
        <x:v>46023</x:v>
      </x:c>
      <x:c r="C26" s="12" t="str">
        <x:v>Q1</x:v>
      </x:c>
      <x:c r="D26" s="12" t="str">
        <x:v>Nghiên cứu thị trường</x:v>
      </x:c>
      <x:c r="E26" s="12" t="str">
        <x:v>Báo điện tử Giáo dục</x:v>
      </x:c>
      <x:c r="F26" s="12" t="str">
        <x:v>Thanh toán khảo sát thị trường - đợt 25</x:v>
      </x:c>
      <x:c r="G26" s="14" t="n">
        <x:v>15000000</x:v>
      </x:c>
      <x:c r="H26" s="14" t="n">
        <x:f>G26*10%</x:f>
        <x:v>1500000</x:v>
      </x:c>
      <x:c r="I26" s="14" t="n">
        <x:f>G26+H26</x:f>
        <x:v>16500000</x:v>
      </x:c>
      <x:c r="J26" s="12" t="str">
        <x:v>Chờ duyệt</x:v>
      </x:c>
      <x:c r="K26" s="12" t="str">
        <x:v>Nguyễn Minh Anh</x:v>
      </x:c>
      <x:c r="L26" s="12" t="str">
        <x:v>DT-MKT-2026-060</x:v>
      </x:c>
    </x:row>
    <x:row r="27">
      <x:c r="A27" s="12" t="str">
        <x:v>DN-MKT-2026-026</x:v>
      </x:c>
      <x:c r="B27" s="20" t="n">
        <x:v>46061</x:v>
      </x:c>
      <x:c r="C27" s="12" t="str">
        <x:v>Q1</x:v>
      </x:c>
      <x:c r="D27" s="12" t="str">
        <x:v>Tuyển sinh &amp; truyền thông thương hiệu</x:v>
      </x:c>
      <x:c r="E27" s="12" t="str">
        <x:v>Nền tảng EmailCloud</x:v>
      </x:c>
      <x:c r="F27" s="12" t="str">
        <x:v>Thanh toán pr agency - đợt 26</x:v>
      </x:c>
      <x:c r="G27" s="14" t="n">
        <x:v>50000000</x:v>
      </x:c>
      <x:c r="H27" s="14" t="n">
        <x:f>G27*10%</x:f>
        <x:v>5000000</x:v>
      </x:c>
      <x:c r="I27" s="14" t="n">
        <x:f>G27+H27</x:f>
        <x:v>55000000</x:v>
      </x:c>
      <x:c r="J27" s="12" t="str">
        <x:v>Chờ duyệt</x:v>
      </x:c>
      <x:c r="K27" s="12" t="str">
        <x:v>Đỗ Mai Linh</x:v>
      </x:c>
      <x:c r="L27" s="12" t="str">
        <x:v>DT-MKT-2026-057</x:v>
      </x:c>
    </x:row>
    <x:row r="28">
      <x:c r="A28" s="12" t="str">
        <x:v>DN-MKT-2026-027</x:v>
      </x:c>
      <x:c r="B28" s="20" t="n">
        <x:v>46096</x:v>
      </x:c>
      <x:c r="C28" s="12" t="str">
        <x:v>Q1</x:v>
      </x:c>
      <x:c r="D28" s="12" t="str">
        <x:v>Quản trị thương hiệu</x:v>
      </x:c>
      <x:c r="E28" s="12" t="str">
        <x:v>Đơn vị Livestream MediaPro</x:v>
      </x:c>
      <x:c r="F28" s="12" t="str">
        <x:v>Thanh toán phần mềm marketing - đợt 27</x:v>
      </x:c>
      <x:c r="G28" s="14" t="n">
        <x:v>5000000</x:v>
      </x:c>
      <x:c r="H28" s="14" t="n">
        <x:f>G28*10%</x:f>
        <x:v>500000</x:v>
      </x:c>
      <x:c r="I28" s="14" t="n">
        <x:f>G28+H28</x:f>
        <x:v>5500000</x:v>
      </x:c>
      <x:c r="J28" s="12" t="str">
        <x:v>Chờ duyệt</x:v>
      </x:c>
      <x:c r="K28" s="12" t="str">
        <x:v>Phạm Quang Huy</x:v>
      </x:c>
      <x:c r="L28" s="12" t="str">
        <x:v>DT-MKT-2026-030</x:v>
      </x:c>
    </x:row>
    <x:row r="29">
      <x:c r="A29" s="12" t="str">
        <x:v>DN-MKT-2026-028</x:v>
      </x:c>
      <x:c r="B29" s="20" t="n">
        <x:v>46134</x:v>
      </x:c>
      <x:c r="C29" s="12" t="str">
        <x:v>Q2</x:v>
      </x:c>
      <x:c r="D29" s="12" t="str">
        <x:v>Tuyển sinh &amp; truyền thông thương hiệu</x:v>
      </x:c>
      <x:c r="E29" s="12" t="str">
        <x:v>Meta Việt Nam</x:v>
      </x:c>
      <x:c r="F29" s="12" t="str">
        <x:v>Thanh toán booking báo chí - đợt 28</x:v>
      </x:c>
      <x:c r="G29" s="14" t="n">
        <x:v>8000000</x:v>
      </x:c>
      <x:c r="H29" s="14" t="n">
        <x:f>G29*10%</x:f>
        <x:v>800000</x:v>
      </x:c>
      <x:c r="I29" s="14" t="n">
        <x:f>G29+H29</x:f>
        <x:v>8800000</x:v>
      </x:c>
      <x:c r="J29" s="12" t="str">
        <x:v>Cần bổ sung chứng từ</x:v>
      </x:c>
      <x:c r="K29" s="12" t="str">
        <x:v>Nguyễn Minh Anh</x:v>
      </x:c>
      <x:c r="L29" s="12" t="str">
        <x:v>DT-MKT-2026-025</x:v>
      </x:c>
    </x:row>
    <x:row r="30">
      <x:c r="A30" s="12" t="str">
        <x:v>DN-MKT-2026-029</x:v>
      </x:c>
      <x:c r="B30" s="20" t="n">
        <x:v>46146</x:v>
      </x:c>
      <x:c r="C30" s="12" t="str">
        <x:v>Q2</x:v>
      </x:c>
      <x:c r="D30" s="12" t="str">
        <x:v>Email Marketing</x:v>
      </x:c>
      <x:c r="E30" s="12" t="str">
        <x:v>Công ty EventPlus</x:v>
      </x:c>
      <x:c r="F30" s="12" t="str">
        <x:v>Thanh toán kol/influencer - đợt 29</x:v>
      </x:c>
      <x:c r="G30" s="14" t="n">
        <x:v>10000000</x:v>
      </x:c>
      <x:c r="H30" s="14" t="n">
        <x:f>G30*10%</x:f>
        <x:v>1000000</x:v>
      </x:c>
      <x:c r="I30" s="14" t="n">
        <x:f>G30+H30</x:f>
        <x:v>11000000</x:v>
      </x:c>
      <x:c r="J30" s="12" t="str">
        <x:v>Cần bổ sung chứng từ</x:v>
      </x:c>
      <x:c r="K30" s="12" t="str">
        <x:v>Lê Thu Hà</x:v>
      </x:c>
      <x:c r="L30" s="12" t="str">
        <x:v>DT-MKT-2026-139</x:v>
      </x:c>
    </x:row>
    <x:row r="31">
      <x:c r="A31" s="12" t="str">
        <x:v>DN-MKT-2026-030</x:v>
      </x:c>
      <x:c r="B31" s="20" t="n">
        <x:v>46184</x:v>
      </x:c>
      <x:c r="C31" s="12" t="str">
        <x:v>Q2</x:v>
      </x:c>
      <x:c r="D31" s="12" t="str">
        <x:v>Nghiên cứu thị trường</x:v>
      </x:c>
      <x:c r="E31" s="12" t="str">
        <x:v>Production House Lotus</x:v>
      </x:c>
      <x:c r="F31" s="12" t="str">
        <x:v>Thanh toán livestream - đợt 30</x:v>
      </x:c>
      <x:c r="G31" s="14" t="n">
        <x:v>30000000</x:v>
      </x:c>
      <x:c r="H31" s="14" t="n">
        <x:f>G31*10%</x:f>
        <x:v>3000000</x:v>
      </x:c>
      <x:c r="I31" s="14" t="n">
        <x:f>G31+H31</x:f>
        <x:v>33000000</x:v>
      </x:c>
      <x:c r="J31" s="12" t="str">
        <x:v>Đã duyệt</x:v>
      </x:c>
      <x:c r="K31" s="12" t="str">
        <x:v>Phạm Quang Huy</x:v>
      </x:c>
      <x:c r="L31" s="12" t="str">
        <x:v>DT-MKT-2026-026</x:v>
      </x:c>
    </x:row>
    <x:row r="32">
      <x:c r="A32" s="12" t="str">
        <x:v>DN-MKT-2026-031</x:v>
      </x:c>
      <x:c r="B32" s="20" t="n">
        <x:v>46221</x:v>
      </x:c>
      <x:c r="C32" s="12" t="str">
        <x:v>Q3</x:v>
      </x:c>
      <x:c r="D32" s="12" t="str">
        <x:v>Nghiên cứu thị trường</x:v>
      </x:c>
      <x:c r="E32" s="12" t="str">
        <x:v>Báo điện tử Giáo dục</x:v>
      </x:c>
      <x:c r="F32" s="12" t="str">
        <x:v>Thanh toán booking báo chí - đợt 31</x:v>
      </x:c>
      <x:c r="G32" s="14" t="n">
        <x:v>50000000</x:v>
      </x:c>
      <x:c r="H32" s="14" t="n">
        <x:f>G32*10%</x:f>
        <x:v>5000000</x:v>
      </x:c>
      <x:c r="I32" s="14" t="n">
        <x:f>G32+H32</x:f>
        <x:v>55000000</x:v>
      </x:c>
      <x:c r="J32" s="12" t="str">
        <x:v>Đã thanh toán</x:v>
      </x:c>
      <x:c r="K32" s="12" t="str">
        <x:v>Lê Thu Hà</x:v>
      </x:c>
      <x:c r="L32" s="12" t="str">
        <x:v>DT-MKT-2026-056</x:v>
      </x:c>
    </x:row>
    <x:row r="33">
      <x:c r="A33" s="12" t="str">
        <x:v>DN-MKT-2026-032</x:v>
      </x:c>
      <x:c r="B33" s="20" t="n">
        <x:v>46259</x:v>
      </x:c>
      <x:c r="C33" s="12" t="str">
        <x:v>Q3</x:v>
      </x:c>
      <x:c r="D33" s="12" t="str">
        <x:v>Video/Photo Production</x:v>
      </x:c>
      <x:c r="E33" s="12" t="str">
        <x:v>Agency Truyền thông ABC</x:v>
      </x:c>
      <x:c r="F33" s="12" t="str">
        <x:v>Thanh toán khảo sát thị trường - đợt 32</x:v>
      </x:c>
      <x:c r="G33" s="14" t="n">
        <x:v>50000000</x:v>
      </x:c>
      <x:c r="H33" s="14" t="n">
        <x:f>G33*10%</x:f>
        <x:v>5000000</x:v>
      </x:c>
      <x:c r="I33" s="14" t="n">
        <x:f>G33+H33</x:f>
        <x:v>55000000</x:v>
      </x:c>
      <x:c r="J33" s="12" t="str">
        <x:v>Chờ duyệt</x:v>
      </x:c>
      <x:c r="K33" s="12" t="str">
        <x:v>Nguyễn Minh Anh</x:v>
      </x:c>
      <x:c r="L33" s="12" t="str">
        <x:v>DT-MKT-2026-095</x:v>
      </x:c>
    </x:row>
    <x:row r="34">
      <x:c r="A34" s="12" t="str">
        <x:v>DN-MKT-2026-033</x:v>
      </x:c>
      <x:c r="B34" s="20" t="n">
        <x:v>46272</x:v>
      </x:c>
      <x:c r="C34" s="12" t="str">
        <x:v>Q3</x:v>
      </x:c>
      <x:c r="D34" s="12" t="str">
        <x:v>Quản trị thương hiệu</x:v>
      </x:c>
      <x:c r="E34" s="12" t="str">
        <x:v>Công ty In Ấn Minh Phát</x:v>
      </x:c>
      <x:c r="F34" s="12" t="str">
        <x:v>Thanh toán facebook/tiktok ads - đợt 33</x:v>
      </x:c>
      <x:c r="G34" s="14" t="n">
        <x:v>80000000</x:v>
      </x:c>
      <x:c r="H34" s="14" t="n">
        <x:f>G34*10%</x:f>
        <x:v>8000000</x:v>
      </x:c>
      <x:c r="I34" s="14" t="n">
        <x:f>G34+H34</x:f>
        <x:v>88000000</x:v>
      </x:c>
      <x:c r="J34" s="12" t="str">
        <x:v>Cần bổ sung chứng từ</x:v>
      </x:c>
      <x:c r="K34" s="12" t="str">
        <x:v>Lê Thu Hà</x:v>
      </x:c>
      <x:c r="L34" s="12" t="str">
        <x:v>DT-MKT-2026-049</x:v>
      </x:c>
    </x:row>
    <x:row r="35">
      <x:c r="A35" s="12" t="str">
        <x:v>DN-MKT-2026-034</x:v>
      </x:c>
      <x:c r="B35" s="20" t="n">
        <x:v>46309</x:v>
      </x:c>
      <x:c r="C35" s="12" t="str">
        <x:v>Q4</x:v>
      </x:c>
      <x:c r="D35" s="12" t="str">
        <x:v>Video/Photo Production</x:v>
      </x:c>
      <x:c r="E35" s="12" t="str">
        <x:v>Google Asia Pacific</x:v>
      </x:c>
      <x:c r="F35" s="12" t="str">
        <x:v>Thanh toán seo content - đợt 34</x:v>
      </x:c>
      <x:c r="G35" s="14" t="n">
        <x:v>5000000</x:v>
      </x:c>
      <x:c r="H35" s="14" t="n">
        <x:f>G35*10%</x:f>
        <x:v>500000</x:v>
      </x:c>
      <x:c r="I35" s="14" t="n">
        <x:f>G35+H35</x:f>
        <x:v>5500000</x:v>
      </x:c>
      <x:c r="J35" s="12" t="str">
        <x:v>Đã duyệt</x:v>
      </x:c>
      <x:c r="K35" s="12" t="str">
        <x:v>Đỗ Mai Linh</x:v>
      </x:c>
      <x:c r="L35" s="12" t="str">
        <x:v>DT-MKT-2026-006</x:v>
      </x:c>
    </x:row>
    <x:row r="36">
      <x:c r="A36" s="12" t="str">
        <x:v>DN-MKT-2026-035</x:v>
      </x:c>
      <x:c r="B36" s="20" t="n">
        <x:v>46347</x:v>
      </x:c>
      <x:c r="C36" s="12" t="str">
        <x:v>Q4</x:v>
      </x:c>
      <x:c r="D36" s="12" t="str">
        <x:v>Website &amp; SEO</x:v>
      </x:c>
      <x:c r="E36" s="12" t="str">
        <x:v>Agency Truyền thông ABC</x:v>
      </x:c>
      <x:c r="F36" s="12" t="str">
        <x:v>Thanh toán sản xuất video - đợt 35</x:v>
      </x:c>
      <x:c r="G36" s="14" t="n">
        <x:v>3000000</x:v>
      </x:c>
      <x:c r="H36" s="14" t="n">
        <x:f>G36*10%</x:f>
        <x:v>300000</x:v>
      </x:c>
      <x:c r="I36" s="14" t="n">
        <x:f>G36+H36</x:f>
        <x:v>3300000</x:v>
      </x:c>
      <x:c r="J36" s="12" t="str">
        <x:v>Đã duyệt</x:v>
      </x:c>
      <x:c r="K36" s="12" t="str">
        <x:v>Nguyễn Minh Anh</x:v>
      </x:c>
      <x:c r="L36" s="12" t="str">
        <x:v>DT-MKT-2026-142</x:v>
      </x:c>
    </x:row>
    <x:row r="37">
      <x:c r="A37" s="12" t="str">
        <x:v>DN-MKT-2026-036</x:v>
      </x:c>
      <x:c r="B37" s="20" t="n">
        <x:v>46359</x:v>
      </x:c>
      <x:c r="C37" s="12" t="str">
        <x:v>Q4</x:v>
      </x:c>
      <x:c r="D37" s="12" t="str">
        <x:v>Nghiên cứu thị trường</x:v>
      </x:c>
      <x:c r="E37" s="12" t="str">
        <x:v>Agency Truyền thông ABC</x:v>
      </x:c>
      <x:c r="F37" s="12" t="str">
        <x:v>Thanh toán khảo sát thị trường - đợt 36</x:v>
      </x:c>
      <x:c r="G37" s="14" t="n">
        <x:v>10000000</x:v>
      </x:c>
      <x:c r="H37" s="14" t="n">
        <x:f>G37*10%</x:f>
        <x:v>1000000</x:v>
      </x:c>
      <x:c r="I37" s="14" t="n">
        <x:f>G37+H37</x:f>
        <x:v>11000000</x:v>
      </x:c>
      <x:c r="J37" s="12" t="str">
        <x:v>Đã duyệt</x:v>
      </x:c>
      <x:c r="K37" s="12" t="str">
        <x:v>Lê Thu Hà</x:v>
      </x:c>
      <x:c r="L37" s="12" t="str">
        <x:v>DT-MKT-2026-038</x:v>
      </x:c>
    </x:row>
    <x:row r="38">
      <x:c r="A38" s="12" t="str">
        <x:v>DN-MKT-2026-037</x:v>
      </x:c>
      <x:c r="B38" s="20" t="n">
        <x:v>46032</x:v>
      </x:c>
      <x:c r="C38" s="12" t="str">
        <x:v>Q1</x:v>
      </x:c>
      <x:c r="D38" s="12" t="str">
        <x:v>Tuyển sinh &amp; truyền thông thương hiệu</x:v>
      </x:c>
      <x:c r="E38" s="12" t="str">
        <x:v>Studio Sáng Tạo</x:v>
      </x:c>
      <x:c r="F38" s="12" t="str">
        <x:v>Thanh toán khảo sát thị trường - đợt 37</x:v>
      </x:c>
      <x:c r="G38" s="14" t="n">
        <x:v>120000000</x:v>
      </x:c>
      <x:c r="H38" s="14" t="n">
        <x:f>G38*10%</x:f>
        <x:v>12000000</x:v>
      </x:c>
      <x:c r="I38" s="14" t="n">
        <x:f>G38+H38</x:f>
        <x:v>132000000</x:v>
      </x:c>
      <x:c r="J38" s="12" t="str">
        <x:v>Đã duyệt</x:v>
      </x:c>
      <x:c r="K38" s="12" t="str">
        <x:v>Trần Hoàng Nam</x:v>
      </x:c>
      <x:c r="L38" s="12" t="str">
        <x:v>DT-MKT-2026-139</x:v>
      </x:c>
    </x:row>
    <x:row r="39">
      <x:c r="A39" s="12" t="str">
        <x:v>DN-MKT-2026-038</x:v>
      </x:c>
      <x:c r="B39" s="20" t="n">
        <x:v>46070</x:v>
      </x:c>
      <x:c r="C39" s="12" t="str">
        <x:v>Q1</x:v>
      </x:c>
      <x:c r="D39" s="12" t="str">
        <x:v>Sản xuất nội dung</x:v>
      </x:c>
      <x:c r="E39" s="12" t="str">
        <x:v>Google Asia Pacific</x:v>
      </x:c>
      <x:c r="F39" s="12" t="str">
        <x:v>Thanh toán seo content - đợt 38</x:v>
      </x:c>
      <x:c r="G39" s="14" t="n">
        <x:v>15000000</x:v>
      </x:c>
      <x:c r="H39" s="14" t="n">
        <x:f>G39*10%</x:f>
        <x:v>1500000</x:v>
      </x:c>
      <x:c r="I39" s="14" t="n">
        <x:f>G39+H39</x:f>
        <x:v>16500000</x:v>
      </x:c>
      <x:c r="J39" s="12" t="str">
        <x:v>Đã thanh toán</x:v>
      </x:c>
      <x:c r="K39" s="12" t="str">
        <x:v>Trần Hoàng Nam</x:v>
      </x:c>
      <x:c r="L39" s="12" t="str">
        <x:v>DT-MKT-2026-004</x:v>
      </x:c>
    </x:row>
    <x:row r="40">
      <x:c r="A40" s="12" t="str">
        <x:v>DN-MKT-2026-039</x:v>
      </x:c>
      <x:c r="B40" s="20" t="n">
        <x:v>46105</x:v>
      </x:c>
      <x:c r="C40" s="12" t="str">
        <x:v>Q1</x:v>
      </x:c>
      <x:c r="D40" s="12" t="str">
        <x:v>Quan hệ báo chí</x:v>
      </x:c>
      <x:c r="E40" s="12" t="str">
        <x:v>Nền tảng EmailCloud</x:v>
      </x:c>
      <x:c r="F40" s="12" t="str">
        <x:v>Thanh toán tổ chức sự kiện - đợt 39</x:v>
      </x:c>
      <x:c r="G40" s="14" t="n">
        <x:v>20000000</x:v>
      </x:c>
      <x:c r="H40" s="14" t="n">
        <x:f>G40*10%</x:f>
        <x:v>2000000</x:v>
      </x:c>
      <x:c r="I40" s="14" t="n">
        <x:f>G40+H40</x:f>
        <x:v>22000000</x:v>
      </x:c>
      <x:c r="J40" s="12" t="str">
        <x:v>Đã thanh toán</x:v>
      </x:c>
      <x:c r="K40" s="12" t="str">
        <x:v>Trần Hoàng Nam</x:v>
      </x:c>
      <x:c r="L40" s="12" t="str">
        <x:v>DT-MKT-2026-068</x:v>
      </x:c>
    </x:row>
    <x:row r="41">
      <x:c r="A41" s="12" t="str">
        <x:v>DN-MKT-2026-040</x:v>
      </x:c>
      <x:c r="B41" s="20" t="n">
        <x:v>46118</x:v>
      </x:c>
      <x:c r="C41" s="12" t="str">
        <x:v>Q2</x:v>
      </x:c>
      <x:c r="D41" s="12" t="str">
        <x:v>Sản xuất nội dung</x:v>
      </x:c>
      <x:c r="E41" s="12" t="str">
        <x:v>Production House Lotus</x:v>
      </x:c>
      <x:c r="F41" s="12" t="str">
        <x:v>Thanh toán kol/influencer - đợt 40</x:v>
      </x:c>
      <x:c r="G41" s="14" t="n">
        <x:v>3000000</x:v>
      </x:c>
      <x:c r="H41" s="14" t="n">
        <x:f>G41*10%</x:f>
        <x:v>300000</x:v>
      </x:c>
      <x:c r="I41" s="14" t="n">
        <x:f>G41+H41</x:f>
        <x:v>3300000</x:v>
      </x:c>
      <x:c r="J41" s="12" t="str">
        <x:v>Đã thanh toán</x:v>
      </x:c>
      <x:c r="K41" s="12" t="str">
        <x:v>Nguyễn Minh Anh</x:v>
      </x:c>
      <x:c r="L41" s="12" t="str">
        <x:v>DT-MKT-2026-122</x:v>
      </x:c>
    </x:row>
    <x:row r="42">
      <x:c r="A42" s="12" t="str">
        <x:v>DN-MKT-2026-041</x:v>
      </x:c>
      <x:c r="B42" s="20" t="n">
        <x:v>46155</x:v>
      </x:c>
      <x:c r="C42" s="12" t="str">
        <x:v>Q2</x:v>
      </x:c>
      <x:c r="D42" s="12" t="str">
        <x:v>Website &amp; SEO</x:v>
      </x:c>
      <x:c r="E42" s="12" t="str">
        <x:v>Công ty SEO Pro</x:v>
      </x:c>
      <x:c r="F42" s="12" t="str">
        <x:v>Thanh toán chụp ảnh - đợt 41</x:v>
      </x:c>
      <x:c r="G42" s="14" t="n">
        <x:v>50000000</x:v>
      </x:c>
      <x:c r="H42" s="14" t="n">
        <x:f>G42*10%</x:f>
        <x:v>5000000</x:v>
      </x:c>
      <x:c r="I42" s="14" t="n">
        <x:f>G42+H42</x:f>
        <x:v>55000000</x:v>
      </x:c>
      <x:c r="J42" s="12" t="str">
        <x:v>Đã thanh toán</x:v>
      </x:c>
      <x:c r="K42" s="12" t="str">
        <x:v>Phạm Quang Huy</x:v>
      </x:c>
      <x:c r="L42" s="12" t="str">
        <x:v>DT-MKT-2026-129</x:v>
      </x:c>
    </x:row>
    <x:row r="43">
      <x:c r="A43" s="12" t="str">
        <x:v>DN-MKT-2026-042</x:v>
      </x:c>
      <x:c r="B43" s="20" t="n">
        <x:v>46193</x:v>
      </x:c>
      <x:c r="C43" s="12" t="str">
        <x:v>Q2</x:v>
      </x:c>
      <x:c r="D43" s="12" t="str">
        <x:v>Nghiên cứu thị trường</x:v>
      </x:c>
      <x:c r="E43" s="12" t="str">
        <x:v>Meta Việt Nam</x:v>
      </x:c>
      <x:c r="F43" s="12" t="str">
        <x:v>Thanh toán livestream - đợt 42</x:v>
      </x:c>
      <x:c r="G43" s="14" t="n">
        <x:v>10000000</x:v>
      </x:c>
      <x:c r="H43" s="14" t="n">
        <x:f>G43*10%</x:f>
        <x:v>1000000</x:v>
      </x:c>
      <x:c r="I43" s="14" t="n">
        <x:f>G43+H43</x:f>
        <x:v>11000000</x:v>
      </x:c>
      <x:c r="J43" s="12" t="str">
        <x:v>Chờ duyệt</x:v>
      </x:c>
      <x:c r="K43" s="12" t="str">
        <x:v>Phạm Quang Huy</x:v>
      </x:c>
      <x:c r="L43" s="12" t="str">
        <x:v>DT-MKT-2026-008</x:v>
      </x:c>
    </x:row>
    <x:row r="44">
      <x:c r="A44" s="12" t="str">
        <x:v>DN-MKT-2026-043</x:v>
      </x:c>
      <x:c r="B44" s="20" t="n">
        <x:v>46205</x:v>
      </x:c>
      <x:c r="C44" s="12" t="str">
        <x:v>Q3</x:v>
      </x:c>
      <x:c r="D44" s="12" t="str">
        <x:v>Video/Photo Production</x:v>
      </x:c>
      <x:c r="E44" s="12" t="str">
        <x:v>Đơn vị Livestream MediaPro</x:v>
      </x:c>
      <x:c r="F44" s="12" t="str">
        <x:v>Thanh toán kol/influencer - đợt 43</x:v>
      </x:c>
      <x:c r="G44" s="14" t="n">
        <x:v>3000000</x:v>
      </x:c>
      <x:c r="H44" s="14" t="n">
        <x:f>G44*10%</x:f>
        <x:v>300000</x:v>
      </x:c>
      <x:c r="I44" s="14" t="n">
        <x:f>G44+H44</x:f>
        <x:v>3300000</x:v>
      </x:c>
      <x:c r="J44" s="12" t="str">
        <x:v>Cần bổ sung chứng từ</x:v>
      </x:c>
      <x:c r="K44" s="12" t="str">
        <x:v>Nguyễn Minh Anh</x:v>
      </x:c>
      <x:c r="L44" s="12" t="str">
        <x:v>DT-MKT-2026-126</x:v>
      </x:c>
    </x:row>
    <x:row r="45">
      <x:c r="A45" s="12" t="str">
        <x:v>DN-MKT-2026-044</x:v>
      </x:c>
      <x:c r="B45" s="20" t="n">
        <x:v>46243</x:v>
      </x:c>
      <x:c r="C45" s="12" t="str">
        <x:v>Q3</x:v>
      </x:c>
      <x:c r="D45" s="12" t="str">
        <x:v>Digital Marketing</x:v>
      </x:c>
      <x:c r="E45" s="12" t="str">
        <x:v>Công ty Quà tặng Việt</x:v>
      </x:c>
      <x:c r="F45" s="12" t="str">
        <x:v>Thanh toán google ads - đợt 44</x:v>
      </x:c>
      <x:c r="G45" s="14" t="n">
        <x:v>50000000</x:v>
      </x:c>
      <x:c r="H45" s="14" t="n">
        <x:f>G45*10%</x:f>
        <x:v>5000000</x:v>
      </x:c>
      <x:c r="I45" s="14" t="n">
        <x:f>G45+H45</x:f>
        <x:v>55000000</x:v>
      </x:c>
      <x:c r="J45" s="12" t="str">
        <x:v>Chờ duyệt</x:v>
      </x:c>
      <x:c r="K45" s="12" t="str">
        <x:v>Đỗ Mai Linh</x:v>
      </x:c>
      <x:c r="L45" s="12" t="str">
        <x:v>DT-MKT-2026-038</x:v>
      </x:c>
    </x:row>
    <x:row r="46">
      <x:c r="A46" s="12" t="str">
        <x:v>DN-MKT-2026-045</x:v>
      </x:c>
      <x:c r="B46" s="20" t="n">
        <x:v>46281</x:v>
      </x:c>
      <x:c r="C46" s="12" t="str">
        <x:v>Q3</x:v>
      </x:c>
      <x:c r="D46" s="12" t="str">
        <x:v>Sản xuất nội dung</x:v>
      </x:c>
      <x:c r="E46" s="12" t="str">
        <x:v>Studio Sáng Tạo</x:v>
      </x:c>
      <x:c r="F46" s="12" t="str">
        <x:v>Thanh toán chụp ảnh - đợt 45</x:v>
      </x:c>
      <x:c r="G46" s="14" t="n">
        <x:v>5000000</x:v>
      </x:c>
      <x:c r="H46" s="14" t="n">
        <x:f>G46*10%</x:f>
        <x:v>500000</x:v>
      </x:c>
      <x:c r="I46" s="14" t="n">
        <x:f>G46+H46</x:f>
        <x:v>5500000</x:v>
      </x:c>
      <x:c r="J46" s="12" t="str">
        <x:v>Chờ duyệt</x:v>
      </x:c>
      <x:c r="K46" s="12" t="str">
        <x:v>Phạm Quang Huy</x:v>
      </x:c>
      <x:c r="L46" s="12" t="str">
        <x:v>DT-MKT-2026-136</x:v>
      </x:c>
    </x:row>
    <x:row r="47">
      <x:c r="A47" s="12" t="str">
        <x:v>DN-MKT-2026-046</x:v>
      </x:c>
      <x:c r="B47" s="20" t="n">
        <x:v>46318</x:v>
      </x:c>
      <x:c r="C47" s="12" t="str">
        <x:v>Q4</x:v>
      </x:c>
      <x:c r="D47" s="12" t="str">
        <x:v>Video/Photo Production</x:v>
      </x:c>
      <x:c r="E47" s="12" t="str">
        <x:v>Công ty SEO Pro</x:v>
      </x:c>
      <x:c r="F47" s="12" t="str">
        <x:v>Thanh toán chụp ảnh - đợt 46</x:v>
      </x:c>
      <x:c r="G47" s="14" t="n">
        <x:v>15000000</x:v>
      </x:c>
      <x:c r="H47" s="14" t="n">
        <x:f>G47*10%</x:f>
        <x:v>1500000</x:v>
      </x:c>
      <x:c r="I47" s="14" t="n">
        <x:f>G47+H47</x:f>
        <x:v>16500000</x:v>
      </x:c>
      <x:c r="J47" s="12" t="str">
        <x:v>Cần bổ sung chứng từ</x:v>
      </x:c>
      <x:c r="K47" s="12" t="str">
        <x:v>Nguyễn Minh Anh</x:v>
      </x:c>
      <x:c r="L47" s="12" t="str">
        <x:v>DT-MKT-2026-030</x:v>
      </x:c>
    </x:row>
    <x:row r="48">
      <x:c r="A48" s="12" t="str">
        <x:v>DN-MKT-2026-047</x:v>
      </x:c>
      <x:c r="B48" s="20" t="n">
        <x:v>46331</x:v>
      </x:c>
      <x:c r="C48" s="12" t="str">
        <x:v>Q4</x:v>
      </x:c>
      <x:c r="D48" s="12" t="str">
        <x:v>Truyền thông nội bộ</x:v>
      </x:c>
      <x:c r="E48" s="12" t="str">
        <x:v>Đơn vị Livestream MediaPro</x:v>
      </x:c>
      <x:c r="F48" s="12" t="str">
        <x:v>Thanh toán thiết kế ấn phẩm - đợt 47</x:v>
      </x:c>
      <x:c r="G48" s="14" t="n">
        <x:v>80000000</x:v>
      </x:c>
      <x:c r="H48" s="14" t="n">
        <x:f>G48*10%</x:f>
        <x:v>8000000</x:v>
      </x:c>
      <x:c r="I48" s="14" t="n">
        <x:f>G48+H48</x:f>
        <x:v>88000000</x:v>
      </x:c>
      <x:c r="J48" s="12" t="str">
        <x:v>Cần bổ sung chứng từ</x:v>
      </x:c>
      <x:c r="K48" s="12" t="str">
        <x:v>Phạm Quang Huy</x:v>
      </x:c>
      <x:c r="L48" s="12" t="str">
        <x:v>DT-MKT-2026-059</x:v>
      </x:c>
    </x:row>
    <x:row r="49">
      <x:c r="A49" s="12" t="str">
        <x:v>DN-MKT-2026-048</x:v>
      </x:c>
      <x:c r="B49" s="20" t="n">
        <x:v>46368</x:v>
      </x:c>
      <x:c r="C49" s="12" t="str">
        <x:v>Q4</x:v>
      </x:c>
      <x:c r="D49" s="12" t="str">
        <x:v>Website &amp; SEO</x:v>
      </x:c>
      <x:c r="E49" s="12" t="str">
        <x:v>Đơn vị Livestream MediaPro</x:v>
      </x:c>
      <x:c r="F49" s="12" t="str">
        <x:v>Thanh toán phần mềm marketing - đợt 48</x:v>
      </x:c>
      <x:c r="G49" s="14" t="n">
        <x:v>30000000</x:v>
      </x:c>
      <x:c r="H49" s="14" t="n">
        <x:f>G49*10%</x:f>
        <x:v>3000000</x:v>
      </x:c>
      <x:c r="I49" s="14" t="n">
        <x:f>G49+H49</x:f>
        <x:v>33000000</x:v>
      </x:c>
      <x:c r="J49" s="12" t="str">
        <x:v>Cần bổ sung chứng từ</x:v>
      </x:c>
      <x:c r="K49" s="12" t="str">
        <x:v>Phạm Quang Huy</x:v>
      </x:c>
      <x:c r="L49" s="12" t="str">
        <x:v>DT-MKT-2026-025</x:v>
      </x:c>
    </x:row>
    <x:row r="50">
      <x:c r="A50" s="12" t="str">
        <x:v>DN-MKT-2026-049</x:v>
      </x:c>
      <x:c r="B50" s="20" t="n">
        <x:v>46041</x:v>
      </x:c>
      <x:c r="C50" s="12" t="str">
        <x:v>Q1</x:v>
      </x:c>
      <x:c r="D50" s="12" t="str">
        <x:v>Social Media</x:v>
      </x:c>
      <x:c r="E50" s="12" t="str">
        <x:v>Công ty In Ấn Minh Phát</x:v>
      </x:c>
      <x:c r="F50" s="12" t="str">
        <x:v>Thanh toán seo content - đợt 49</x:v>
      </x:c>
      <x:c r="G50" s="14" t="n">
        <x:v>20000000</x:v>
      </x:c>
      <x:c r="H50" s="14" t="n">
        <x:f>G50*10%</x:f>
        <x:v>2000000</x:v>
      </x:c>
      <x:c r="I50" s="14" t="n">
        <x:f>G50+H50</x:f>
        <x:v>22000000</x:v>
      </x:c>
      <x:c r="J50" s="12" t="str">
        <x:v>Chờ duyệt</x:v>
      </x:c>
      <x:c r="K50" s="12" t="str">
        <x:v>Lê Thu Hà</x:v>
      </x:c>
      <x:c r="L50" s="12" t="str">
        <x:v>DT-MKT-2026-040</x:v>
      </x:c>
    </x:row>
    <x:row r="51">
      <x:c r="A51" s="12" t="str">
        <x:v>DN-MKT-2026-050</x:v>
      </x:c>
      <x:c r="B51" s="20" t="n">
        <x:v>46054</x:v>
      </x:c>
      <x:c r="C51" s="12" t="str">
        <x:v>Q1</x:v>
      </x:c>
      <x:c r="D51" s="12" t="str">
        <x:v>Digital Marketing</x:v>
      </x:c>
      <x:c r="E51" s="12" t="str">
        <x:v>Google Asia Pacific</x:v>
      </x:c>
      <x:c r="F51" s="12" t="str">
        <x:v>Thanh toán khảo sát thị trường - đợt 50</x:v>
      </x:c>
      <x:c r="G51" s="14" t="n">
        <x:v>50000000</x:v>
      </x:c>
      <x:c r="H51" s="14" t="n">
        <x:f>G51*10%</x:f>
        <x:v>5000000</x:v>
      </x:c>
      <x:c r="I51" s="14" t="n">
        <x:f>G51+H51</x:f>
        <x:v>55000000</x:v>
      </x:c>
      <x:c r="J51" s="12" t="str">
        <x:v>Đã thanh toán</x:v>
      </x:c>
      <x:c r="K51" s="12" t="str">
        <x:v>Nguyễn Minh Anh</x:v>
      </x:c>
      <x:c r="L51" s="12" t="str">
        <x:v>DT-MKT-2026-111</x:v>
      </x:c>
    </x:row>
    <x:row r="52">
      <x:c r="A52" s="12" t="str">
        <x:v>DN-MKT-2026-051</x:v>
      </x:c>
      <x:c r="B52" s="20" t="n">
        <x:v>46089</x:v>
      </x:c>
      <x:c r="C52" s="12" t="str">
        <x:v>Q1</x:v>
      </x:c>
      <x:c r="D52" s="12" t="str">
        <x:v>Truyền thông nội bộ</x:v>
      </x:c>
      <x:c r="E52" s="12" t="str">
        <x:v>Production House Lotus</x:v>
      </x:c>
      <x:c r="F52" s="12" t="str">
        <x:v>Thanh toán tổ chức sự kiện - đợt 51</x:v>
      </x:c>
      <x:c r="G52" s="14" t="n">
        <x:v>5000000</x:v>
      </x:c>
      <x:c r="H52" s="14" t="n">
        <x:f>G52*10%</x:f>
        <x:v>500000</x:v>
      </x:c>
      <x:c r="I52" s="14" t="n">
        <x:f>G52+H52</x:f>
        <x:v>5500000</x:v>
      </x:c>
      <x:c r="J52" s="12" t="str">
        <x:v>Đã duyệt</x:v>
      </x:c>
      <x:c r="K52" s="12" t="str">
        <x:v>Đỗ Mai Linh</x:v>
      </x:c>
      <x:c r="L52" s="12" t="str">
        <x:v>DT-MKT-2026-016</x:v>
      </x:c>
    </x:row>
    <x:row r="53">
      <x:c r="A53" s="12" t="str">
        <x:v>DN-MKT-2026-052</x:v>
      </x:c>
      <x:c r="B53" s="20" t="n">
        <x:v>46127</x:v>
      </x:c>
      <x:c r="C53" s="12" t="str">
        <x:v>Q2</x:v>
      </x:c>
      <x:c r="D53" s="12" t="str">
        <x:v>Email Marketing</x:v>
      </x:c>
      <x:c r="E53" s="12" t="str">
        <x:v>Công ty SEO Pro</x:v>
      </x:c>
      <x:c r="F53" s="12" t="str">
        <x:v>Thanh toán tổ chức sự kiện - đợt 52</x:v>
      </x:c>
      <x:c r="G53" s="14" t="n">
        <x:v>120000000</x:v>
      </x:c>
      <x:c r="H53" s="14" t="n">
        <x:f>G53*10%</x:f>
        <x:v>12000000</x:v>
      </x:c>
      <x:c r="I53" s="14" t="n">
        <x:f>G53+H53</x:f>
        <x:v>132000000</x:v>
      </x:c>
      <x:c r="J53" s="12" t="str">
        <x:v>Đã thanh toán</x:v>
      </x:c>
      <x:c r="K53" s="12" t="str">
        <x:v>Phạm Quang Huy</x:v>
      </x:c>
      <x:c r="L53" s="12" t="str">
        <x:v>DT-MKT-2026-091</x:v>
      </x:c>
    </x:row>
    <x:row r="54">
      <x:c r="A54" s="12" t="str">
        <x:v>DN-MKT-2026-053</x:v>
      </x:c>
      <x:c r="B54" s="20" t="n">
        <x:v>46164</x:v>
      </x:c>
      <x:c r="C54" s="12" t="str">
        <x:v>Q2</x:v>
      </x:c>
      <x:c r="D54" s="12" t="str">
        <x:v>Truyền thông nội bộ</x:v>
      </x:c>
      <x:c r="E54" s="12" t="str">
        <x:v>Meta Việt Nam</x:v>
      </x:c>
      <x:c r="F54" s="12" t="str">
        <x:v>Thanh toán booking báo chí - đợt 53</x:v>
      </x:c>
      <x:c r="G54" s="14" t="n">
        <x:v>30000000</x:v>
      </x:c>
      <x:c r="H54" s="14" t="n">
        <x:f>G54*10%</x:f>
        <x:v>3000000</x:v>
      </x:c>
      <x:c r="I54" s="14" t="n">
        <x:f>G54+H54</x:f>
        <x:v>33000000</x:v>
      </x:c>
      <x:c r="J54" s="12" t="str">
        <x:v>Chờ duyệt</x:v>
      </x:c>
      <x:c r="K54" s="12" t="str">
        <x:v>Lê Thu Hà</x:v>
      </x:c>
      <x:c r="L54" s="12" t="str">
        <x:v>DT-MKT-2026-027</x:v>
      </x:c>
    </x:row>
    <x:row r="55">
      <x:c r="A55" s="12" t="str">
        <x:v>DN-MKT-2026-054</x:v>
      </x:c>
      <x:c r="B55" s="20" t="n">
        <x:v>46177</x:v>
      </x:c>
      <x:c r="C55" s="12" t="str">
        <x:v>Q2</x:v>
      </x:c>
      <x:c r="D55" s="12" t="str">
        <x:v>Email Marketing</x:v>
      </x:c>
      <x:c r="E55" s="12" t="str">
        <x:v>Agency Truyền thông ABC</x:v>
      </x:c>
      <x:c r="F55" s="12" t="str">
        <x:v>Thanh toán sản xuất video - đợt 54</x:v>
      </x:c>
      <x:c r="G55" s="14" t="n">
        <x:v>120000000</x:v>
      </x:c>
      <x:c r="H55" s="14" t="n">
        <x:f>G55*10%</x:f>
        <x:v>12000000</x:v>
      </x:c>
      <x:c r="I55" s="14" t="n">
        <x:f>G55+H55</x:f>
        <x:v>132000000</x:v>
      </x:c>
      <x:c r="J55" s="12" t="str">
        <x:v>Cần bổ sung chứng từ</x:v>
      </x:c>
      <x:c r="K55" s="12" t="str">
        <x:v>Trần Hoàng Nam</x:v>
      </x:c>
      <x:c r="L55" s="12" t="str">
        <x:v>DT-MKT-2026-028</x:v>
      </x:c>
    </x:row>
    <x:row r="56">
      <x:c r="A56" s="12" t="str">
        <x:v>DN-MKT-2026-055</x:v>
      </x:c>
      <x:c r="B56" s="20" t="n">
        <x:v>46214</x:v>
      </x:c>
      <x:c r="C56" s="12" t="str">
        <x:v>Q3</x:v>
      </x:c>
      <x:c r="D56" s="12" t="str">
        <x:v>Email Marketing</x:v>
      </x:c>
      <x:c r="E56" s="12" t="str">
        <x:v>Công ty In Ấn Minh Phát</x:v>
      </x:c>
      <x:c r="F56" s="12" t="str">
        <x:v>Thanh toán google ads - đợt 55</x:v>
      </x:c>
      <x:c r="G56" s="14" t="n">
        <x:v>20000000</x:v>
      </x:c>
      <x:c r="H56" s="14" t="n">
        <x:f>G56*10%</x:f>
        <x:v>2000000</x:v>
      </x:c>
      <x:c r="I56" s="14" t="n">
        <x:f>G56+H56</x:f>
        <x:v>22000000</x:v>
      </x:c>
      <x:c r="J56" s="12" t="str">
        <x:v>Chờ duyệt</x:v>
      </x:c>
      <x:c r="K56" s="12" t="str">
        <x:v>Đỗ Mai Linh</x:v>
      </x:c>
      <x:c r="L56" s="12" t="str">
        <x:v>DT-MKT-2026-058</x:v>
      </x:c>
    </x:row>
    <x:row r="57">
      <x:c r="A57" s="12" t="str">
        <x:v>DN-MKT-2026-056</x:v>
      </x:c>
      <x:c r="B57" s="20" t="n">
        <x:v>46252</x:v>
      </x:c>
      <x:c r="C57" s="12" t="str">
        <x:v>Q3</x:v>
      </x:c>
      <x:c r="D57" s="12" t="str">
        <x:v>Email Marketing</x:v>
      </x:c>
      <x:c r="E57" s="12" t="str">
        <x:v>Công ty Thiết kế BrandLab</x:v>
      </x:c>
      <x:c r="F57" s="12" t="str">
        <x:v>Thanh toán khảo sát thị trường - đợt 56</x:v>
      </x:c>
      <x:c r="G57" s="14" t="n">
        <x:v>30000000</x:v>
      </x:c>
      <x:c r="H57" s="14" t="n">
        <x:f>G57*10%</x:f>
        <x:v>3000000</x:v>
      </x:c>
      <x:c r="I57" s="14" t="n">
        <x:f>G57+H57</x:f>
        <x:v>33000000</x:v>
      </x:c>
      <x:c r="J57" s="12" t="str">
        <x:v>Đã thanh toán</x:v>
      </x:c>
      <x:c r="K57" s="12" t="str">
        <x:v>Đỗ Mai Linh</x:v>
      </x:c>
      <x:c r="L57" s="12" t="str">
        <x:v>DT-MKT-2026-069</x:v>
      </x:c>
    </x:row>
    <x:row r="58">
      <x:c r="A58" s="12" t="str">
        <x:v>DN-MKT-2026-057</x:v>
      </x:c>
      <x:c r="B58" s="20" t="n">
        <x:v>46290</x:v>
      </x:c>
      <x:c r="C58" s="12" t="str">
        <x:v>Q3</x:v>
      </x:c>
      <x:c r="D58" s="12" t="str">
        <x:v>Sản xuất nội dung</x:v>
      </x:c>
      <x:c r="E58" s="12" t="str">
        <x:v>Studio Sáng Tạo</x:v>
      </x:c>
      <x:c r="F58" s="12" t="str">
        <x:v>Thanh toán livestream - đợt 57</x:v>
      </x:c>
      <x:c r="G58" s="14" t="n">
        <x:v>3000000</x:v>
      </x:c>
      <x:c r="H58" s="14" t="n">
        <x:f>G58*10%</x:f>
        <x:v>300000</x:v>
      </x:c>
      <x:c r="I58" s="14" t="n">
        <x:f>G58+H58</x:f>
        <x:v>3300000</x:v>
      </x:c>
      <x:c r="J58" s="12" t="str">
        <x:v>Chờ duyệt</x:v>
      </x:c>
      <x:c r="K58" s="12" t="str">
        <x:v>Lê Thu Hà</x:v>
      </x:c>
      <x:c r="L58" s="12" t="str">
        <x:v>DT-MKT-2026-090</x:v>
      </x:c>
    </x:row>
    <x:row r="59">
      <x:c r="A59" s="12" t="str">
        <x:v>DN-MKT-2026-058</x:v>
      </x:c>
      <x:c r="B59" s="20" t="n">
        <x:v>46302</x:v>
      </x:c>
      <x:c r="C59" s="12" t="str">
        <x:v>Q4</x:v>
      </x:c>
      <x:c r="D59" s="12" t="str">
        <x:v>Sản xuất nội dung</x:v>
      </x:c>
      <x:c r="E59" s="12" t="str">
        <x:v>Đơn vị Livestream MediaPro</x:v>
      </x:c>
      <x:c r="F59" s="12" t="str">
        <x:v>Thanh toán sản xuất video - đợt 58</x:v>
      </x:c>
      <x:c r="G59" s="14" t="n">
        <x:v>3000000</x:v>
      </x:c>
      <x:c r="H59" s="14" t="n">
        <x:f>G59*10%</x:f>
        <x:v>300000</x:v>
      </x:c>
      <x:c r="I59" s="14" t="n">
        <x:f>G59+H59</x:f>
        <x:v>3300000</x:v>
      </x:c>
      <x:c r="J59" s="12" t="str">
        <x:v>Cần bổ sung chứng từ</x:v>
      </x:c>
      <x:c r="K59" s="12" t="str">
        <x:v>Nguyễn Minh Anh</x:v>
      </x:c>
      <x:c r="L59" s="12" t="str">
        <x:v>DT-MKT-2026-037</x:v>
      </x:c>
    </x:row>
    <x:row r="60">
      <x:c r="A60" s="12" t="str">
        <x:v>DN-MKT-2026-059</x:v>
      </x:c>
      <x:c r="B60" s="20" t="n">
        <x:v>46340</x:v>
      </x:c>
      <x:c r="C60" s="12" t="str">
        <x:v>Q4</x:v>
      </x:c>
      <x:c r="D60" s="12" t="str">
        <x:v>Digital Marketing</x:v>
      </x:c>
      <x:c r="E60" s="12" t="str">
        <x:v>Production House Lotus</x:v>
      </x:c>
      <x:c r="F60" s="12" t="str">
        <x:v>Thanh toán in ấn posm - đợt 59</x:v>
      </x:c>
      <x:c r="G60" s="14" t="n">
        <x:v>3000000</x:v>
      </x:c>
      <x:c r="H60" s="14" t="n">
        <x:f>G60*10%</x:f>
        <x:v>300000</x:v>
      </x:c>
      <x:c r="I60" s="14" t="n">
        <x:f>G60+H60</x:f>
        <x:v>3300000</x:v>
      </x:c>
      <x:c r="J60" s="12" t="str">
        <x:v>Đã duyệt</x:v>
      </x:c>
      <x:c r="K60" s="12" t="str">
        <x:v>Phạm Quang Huy</x:v>
      </x:c>
      <x:c r="L60" s="12" t="str">
        <x:v>DT-MKT-2026-108</x:v>
      </x:c>
    </x:row>
    <x:row r="61">
      <x:c r="A61" s="12" t="str">
        <x:v>DN-MKT-2026-060</x:v>
      </x:c>
      <x:c r="B61" s="20" t="n">
        <x:v>46377</x:v>
      </x:c>
      <x:c r="C61" s="12" t="str">
        <x:v>Q4</x:v>
      </x:c>
      <x:c r="D61" s="12" t="str">
        <x:v>Website &amp; SEO</x:v>
      </x:c>
      <x:c r="E61" s="12" t="str">
        <x:v>Công ty EventPlus</x:v>
      </x:c>
      <x:c r="F61" s="12" t="str">
        <x:v>Thanh toán tổ chức sự kiện - đợt 60</x:v>
      </x:c>
      <x:c r="G61" s="14" t="n">
        <x:v>50000000</x:v>
      </x:c>
      <x:c r="H61" s="14" t="n">
        <x:f>G61*10%</x:f>
        <x:v>5000000</x:v>
      </x:c>
      <x:c r="I61" s="14" t="n">
        <x:f>G61+H61</x:f>
        <x:v>55000000</x:v>
      </x:c>
      <x:c r="J61" s="12" t="str">
        <x:v>Chờ duyệt</x:v>
      </x:c>
      <x:c r="K61" s="12" t="str">
        <x:v>Lê Thu Hà</x:v>
      </x:c>
      <x:c r="L61" s="12" t="str">
        <x:v>DT-MKT-2026-146</x:v>
      </x:c>
    </x:row>
    <x:row r="62">
      <x:c r="A62" s="12" t="str">
        <x:v>DN-MKT-2026-061</x:v>
      </x:c>
      <x:c r="B62" s="20" t="n">
        <x:v>46025</x:v>
      </x:c>
      <x:c r="C62" s="12" t="str">
        <x:v>Q1</x:v>
      </x:c>
      <x:c r="D62" s="12" t="str">
        <x:v>Digital Marketing</x:v>
      </x:c>
      <x:c r="E62" s="12" t="str">
        <x:v>Công ty Quà tặng Việt</x:v>
      </x:c>
      <x:c r="F62" s="12" t="str">
        <x:v>Thanh toán facebook/tiktok ads - đợt 61</x:v>
      </x:c>
      <x:c r="G62" s="14" t="n">
        <x:v>120000000</x:v>
      </x:c>
      <x:c r="H62" s="14" t="n">
        <x:f>G62*10%</x:f>
        <x:v>12000000</x:v>
      </x:c>
      <x:c r="I62" s="14" t="n">
        <x:f>G62+H62</x:f>
        <x:v>132000000</x:v>
      </x:c>
      <x:c r="J62" s="12" t="str">
        <x:v>Đã duyệt</x:v>
      </x:c>
      <x:c r="K62" s="12" t="str">
        <x:v>Trần Hoàng Nam</x:v>
      </x:c>
      <x:c r="L62" s="12" t="str">
        <x:v>DT-MKT-2026-013</x:v>
      </x:c>
    </x:row>
    <x:row r="63">
      <x:c r="A63" s="12" t="str">
        <x:v>DN-MKT-2026-062</x:v>
      </x:c>
      <x:c r="B63" s="20" t="n">
        <x:v>46063</x:v>
      </x:c>
      <x:c r="C63" s="12" t="str">
        <x:v>Q1</x:v>
      </x:c>
      <x:c r="D63" s="12" t="str">
        <x:v>Sự kiện truyền thông</x:v>
      </x:c>
      <x:c r="E63" s="12" t="str">
        <x:v>KOL Network Vietnam</x:v>
      </x:c>
      <x:c r="F63" s="12" t="str">
        <x:v>Thanh toán seo content - đợt 62</x:v>
      </x:c>
      <x:c r="G63" s="14" t="n">
        <x:v>5000000</x:v>
      </x:c>
      <x:c r="H63" s="14" t="n">
        <x:f>G63*10%</x:f>
        <x:v>500000</x:v>
      </x:c>
      <x:c r="I63" s="14" t="n">
        <x:f>G63+H63</x:f>
        <x:v>5500000</x:v>
      </x:c>
      <x:c r="J63" s="12" t="str">
        <x:v>Cần bổ sung chứng từ</x:v>
      </x:c>
      <x:c r="K63" s="12" t="str">
        <x:v>Phạm Quang Huy</x:v>
      </x:c>
      <x:c r="L63" s="12" t="str">
        <x:v>DT-MKT-2026-114</x:v>
      </x:c>
    </x:row>
    <x:row r="64">
      <x:c r="A64" s="12" t="str">
        <x:v>DN-MKT-2026-063</x:v>
      </x:c>
      <x:c r="B64" s="20" t="n">
        <x:v>46098</x:v>
      </x:c>
      <x:c r="C64" s="12" t="str">
        <x:v>Q1</x:v>
      </x:c>
      <x:c r="D64" s="12" t="str">
        <x:v>Sự kiện truyền thông</x:v>
      </x:c>
      <x:c r="E64" s="12" t="str">
        <x:v>Agency Truyền thông ABC</x:v>
      </x:c>
      <x:c r="F64" s="12" t="str">
        <x:v>Thanh toán email automation - đợt 63</x:v>
      </x:c>
      <x:c r="G64" s="14" t="n">
        <x:v>30000000</x:v>
      </x:c>
      <x:c r="H64" s="14" t="n">
        <x:f>G64*10%</x:f>
        <x:v>3000000</x:v>
      </x:c>
      <x:c r="I64" s="14" t="n">
        <x:f>G64+H64</x:f>
        <x:v>33000000</x:v>
      </x:c>
      <x:c r="J64" s="12" t="str">
        <x:v>Đã thanh toán</x:v>
      </x:c>
      <x:c r="K64" s="12" t="str">
        <x:v>Lê Thu Hà</x:v>
      </x:c>
      <x:c r="L64" s="12" t="str">
        <x:v>DT-MKT-2026-111</x:v>
      </x:c>
    </x:row>
    <x:row r="65">
      <x:c r="A65" s="12" t="str">
        <x:v>DN-MKT-2026-064</x:v>
      </x:c>
      <x:c r="B65" s="20" t="n">
        <x:v>46136</x:v>
      </x:c>
      <x:c r="C65" s="12" t="str">
        <x:v>Q2</x:v>
      </x:c>
      <x:c r="D65" s="12" t="str">
        <x:v>Sự kiện truyền thông</x:v>
      </x:c>
      <x:c r="E65" s="12" t="str">
        <x:v>Công ty Nghiên cứu MarketInsight</x:v>
      </x:c>
      <x:c r="F65" s="12" t="str">
        <x:v>Thanh toán seo content - đợt 64</x:v>
      </x:c>
      <x:c r="G65" s="14" t="n">
        <x:v>5000000</x:v>
      </x:c>
      <x:c r="H65" s="14" t="n">
        <x:f>G65*10%</x:f>
        <x:v>500000</x:v>
      </x:c>
      <x:c r="I65" s="14" t="n">
        <x:f>G65+H65</x:f>
        <x:v>5500000</x:v>
      </x:c>
      <x:c r="J65" s="12" t="str">
        <x:v>Cần bổ sung chứng từ</x:v>
      </x:c>
      <x:c r="K65" s="12" t="str">
        <x:v>Đỗ Mai Linh</x:v>
      </x:c>
      <x:c r="L65" s="12" t="str">
        <x:v>DT-MKT-2026-079</x:v>
      </x:c>
    </x:row>
    <x:row r="66">
      <x:c r="A66" s="12" t="str">
        <x:v>DN-MKT-2026-065</x:v>
      </x:c>
      <x:c r="B66" s="20" t="n">
        <x:v>46148</x:v>
      </x:c>
      <x:c r="C66" s="12" t="str">
        <x:v>Q2</x:v>
      </x:c>
      <x:c r="D66" s="12" t="str">
        <x:v>Quan hệ báo chí</x:v>
      </x:c>
      <x:c r="E66" s="12" t="str">
        <x:v>Báo điện tử Giáo dục</x:v>
      </x:c>
      <x:c r="F66" s="12" t="str">
        <x:v>Thanh toán chụp ảnh - đợt 65</x:v>
      </x:c>
      <x:c r="G66" s="14" t="n">
        <x:v>3000000</x:v>
      </x:c>
      <x:c r="H66" s="14" t="n">
        <x:f>G66*10%</x:f>
        <x:v>300000</x:v>
      </x:c>
      <x:c r="I66" s="14" t="n">
        <x:f>G66+H66</x:f>
        <x:v>3300000</x:v>
      </x:c>
      <x:c r="J66" s="12" t="str">
        <x:v>Đã thanh toán</x:v>
      </x:c>
      <x:c r="K66" s="12" t="str">
        <x:v>Nguyễn Minh Anh</x:v>
      </x:c>
      <x:c r="L66" s="12" t="str">
        <x:v>DT-MKT-2026-053</x:v>
      </x:c>
    </x:row>
    <x:row r="67">
      <x:c r="A67" s="12" t="str">
        <x:v>DN-MKT-2026-066</x:v>
      </x:c>
      <x:c r="B67" s="20" t="n">
        <x:v>46186</x:v>
      </x:c>
      <x:c r="C67" s="12" t="str">
        <x:v>Q2</x:v>
      </x:c>
      <x:c r="D67" s="12" t="str">
        <x:v>Quan hệ báo chí</x:v>
      </x:c>
      <x:c r="E67" s="12" t="str">
        <x:v>Công ty Thiết kế BrandLab</x:v>
      </x:c>
      <x:c r="F67" s="12" t="str">
        <x:v>Thanh toán sản xuất video - đợt 66</x:v>
      </x:c>
      <x:c r="G67" s="14" t="n">
        <x:v>15000000</x:v>
      </x:c>
      <x:c r="H67" s="14" t="n">
        <x:f>G67*10%</x:f>
        <x:v>1500000</x:v>
      </x:c>
      <x:c r="I67" s="14" t="n">
        <x:f>G67+H67</x:f>
        <x:v>16500000</x:v>
      </x:c>
      <x:c r="J67" s="12" t="str">
        <x:v>Chờ duyệt</x:v>
      </x:c>
      <x:c r="K67" s="12" t="str">
        <x:v>Lê Thu Hà</x:v>
      </x:c>
      <x:c r="L67" s="12" t="str">
        <x:v>DT-MKT-2026-084</x:v>
      </x:c>
    </x:row>
    <x:row r="68">
      <x:c r="A68" s="12" t="str">
        <x:v>DN-MKT-2026-067</x:v>
      </x:c>
      <x:c r="B68" s="20" t="n">
        <x:v>46223</x:v>
      </x:c>
      <x:c r="C68" s="12" t="str">
        <x:v>Q3</x:v>
      </x:c>
      <x:c r="D68" s="12" t="str">
        <x:v>Tuyển sinh &amp; truyền thông thương hiệu</x:v>
      </x:c>
      <x:c r="E68" s="12" t="str">
        <x:v>KOL Network Vietnam</x:v>
      </x:c>
      <x:c r="F68" s="12" t="str">
        <x:v>Thanh toán livestream - đợt 67</x:v>
      </x:c>
      <x:c r="G68" s="14" t="n">
        <x:v>5000000</x:v>
      </x:c>
      <x:c r="H68" s="14" t="n">
        <x:f>G68*10%</x:f>
        <x:v>500000</x:v>
      </x:c>
      <x:c r="I68" s="14" t="n">
        <x:f>G68+H68</x:f>
        <x:v>5500000</x:v>
      </x:c>
      <x:c r="J68" s="12" t="str">
        <x:v>Cần bổ sung chứng từ</x:v>
      </x:c>
      <x:c r="K68" s="12" t="str">
        <x:v>Trần Hoàng Nam</x:v>
      </x:c>
      <x:c r="L68" s="12" t="str">
        <x:v>DT-MKT-2026-034</x:v>
      </x:c>
    </x:row>
    <x:row r="69">
      <x:c r="A69" s="12" t="str">
        <x:v>DN-MKT-2026-068</x:v>
      </x:c>
      <x:c r="B69" s="20" t="n">
        <x:v>46236</x:v>
      </x:c>
      <x:c r="C69" s="12" t="str">
        <x:v>Q3</x:v>
      </x:c>
      <x:c r="D69" s="12" t="str">
        <x:v>Email Marketing</x:v>
      </x:c>
      <x:c r="E69" s="12" t="str">
        <x:v>Production House Lotus</x:v>
      </x:c>
      <x:c r="F69" s="12" t="str">
        <x:v>Thanh toán thiết kế ấn phẩm - đợt 68</x:v>
      </x:c>
      <x:c r="G69" s="14" t="n">
        <x:v>30000000</x:v>
      </x:c>
      <x:c r="H69" s="14" t="n">
        <x:f>G69*10%</x:f>
        <x:v>3000000</x:v>
      </x:c>
      <x:c r="I69" s="14" t="n">
        <x:f>G69+H69</x:f>
        <x:v>33000000</x:v>
      </x:c>
      <x:c r="J69" s="12" t="str">
        <x:v>Chờ duyệt</x:v>
      </x:c>
      <x:c r="K69" s="12" t="str">
        <x:v>Nguyễn Minh Anh</x:v>
      </x:c>
      <x:c r="L69" s="12" t="str">
        <x:v>DT-MKT-2026-102</x:v>
      </x:c>
    </x:row>
    <x:row r="70">
      <x:c r="A70" s="12" t="str">
        <x:v>DN-MKT-2026-069</x:v>
      </x:c>
      <x:c r="B70" s="20" t="n">
        <x:v>46274</x:v>
      </x:c>
      <x:c r="C70" s="12" t="str">
        <x:v>Q3</x:v>
      </x:c>
      <x:c r="D70" s="12" t="str">
        <x:v>Social Media</x:v>
      </x:c>
      <x:c r="E70" s="12" t="str">
        <x:v>Meta Việt Nam</x:v>
      </x:c>
      <x:c r="F70" s="12" t="str">
        <x:v>Thanh toán phần mềm marketing - đợt 69</x:v>
      </x:c>
      <x:c r="G70" s="14" t="n">
        <x:v>3000000</x:v>
      </x:c>
      <x:c r="H70" s="14" t="n">
        <x:f>G70*10%</x:f>
        <x:v>300000</x:v>
      </x:c>
      <x:c r="I70" s="14" t="n">
        <x:f>G70+H70</x:f>
        <x:v>3300000</x:v>
      </x:c>
      <x:c r="J70" s="12" t="str">
        <x:v>Đã thanh toán</x:v>
      </x:c>
      <x:c r="K70" s="12" t="str">
        <x:v>Lê Thu Hà</x:v>
      </x:c>
      <x:c r="L70" s="12" t="str">
        <x:v>DT-MKT-2026-148</x:v>
      </x:c>
    </x:row>
    <x:row r="71">
      <x:c r="A71" s="12" t="str">
        <x:v>DN-MKT-2026-070</x:v>
      </x:c>
      <x:c r="B71" s="20" t="n">
        <x:v>46311</x:v>
      </x:c>
      <x:c r="C71" s="12" t="str">
        <x:v>Q4</x:v>
      </x:c>
      <x:c r="D71" s="12" t="str">
        <x:v>Nghiên cứu thị trường</x:v>
      </x:c>
      <x:c r="E71" s="12" t="str">
        <x:v>Báo điện tử Giáo dục</x:v>
      </x:c>
      <x:c r="F71" s="12" t="str">
        <x:v>Thanh toán livestream - đợt 70</x:v>
      </x:c>
      <x:c r="G71" s="14" t="n">
        <x:v>30000000</x:v>
      </x:c>
      <x:c r="H71" s="14" t="n">
        <x:f>G71*10%</x:f>
        <x:v>3000000</x:v>
      </x:c>
      <x:c r="I71" s="14" t="n">
        <x:f>G71+H71</x:f>
        <x:v>33000000</x:v>
      </x:c>
      <x:c r="J71" s="12" t="str">
        <x:v>Cần bổ sung chứng từ</x:v>
      </x:c>
      <x:c r="K71" s="12" t="str">
        <x:v>Lê Thu Hà</x:v>
      </x:c>
      <x:c r="L71" s="12" t="str">
        <x:v>DT-MKT-2026-030</x:v>
      </x:c>
    </x:row>
    <x:row r="72">
      <x:c r="A72" s="12" t="str">
        <x:v>DN-MKT-2026-071</x:v>
      </x:c>
      <x:c r="B72" s="20" t="n">
        <x:v>46349</x:v>
      </x:c>
      <x:c r="C72" s="12" t="str">
        <x:v>Q4</x:v>
      </x:c>
      <x:c r="D72" s="12" t="str">
        <x:v>Tuyển sinh &amp; truyền thông thương hiệu</x:v>
      </x:c>
      <x:c r="E72" s="12" t="str">
        <x:v>Công ty In Ấn Minh Phát</x:v>
      </x:c>
      <x:c r="F72" s="12" t="str">
        <x:v>Thanh toán sản xuất video - đợt 71</x:v>
      </x:c>
      <x:c r="G72" s="14" t="n">
        <x:v>30000000</x:v>
      </x:c>
      <x:c r="H72" s="14" t="n">
        <x:f>G72*10%</x:f>
        <x:v>3000000</x:v>
      </x:c>
      <x:c r="I72" s="14" t="n">
        <x:f>G72+H72</x:f>
        <x:v>33000000</x:v>
      </x:c>
      <x:c r="J72" s="12" t="str">
        <x:v>Cần bổ sung chứng từ</x:v>
      </x:c>
      <x:c r="K72" s="12" t="str">
        <x:v>Lê Thu Hà</x:v>
      </x:c>
      <x:c r="L72" s="12" t="str">
        <x:v>DT-MKT-2026-023</x:v>
      </x:c>
    </x:row>
    <x:row r="73">
      <x:c r="A73" s="12" t="str">
        <x:v>DN-MKT-2026-072</x:v>
      </x:c>
      <x:c r="B73" s="20" t="n">
        <x:v>46361</x:v>
      </x:c>
      <x:c r="C73" s="12" t="str">
        <x:v>Q4</x:v>
      </x:c>
      <x:c r="D73" s="12" t="str">
        <x:v>Digital Marketing</x:v>
      </x:c>
      <x:c r="E73" s="12" t="str">
        <x:v>Agency Truyền thông ABC</x:v>
      </x:c>
      <x:c r="F73" s="12" t="str">
        <x:v>Thanh toán kol/influencer - đợt 72</x:v>
      </x:c>
      <x:c r="G73" s="14" t="n">
        <x:v>30000000</x:v>
      </x:c>
      <x:c r="H73" s="14" t="n">
        <x:f>G73*10%</x:f>
        <x:v>3000000</x:v>
      </x:c>
      <x:c r="I73" s="14" t="n">
        <x:f>G73+H73</x:f>
        <x:v>33000000</x:v>
      </x:c>
      <x:c r="J73" s="12" t="str">
        <x:v>Cần bổ sung chứng từ</x:v>
      </x:c>
      <x:c r="K73" s="12" t="str">
        <x:v>Đỗ Mai Linh</x:v>
      </x:c>
      <x:c r="L73" s="12" t="str">
        <x:v>DT-MKT-2026-021</x:v>
      </x:c>
    </x:row>
    <x:row r="74">
      <x:c r="A74" s="12" t="str">
        <x:v>DN-MKT-2026-073</x:v>
      </x:c>
      <x:c r="B74" s="20" t="n">
        <x:v>46034</x:v>
      </x:c>
      <x:c r="C74" s="12" t="str">
        <x:v>Q1</x:v>
      </x:c>
      <x:c r="D74" s="12" t="str">
        <x:v>Sự kiện truyền thông</x:v>
      </x:c>
      <x:c r="E74" s="12" t="str">
        <x:v>Production House Lotus</x:v>
      </x:c>
      <x:c r="F74" s="12" t="str">
        <x:v>Thanh toán tổ chức sự kiện - đợt 73</x:v>
      </x:c>
      <x:c r="G74" s="14" t="n">
        <x:v>30000000</x:v>
      </x:c>
      <x:c r="H74" s="14" t="n">
        <x:f>G74*10%</x:f>
        <x:v>3000000</x:v>
      </x:c>
      <x:c r="I74" s="14" t="n">
        <x:f>G74+H74</x:f>
        <x:v>33000000</x:v>
      </x:c>
      <x:c r="J74" s="12" t="str">
        <x:v>Đã duyệt</x:v>
      </x:c>
      <x:c r="K74" s="12" t="str">
        <x:v>Lê Thu Hà</x:v>
      </x:c>
      <x:c r="L74" s="12" t="str">
        <x:v>DT-MKT-2026-044</x:v>
      </x:c>
    </x:row>
    <x:row r="75">
      <x:c r="A75" s="12" t="str">
        <x:v>DN-MKT-2026-074</x:v>
      </x:c>
      <x:c r="B75" s="20" t="n">
        <x:v>46072</x:v>
      </x:c>
      <x:c r="C75" s="12" t="str">
        <x:v>Q1</x:v>
      </x:c>
      <x:c r="D75" s="12" t="str">
        <x:v>Email Marketing</x:v>
      </x:c>
      <x:c r="E75" s="12" t="str">
        <x:v>Công ty Nghiên cứu MarketInsight</x:v>
      </x:c>
      <x:c r="F75" s="12" t="str">
        <x:v>Thanh toán google ads - đợt 74</x:v>
      </x:c>
      <x:c r="G75" s="14" t="n">
        <x:v>5000000</x:v>
      </x:c>
      <x:c r="H75" s="14" t="n">
        <x:f>G75*10%</x:f>
        <x:v>500000</x:v>
      </x:c>
      <x:c r="I75" s="14" t="n">
        <x:f>G75+H75</x:f>
        <x:v>5500000</x:v>
      </x:c>
      <x:c r="J75" s="12" t="str">
        <x:v>Đã duyệt</x:v>
      </x:c>
      <x:c r="K75" s="12" t="str">
        <x:v>Lê Thu Hà</x:v>
      </x:c>
      <x:c r="L75" s="12" t="str">
        <x:v>DT-MKT-2026-090</x:v>
      </x:c>
    </x:row>
    <x:row r="76">
      <x:c r="A76" s="12" t="str">
        <x:v>DN-MKT-2026-075</x:v>
      </x:c>
      <x:c r="B76" s="20" t="n">
        <x:v>46082</x:v>
      </x:c>
      <x:c r="C76" s="12" t="str">
        <x:v>Q1</x:v>
      </x:c>
      <x:c r="D76" s="12" t="str">
        <x:v>Quan hệ báo chí</x:v>
      </x:c>
      <x:c r="E76" s="12" t="str">
        <x:v>Google Asia Pacific</x:v>
      </x:c>
      <x:c r="F76" s="12" t="str">
        <x:v>Thanh toán sản xuất video - đợt 75</x:v>
      </x:c>
      <x:c r="G76" s="14" t="n">
        <x:v>8000000</x:v>
      </x:c>
      <x:c r="H76" s="14" t="n">
        <x:f>G76*10%</x:f>
        <x:v>800000</x:v>
      </x:c>
      <x:c r="I76" s="14" t="n">
        <x:f>G76+H76</x:f>
        <x:v>8800000</x:v>
      </x:c>
      <x:c r="J76" s="12" t="str">
        <x:v>Chờ duyệt</x:v>
      </x:c>
      <x:c r="K76" s="12" t="str">
        <x:v>Trần Hoàng Nam</x:v>
      </x:c>
      <x:c r="L76" s="12" t="str">
        <x:v>DT-MKT-2026-045</x:v>
      </x:c>
    </x:row>
    <x:row r="77">
      <x:c r="A77" s="12" t="str">
        <x:v>DN-MKT-2026-076</x:v>
      </x:c>
      <x:c r="B77" s="20" t="n">
        <x:v>46120</x:v>
      </x:c>
      <x:c r="C77" s="12" t="str">
        <x:v>Q2</x:v>
      </x:c>
      <x:c r="D77" s="12" t="str">
        <x:v>Sản xuất nội dung</x:v>
      </x:c>
      <x:c r="E77" s="12" t="str">
        <x:v>Công ty Thiết kế BrandLab</x:v>
      </x:c>
      <x:c r="F77" s="12" t="str">
        <x:v>Thanh toán email automation - đợt 76</x:v>
      </x:c>
      <x:c r="G77" s="14" t="n">
        <x:v>120000000</x:v>
      </x:c>
      <x:c r="H77" s="14" t="n">
        <x:f>G77*10%</x:f>
        <x:v>12000000</x:v>
      </x:c>
      <x:c r="I77" s="14" t="n">
        <x:f>G77+H77</x:f>
        <x:v>132000000</x:v>
      </x:c>
      <x:c r="J77" s="12" t="str">
        <x:v>Đã thanh toán</x:v>
      </x:c>
      <x:c r="K77" s="12" t="str">
        <x:v>Trần Hoàng Nam</x:v>
      </x:c>
      <x:c r="L77" s="12" t="str">
        <x:v>DT-MKT-2026-127</x:v>
      </x:c>
    </x:row>
    <x:row r="78">
      <x:c r="A78" s="12" t="str">
        <x:v>DN-MKT-2026-077</x:v>
      </x:c>
      <x:c r="B78" s="20" t="n">
        <x:v>46157</x:v>
      </x:c>
      <x:c r="C78" s="12" t="str">
        <x:v>Q2</x:v>
      </x:c>
      <x:c r="D78" s="12" t="str">
        <x:v>Nghiên cứu thị trường</x:v>
      </x:c>
      <x:c r="E78" s="12" t="str">
        <x:v>Công ty Thiết kế BrandLab</x:v>
      </x:c>
      <x:c r="F78" s="12" t="str">
        <x:v>Thanh toán chụp ảnh - đợt 77</x:v>
      </x:c>
      <x:c r="G78" s="14" t="n">
        <x:v>50000000</x:v>
      </x:c>
      <x:c r="H78" s="14" t="n">
        <x:f>G78*10%</x:f>
        <x:v>5000000</x:v>
      </x:c>
      <x:c r="I78" s="14" t="n">
        <x:f>G78+H78</x:f>
        <x:v>55000000</x:v>
      </x:c>
      <x:c r="J78" s="12" t="str">
        <x:v>Cần bổ sung chứng từ</x:v>
      </x:c>
      <x:c r="K78" s="12" t="str">
        <x:v>Đỗ Mai Linh</x:v>
      </x:c>
      <x:c r="L78" s="12" t="str">
        <x:v>DT-MKT-2026-083</x:v>
      </x:c>
    </x:row>
    <x:row r="79">
      <x:c r="A79" s="12" t="str">
        <x:v>DN-MKT-2026-078</x:v>
      </x:c>
      <x:c r="B79" s="20" t="n">
        <x:v>46195</x:v>
      </x:c>
      <x:c r="C79" s="12" t="str">
        <x:v>Q2</x:v>
      </x:c>
      <x:c r="D79" s="12" t="str">
        <x:v>Sản xuất nội dung</x:v>
      </x:c>
      <x:c r="E79" s="12" t="str">
        <x:v>KOL Network Vietnam</x:v>
      </x:c>
      <x:c r="F79" s="12" t="str">
        <x:v>Thanh toán google ads - đợt 78</x:v>
      </x:c>
      <x:c r="G79" s="14" t="n">
        <x:v>20000000</x:v>
      </x:c>
      <x:c r="H79" s="14" t="n">
        <x:f>G79*10%</x:f>
        <x:v>2000000</x:v>
      </x:c>
      <x:c r="I79" s="14" t="n">
        <x:f>G79+H79</x:f>
        <x:v>22000000</x:v>
      </x:c>
      <x:c r="J79" s="12" t="str">
        <x:v>Cần bổ sung chứng từ</x:v>
      </x:c>
      <x:c r="K79" s="12" t="str">
        <x:v>Phạm Quang Huy</x:v>
      </x:c>
      <x:c r="L79" s="12" t="str">
        <x:v>DT-MKT-2026-078</x:v>
      </x:c>
    </x:row>
    <x:row r="80">
      <x:c r="A80" s="12" t="str">
        <x:v>DN-MKT-2026-079</x:v>
      </x:c>
      <x:c r="B80" s="20" t="n">
        <x:v>46207</x:v>
      </x:c>
      <x:c r="C80" s="12" t="str">
        <x:v>Q3</x:v>
      </x:c>
      <x:c r="D80" s="12" t="str">
        <x:v>Nghiên cứu thị trường</x:v>
      </x:c>
      <x:c r="E80" s="12" t="str">
        <x:v>Meta Việt Nam</x:v>
      </x:c>
      <x:c r="F80" s="12" t="str">
        <x:v>Thanh toán tổ chức sự kiện - đợt 79</x:v>
      </x:c>
      <x:c r="G80" s="14" t="n">
        <x:v>15000000</x:v>
      </x:c>
      <x:c r="H80" s="14" t="n">
        <x:f>G80*10%</x:f>
        <x:v>1500000</x:v>
      </x:c>
      <x:c r="I80" s="14" t="n">
        <x:f>G80+H80</x:f>
        <x:v>16500000</x:v>
      </x:c>
      <x:c r="J80" s="12" t="str">
        <x:v>Đã thanh toán</x:v>
      </x:c>
      <x:c r="K80" s="12" t="str">
        <x:v>Lê Thu Hà</x:v>
      </x:c>
      <x:c r="L80" s="12" t="str">
        <x:v>DT-MKT-2026-119</x:v>
      </x:c>
    </x:row>
    <x:row r="81">
      <x:c r="A81" s="12" t="str">
        <x:v>DN-MKT-2026-080</x:v>
      </x:c>
      <x:c r="B81" s="20" t="n">
        <x:v>46245</x:v>
      </x:c>
      <x:c r="C81" s="12" t="str">
        <x:v>Q3</x:v>
      </x:c>
      <x:c r="D81" s="12" t="str">
        <x:v>Tuyển sinh &amp; truyền thông thương hiệu</x:v>
      </x:c>
      <x:c r="E81" s="12" t="str">
        <x:v>Meta Việt Nam</x:v>
      </x:c>
      <x:c r="F81" s="12" t="str">
        <x:v>Thanh toán tổ chức sự kiện - đợt 80</x:v>
      </x:c>
      <x:c r="G81" s="14" t="n">
        <x:v>50000000</x:v>
      </x:c>
      <x:c r="H81" s="14" t="n">
        <x:f>G81*10%</x:f>
        <x:v>5000000</x:v>
      </x:c>
      <x:c r="I81" s="14" t="n">
        <x:f>G81+H81</x:f>
        <x:v>55000000</x:v>
      </x:c>
      <x:c r="J81" s="12" t="str">
        <x:v>Chờ duyệt</x:v>
      </x:c>
      <x:c r="K81" s="12" t="str">
        <x:v>Nguyễn Minh Anh</x:v>
      </x:c>
      <x:c r="L81" s="12" t="str">
        <x:v>DT-MKT-2026-024</x:v>
      </x:c>
    </x:row>
    <x:row r="82">
      <x:c r="A82" s="12" t="str">
        <x:v>DN-MKT-2026-081</x:v>
      </x:c>
      <x:c r="B82" s="20" t="n">
        <x:v>46283</x:v>
      </x:c>
      <x:c r="C82" s="12" t="str">
        <x:v>Q3</x:v>
      </x:c>
      <x:c r="D82" s="12" t="str">
        <x:v>Nghiên cứu thị trường</x:v>
      </x:c>
      <x:c r="E82" s="12" t="str">
        <x:v>Công ty SEO Pro</x:v>
      </x:c>
      <x:c r="F82" s="12" t="str">
        <x:v>Thanh toán kol/influencer - đợt 81</x:v>
      </x:c>
      <x:c r="G82" s="14" t="n">
        <x:v>120000000</x:v>
      </x:c>
      <x:c r="H82" s="14" t="n">
        <x:f>G82*10%</x:f>
        <x:v>12000000</x:v>
      </x:c>
      <x:c r="I82" s="14" t="n">
        <x:f>G82+H82</x:f>
        <x:v>132000000</x:v>
      </x:c>
      <x:c r="J82" s="12" t="str">
        <x:v>Cần bổ sung chứng từ</x:v>
      </x:c>
      <x:c r="K82" s="12" t="str">
        <x:v>Đỗ Mai Linh</x:v>
      </x:c>
      <x:c r="L82" s="12" t="str">
        <x:v>DT-MKT-2026-142</x:v>
      </x:c>
    </x:row>
    <x:row r="83">
      <x:c r="A83" s="12" t="str">
        <x:v>DN-MKT-2026-082</x:v>
      </x:c>
      <x:c r="B83" s="20" t="n">
        <x:v>46320</x:v>
      </x:c>
      <x:c r="C83" s="12" t="str">
        <x:v>Q4</x:v>
      </x:c>
      <x:c r="D83" s="12" t="str">
        <x:v>Video/Photo Production</x:v>
      </x:c>
      <x:c r="E83" s="12" t="str">
        <x:v>Công ty Quà tặng Việt</x:v>
      </x:c>
      <x:c r="F83" s="12" t="str">
        <x:v>Thanh toán email automation - đợt 82</x:v>
      </x:c>
      <x:c r="G83" s="14" t="n">
        <x:v>3000000</x:v>
      </x:c>
      <x:c r="H83" s="14" t="n">
        <x:f>G83*10%</x:f>
        <x:v>300000</x:v>
      </x:c>
      <x:c r="I83" s="14" t="n">
        <x:f>G83+H83</x:f>
        <x:v>3300000</x:v>
      </x:c>
      <x:c r="J83" s="12" t="str">
        <x:v>Đã duyệt</x:v>
      </x:c>
      <x:c r="K83" s="12" t="str">
        <x:v>Lê Thu Hà</x:v>
      </x:c>
      <x:c r="L83" s="12" t="str">
        <x:v>DT-MKT-2026-122</x:v>
      </x:c>
    </x:row>
    <x:row r="84">
      <x:c r="A84" s="12" t="str">
        <x:v>DN-MKT-2026-083</x:v>
      </x:c>
      <x:c r="B84" s="20" t="n">
        <x:v>46333</x:v>
      </x:c>
      <x:c r="C84" s="12" t="str">
        <x:v>Q4</x:v>
      </x:c>
      <x:c r="D84" s="12" t="str">
        <x:v>Sản xuất nội dung</x:v>
      </x:c>
      <x:c r="E84" s="12" t="str">
        <x:v>Meta Việt Nam</x:v>
      </x:c>
      <x:c r="F84" s="12" t="str">
        <x:v>Thanh toán phần mềm marketing - đợt 83</x:v>
      </x:c>
      <x:c r="G84" s="14" t="n">
        <x:v>80000000</x:v>
      </x:c>
      <x:c r="H84" s="14" t="n">
        <x:f>G84*10%</x:f>
        <x:v>8000000</x:v>
      </x:c>
      <x:c r="I84" s="14" t="n">
        <x:f>G84+H84</x:f>
        <x:v>88000000</x:v>
      </x:c>
      <x:c r="J84" s="12" t="str">
        <x:v>Đã thanh toán</x:v>
      </x:c>
      <x:c r="K84" s="12" t="str">
        <x:v>Lê Thu Hà</x:v>
      </x:c>
      <x:c r="L84" s="12" t="str">
        <x:v>DT-MKT-2026-022</x:v>
      </x:c>
    </x:row>
    <x:row r="85">
      <x:c r="A85" s="12" t="str">
        <x:v>DN-MKT-2026-084</x:v>
      </x:c>
      <x:c r="B85" s="20" t="n">
        <x:v>46370</x:v>
      </x:c>
      <x:c r="C85" s="12" t="str">
        <x:v>Q4</x:v>
      </x:c>
      <x:c r="D85" s="12" t="str">
        <x:v>Quản trị thương hiệu</x:v>
      </x:c>
      <x:c r="E85" s="12" t="str">
        <x:v>Công ty EventPlus</x:v>
      </x:c>
      <x:c r="F85" s="12" t="str">
        <x:v>Thanh toán facebook/tiktok ads - đợt 84</x:v>
      </x:c>
      <x:c r="G85" s="14" t="n">
        <x:v>80000000</x:v>
      </x:c>
      <x:c r="H85" s="14" t="n">
        <x:f>G85*10%</x:f>
        <x:v>8000000</x:v>
      </x:c>
      <x:c r="I85" s="14" t="n">
        <x:f>G85+H85</x:f>
        <x:v>88000000</x:v>
      </x:c>
      <x:c r="J85" s="12" t="str">
        <x:v>Đã duyệt</x:v>
      </x:c>
      <x:c r="K85" s="12" t="str">
        <x:v>Phạm Quang Huy</x:v>
      </x:c>
      <x:c r="L85" s="12" t="str">
        <x:v>DT-MKT-2026-113</x:v>
      </x:c>
    </x:row>
    <x:row r="86">
      <x:c r="A86" s="12" t="str">
        <x:v>DN-MKT-2026-085</x:v>
      </x:c>
      <x:c r="B86" s="20" t="n">
        <x:v>46043</x:v>
      </x:c>
      <x:c r="C86" s="12" t="str">
        <x:v>Q1</x:v>
      </x:c>
      <x:c r="D86" s="12" t="str">
        <x:v>Email Marketing</x:v>
      </x:c>
      <x:c r="E86" s="12" t="str">
        <x:v>Nền tảng EmailCloud</x:v>
      </x:c>
      <x:c r="F86" s="12" t="str">
        <x:v>Thanh toán sản xuất video - đợt 85</x:v>
      </x:c>
      <x:c r="G86" s="14" t="n">
        <x:v>80000000</x:v>
      </x:c>
      <x:c r="H86" s="14" t="n">
        <x:f>G86*10%</x:f>
        <x:v>8000000</x:v>
      </x:c>
      <x:c r="I86" s="14" t="n">
        <x:f>G86+H86</x:f>
        <x:v>88000000</x:v>
      </x:c>
      <x:c r="J86" s="12" t="str">
        <x:v>Chờ duyệt</x:v>
      </x:c>
      <x:c r="K86" s="12" t="str">
        <x:v>Lê Thu Hà</x:v>
      </x:c>
      <x:c r="L86" s="12" t="str">
        <x:v>DT-MKT-2026-073</x:v>
      </x:c>
    </x:row>
    <x:row r="87">
      <x:c r="A87" s="12" t="str">
        <x:v>DN-MKT-2026-086</x:v>
      </x:c>
      <x:c r="B87" s="20" t="n">
        <x:v>46056</x:v>
      </x:c>
      <x:c r="C87" s="12" t="str">
        <x:v>Q1</x:v>
      </x:c>
      <x:c r="D87" s="12" t="str">
        <x:v>Social Media</x:v>
      </x:c>
      <x:c r="E87" s="12" t="str">
        <x:v>Công ty Thiết kế BrandLab</x:v>
      </x:c>
      <x:c r="F87" s="12" t="str">
        <x:v>Thanh toán tổ chức sự kiện - đợt 86</x:v>
      </x:c>
      <x:c r="G87" s="14" t="n">
        <x:v>30000000</x:v>
      </x:c>
      <x:c r="H87" s="14" t="n">
        <x:f>G87*10%</x:f>
        <x:v>3000000</x:v>
      </x:c>
      <x:c r="I87" s="14" t="n">
        <x:f>G87+H87</x:f>
        <x:v>33000000</x:v>
      </x:c>
      <x:c r="J87" s="12" t="str">
        <x:v>Đã thanh toán</x:v>
      </x:c>
      <x:c r="K87" s="12" t="str">
        <x:v>Lê Thu Hà</x:v>
      </x:c>
      <x:c r="L87" s="12" t="str">
        <x:v>DT-MKT-2026-017</x:v>
      </x:c>
    </x:row>
    <x:row r="88">
      <x:c r="A88" s="12" t="str">
        <x:v>DN-MKT-2026-087</x:v>
      </x:c>
      <x:c r="B88" s="20" t="n">
        <x:v>46091</x:v>
      </x:c>
      <x:c r="C88" s="12" t="str">
        <x:v>Q1</x:v>
      </x:c>
      <x:c r="D88" s="12" t="str">
        <x:v>Digital Marketing</x:v>
      </x:c>
      <x:c r="E88" s="12" t="str">
        <x:v>Công ty SEO Pro</x:v>
      </x:c>
      <x:c r="F88" s="12" t="str">
        <x:v>Thanh toán seo content - đợt 87</x:v>
      </x:c>
      <x:c r="G88" s="14" t="n">
        <x:v>20000000</x:v>
      </x:c>
      <x:c r="H88" s="14" t="n">
        <x:f>G88*10%</x:f>
        <x:v>2000000</x:v>
      </x:c>
      <x:c r="I88" s="14" t="n">
        <x:f>G88+H88</x:f>
        <x:v>22000000</x:v>
      </x:c>
      <x:c r="J88" s="12" t="str">
        <x:v>Cần bổ sung chứng từ</x:v>
      </x:c>
      <x:c r="K88" s="12" t="str">
        <x:v>Lê Thu Hà</x:v>
      </x:c>
      <x:c r="L88" s="12" t="str">
        <x:v>DT-MKT-2026-065</x:v>
      </x:c>
    </x:row>
    <x:row r="89">
      <x:c r="A89" s="12" t="str">
        <x:v>DN-MKT-2026-088</x:v>
      </x:c>
      <x:c r="B89" s="20" t="n">
        <x:v>46129</x:v>
      </x:c>
      <x:c r="C89" s="12" t="str">
        <x:v>Q2</x:v>
      </x:c>
      <x:c r="D89" s="12" t="str">
        <x:v>Sản xuất nội dung</x:v>
      </x:c>
      <x:c r="E89" s="12" t="str">
        <x:v>Công ty In Ấn Minh Phát</x:v>
      </x:c>
      <x:c r="F89" s="12" t="str">
        <x:v>Thanh toán google ads - đợt 88</x:v>
      </x:c>
      <x:c r="G89" s="14" t="n">
        <x:v>120000000</x:v>
      </x:c>
      <x:c r="H89" s="14" t="n">
        <x:f>G89*10%</x:f>
        <x:v>12000000</x:v>
      </x:c>
      <x:c r="I89" s="14" t="n">
        <x:f>G89+H89</x:f>
        <x:v>132000000</x:v>
      </x:c>
      <x:c r="J89" s="12" t="str">
        <x:v>Đã duyệt</x:v>
      </x:c>
      <x:c r="K89" s="12" t="str">
        <x:v>Lê Thu Hà</x:v>
      </x:c>
      <x:c r="L89" s="12" t="str">
        <x:v>DT-MKT-2026-080</x:v>
      </x:c>
    </x:row>
    <x:row r="90">
      <x:c r="A90" s="12" t="str">
        <x:v>DN-MKT-2026-089</x:v>
      </x:c>
      <x:c r="B90" s="20" t="n">
        <x:v>46166</x:v>
      </x:c>
      <x:c r="C90" s="12" t="str">
        <x:v>Q2</x:v>
      </x:c>
      <x:c r="D90" s="12" t="str">
        <x:v>Sản xuất nội dung</x:v>
      </x:c>
      <x:c r="E90" s="12" t="str">
        <x:v>Nền tảng EmailCloud</x:v>
      </x:c>
      <x:c r="F90" s="12" t="str">
        <x:v>Thanh toán livestream - đợt 89</x:v>
      </x:c>
      <x:c r="G90" s="14" t="n">
        <x:v>30000000</x:v>
      </x:c>
      <x:c r="H90" s="14" t="n">
        <x:f>G90*10%</x:f>
        <x:v>3000000</x:v>
      </x:c>
      <x:c r="I90" s="14" t="n">
        <x:f>G90+H90</x:f>
        <x:v>33000000</x:v>
      </x:c>
      <x:c r="J90" s="12" t="str">
        <x:v>Đã thanh toán</x:v>
      </x:c>
      <x:c r="K90" s="12" t="str">
        <x:v>Lê Thu Hà</x:v>
      </x:c>
      <x:c r="L90" s="12" t="str">
        <x:v>DT-MKT-2026-144</x:v>
      </x:c>
    </x:row>
    <x:row r="91">
      <x:c r="A91" s="12" t="str">
        <x:v>DN-MKT-2026-090</x:v>
      </x:c>
      <x:c r="B91" s="20" t="n">
        <x:v>46179</x:v>
      </x:c>
      <x:c r="C91" s="12" t="str">
        <x:v>Q2</x:v>
      </x:c>
      <x:c r="D91" s="12" t="str">
        <x:v>Quản trị thương hiệu</x:v>
      </x:c>
      <x:c r="E91" s="12" t="str">
        <x:v>Công ty Thiết kế BrandLab</x:v>
      </x:c>
      <x:c r="F91" s="12" t="str">
        <x:v>Thanh toán tổ chức sự kiện - đợt 90</x:v>
      </x:c>
      <x:c r="G91" s="14" t="n">
        <x:v>30000000</x:v>
      </x:c>
      <x:c r="H91" s="14" t="n">
        <x:f>G91*10%</x:f>
        <x:v>3000000</x:v>
      </x:c>
      <x:c r="I91" s="14" t="n">
        <x:f>G91+H91</x:f>
        <x:v>33000000</x:v>
      </x:c>
      <x:c r="J91" s="12" t="str">
        <x:v>Đã duyệt</x:v>
      </x:c>
      <x:c r="K91" s="12" t="str">
        <x:v>Đỗ Mai Linh</x:v>
      </x:c>
      <x:c r="L91" s="12" t="str">
        <x:v>DT-MKT-2026-024</x:v>
      </x:c>
    </x:row>
    <x:row r="92">
      <x:c r="A92" s="12" t="str">
        <x:v>DN-MKT-2026-091</x:v>
      </x:c>
      <x:c r="B92" s="20" t="n">
        <x:v>46216</x:v>
      </x:c>
      <x:c r="C92" s="12" t="str">
        <x:v>Q3</x:v>
      </x:c>
      <x:c r="D92" s="12" t="str">
        <x:v>Email Marketing</x:v>
      </x:c>
      <x:c r="E92" s="12" t="str">
        <x:v>Công ty In Ấn Minh Phát</x:v>
      </x:c>
      <x:c r="F92" s="12" t="str">
        <x:v>Thanh toán facebook/tiktok ads - đợt 91</x:v>
      </x:c>
      <x:c r="G92" s="14" t="n">
        <x:v>30000000</x:v>
      </x:c>
      <x:c r="H92" s="14" t="n">
        <x:f>G92*10%</x:f>
        <x:v>3000000</x:v>
      </x:c>
      <x:c r="I92" s="14" t="n">
        <x:f>G92+H92</x:f>
        <x:v>33000000</x:v>
      </x:c>
      <x:c r="J92" s="12" t="str">
        <x:v>Chờ duyệt</x:v>
      </x:c>
      <x:c r="K92" s="12" t="str">
        <x:v>Lê Thu Hà</x:v>
      </x:c>
      <x:c r="L92" s="12" t="str">
        <x:v>DT-MKT-2026-047</x:v>
      </x:c>
    </x:row>
    <x:row r="93">
      <x:c r="A93" s="12" t="str">
        <x:v>DN-MKT-2026-092</x:v>
      </x:c>
      <x:c r="B93" s="20" t="n">
        <x:v>46254</x:v>
      </x:c>
      <x:c r="C93" s="12" t="str">
        <x:v>Q3</x:v>
      </x:c>
      <x:c r="D93" s="12" t="str">
        <x:v>Website &amp; SEO</x:v>
      </x:c>
      <x:c r="E93" s="12" t="str">
        <x:v>Công ty Thiết kế BrandLab</x:v>
      </x:c>
      <x:c r="F93" s="12" t="str">
        <x:v>Thanh toán phần mềm marketing - đợt 92</x:v>
      </x:c>
      <x:c r="G93" s="14" t="n">
        <x:v>10000000</x:v>
      </x:c>
      <x:c r="H93" s="14" t="n">
        <x:f>G93*10%</x:f>
        <x:v>1000000</x:v>
      </x:c>
      <x:c r="I93" s="14" t="n">
        <x:f>G93+H93</x:f>
        <x:v>11000000</x:v>
      </x:c>
      <x:c r="J93" s="12" t="str">
        <x:v>Đã duyệt</x:v>
      </x:c>
      <x:c r="K93" s="12" t="str">
        <x:v>Trần Hoàng Nam</x:v>
      </x:c>
      <x:c r="L93" s="12" t="str">
        <x:v>DT-MKT-2026-036</x:v>
      </x:c>
    </x:row>
    <x:row r="94">
      <x:c r="A94" s="12" t="str">
        <x:v>DN-MKT-2026-093</x:v>
      </x:c>
      <x:c r="B94" s="20" t="n">
        <x:v>46267</x:v>
      </x:c>
      <x:c r="C94" s="12" t="str">
        <x:v>Q3</x:v>
      </x:c>
      <x:c r="D94" s="12" t="str">
        <x:v>Digital Marketing</x:v>
      </x:c>
      <x:c r="E94" s="12" t="str">
        <x:v>Studio Sáng Tạo</x:v>
      </x:c>
      <x:c r="F94" s="12" t="str">
        <x:v>Thanh toán khảo sát thị trường - đợt 93</x:v>
      </x:c>
      <x:c r="G94" s="14" t="n">
        <x:v>8000000</x:v>
      </x:c>
      <x:c r="H94" s="14" t="n">
        <x:f>G94*10%</x:f>
        <x:v>800000</x:v>
      </x:c>
      <x:c r="I94" s="14" t="n">
        <x:f>G94+H94</x:f>
        <x:v>8800000</x:v>
      </x:c>
      <x:c r="J94" s="12" t="str">
        <x:v>Đã thanh toán</x:v>
      </x:c>
      <x:c r="K94" s="12" t="str">
        <x:v>Đỗ Mai Linh</x:v>
      </x:c>
      <x:c r="L94" s="12" t="str">
        <x:v>DT-MKT-2026-139</x:v>
      </x:c>
    </x:row>
    <x:row r="95">
      <x:c r="A95" s="12" t="str">
        <x:v>DN-MKT-2026-094</x:v>
      </x:c>
      <x:c r="B95" s="20" t="n">
        <x:v>46304</x:v>
      </x:c>
      <x:c r="C95" s="12" t="str">
        <x:v>Q4</x:v>
      </x:c>
      <x:c r="D95" s="12" t="str">
        <x:v>Tuyển sinh &amp; truyền thông thương hiệu</x:v>
      </x:c>
      <x:c r="E95" s="12" t="str">
        <x:v>Công ty Nghiên cứu MarketInsight</x:v>
      </x:c>
      <x:c r="F95" s="12" t="str">
        <x:v>Thanh toán tổ chức sự kiện - đợt 94</x:v>
      </x:c>
      <x:c r="G95" s="14" t="n">
        <x:v>80000000</x:v>
      </x:c>
      <x:c r="H95" s="14" t="n">
        <x:f>G95*10%</x:f>
        <x:v>8000000</x:v>
      </x:c>
      <x:c r="I95" s="14" t="n">
        <x:f>G95+H95</x:f>
        <x:v>88000000</x:v>
      </x:c>
      <x:c r="J95" s="12" t="str">
        <x:v>Đã duyệt</x:v>
      </x:c>
      <x:c r="K95" s="12" t="str">
        <x:v>Đỗ Mai Linh</x:v>
      </x:c>
      <x:c r="L95" s="12" t="str">
        <x:v>DT-MKT-2026-097</x:v>
      </x:c>
    </x:row>
    <x:row r="96">
      <x:c r="A96" s="12" t="str">
        <x:v>DN-MKT-2026-095</x:v>
      </x:c>
      <x:c r="B96" s="20" t="n">
        <x:v>46342</x:v>
      </x:c>
      <x:c r="C96" s="12" t="str">
        <x:v>Q4</x:v>
      </x:c>
      <x:c r="D96" s="12" t="str">
        <x:v>Sản xuất nội dung</x:v>
      </x:c>
      <x:c r="E96" s="12" t="str">
        <x:v>Công ty EventPlus</x:v>
      </x:c>
      <x:c r="F96" s="12" t="str">
        <x:v>Thanh toán khảo sát thị trường - đợt 95</x:v>
      </x:c>
      <x:c r="G96" s="14" t="n">
        <x:v>8000000</x:v>
      </x:c>
      <x:c r="H96" s="14" t="n">
        <x:f>G96*10%</x:f>
        <x:v>800000</x:v>
      </x:c>
      <x:c r="I96" s="14" t="n">
        <x:f>G96+H96</x:f>
        <x:v>8800000</x:v>
      </x:c>
      <x:c r="J96" s="12" t="str">
        <x:v>Đã duyệt</x:v>
      </x:c>
      <x:c r="K96" s="12" t="str">
        <x:v>Phạm Quang Huy</x:v>
      </x:c>
      <x:c r="L96" s="12" t="str">
        <x:v>DT-MKT-2026-012</x:v>
      </x:c>
    </x:row>
    <x:row r="97">
      <x:c r="A97" s="12" t="str">
        <x:v>DN-MKT-2026-096</x:v>
      </x:c>
      <x:c r="B97" s="20" t="n">
        <x:v>46379</x:v>
      </x:c>
      <x:c r="C97" s="12" t="str">
        <x:v>Q4</x:v>
      </x:c>
      <x:c r="D97" s="12" t="str">
        <x:v>Website &amp; SEO</x:v>
      </x:c>
      <x:c r="E97" s="12" t="str">
        <x:v>Công ty Nghiên cứu MarketInsight</x:v>
      </x:c>
      <x:c r="F97" s="12" t="str">
        <x:v>Thanh toán livestream - đợt 96</x:v>
      </x:c>
      <x:c r="G97" s="14" t="n">
        <x:v>30000000</x:v>
      </x:c>
      <x:c r="H97" s="14" t="n">
        <x:f>G97*10%</x:f>
        <x:v>3000000</x:v>
      </x:c>
      <x:c r="I97" s="14" t="n">
        <x:f>G97+H97</x:f>
        <x:v>33000000</x:v>
      </x:c>
      <x:c r="J97" s="12" t="str">
        <x:v>Đã duyệt</x:v>
      </x:c>
      <x:c r="K97" s="12" t="str">
        <x:v>Phạm Quang Huy</x:v>
      </x:c>
      <x:c r="L97" s="12" t="str">
        <x:v>DT-MKT-2026-073</x:v>
      </x:c>
    </x:row>
    <x:row r="98">
      <x:c r="A98" s="12" t="str">
        <x:v>DN-MKT-2026-097</x:v>
      </x:c>
      <x:c r="B98" s="20" t="n">
        <x:v>46027</x:v>
      </x:c>
      <x:c r="C98" s="12" t="str">
        <x:v>Q1</x:v>
      </x:c>
      <x:c r="D98" s="12" t="str">
        <x:v>Quan hệ báo chí</x:v>
      </x:c>
      <x:c r="E98" s="12" t="str">
        <x:v>Công ty SEO Pro</x:v>
      </x:c>
      <x:c r="F98" s="12" t="str">
        <x:v>Thanh toán thiết kế ấn phẩm - đợt 97</x:v>
      </x:c>
      <x:c r="G98" s="14" t="n">
        <x:v>50000000</x:v>
      </x:c>
      <x:c r="H98" s="14" t="n">
        <x:f>G98*10%</x:f>
        <x:v>5000000</x:v>
      </x:c>
      <x:c r="I98" s="14" t="n">
        <x:f>G98+H98</x:f>
        <x:v>55000000</x:v>
      </x:c>
      <x:c r="J98" s="12" t="str">
        <x:v>Chờ duyệt</x:v>
      </x:c>
      <x:c r="K98" s="12" t="str">
        <x:v>Phạm Quang Huy</x:v>
      </x:c>
      <x:c r="L98" s="12" t="str">
        <x:v>DT-MKT-2026-050</x:v>
      </x:c>
    </x:row>
    <x:row r="99">
      <x:c r="A99" s="12" t="str">
        <x:v>DN-MKT-2026-098</x:v>
      </x:c>
      <x:c r="B99" s="20" t="n">
        <x:v>46065</x:v>
      </x:c>
      <x:c r="C99" s="12" t="str">
        <x:v>Q1</x:v>
      </x:c>
      <x:c r="D99" s="12" t="str">
        <x:v>Quản trị thương hiệu</x:v>
      </x:c>
      <x:c r="E99" s="12" t="str">
        <x:v>Nền tảng EmailCloud</x:v>
      </x:c>
      <x:c r="F99" s="12" t="str">
        <x:v>Thanh toán phần mềm marketing - đợt 98</x:v>
      </x:c>
      <x:c r="G99" s="14" t="n">
        <x:v>20000000</x:v>
      </x:c>
      <x:c r="H99" s="14" t="n">
        <x:f>G99*10%</x:f>
        <x:v>2000000</x:v>
      </x:c>
      <x:c r="I99" s="14" t="n">
        <x:f>G99+H99</x:f>
        <x:v>22000000</x:v>
      </x:c>
      <x:c r="J99" s="12" t="str">
        <x:v>Cần bổ sung chứng từ</x:v>
      </x:c>
      <x:c r="K99" s="12" t="str">
        <x:v>Lê Thu Hà</x:v>
      </x:c>
      <x:c r="L99" s="12" t="str">
        <x:v>DT-MKT-2026-098</x:v>
      </x:c>
    </x:row>
    <x:row r="100">
      <x:c r="A100" s="12" t="str">
        <x:v>DN-MKT-2026-099</x:v>
      </x:c>
      <x:c r="B100" s="20" t="n">
        <x:v>46100</x:v>
      </x:c>
      <x:c r="C100" s="12" t="str">
        <x:v>Q1</x:v>
      </x:c>
      <x:c r="D100" s="12" t="str">
        <x:v>Email Marketing</x:v>
      </x:c>
      <x:c r="E100" s="12" t="str">
        <x:v>Báo điện tử Giáo dục</x:v>
      </x:c>
      <x:c r="F100" s="12" t="str">
        <x:v>Thanh toán sản xuất video - đợt 99</x:v>
      </x:c>
      <x:c r="G100" s="14" t="n">
        <x:v>80000000</x:v>
      </x:c>
      <x:c r="H100" s="14" t="n">
        <x:f>G100*10%</x:f>
        <x:v>8000000</x:v>
      </x:c>
      <x:c r="I100" s="14" t="n">
        <x:f>G100+H100</x:f>
        <x:v>88000000</x:v>
      </x:c>
      <x:c r="J100" s="12" t="str">
        <x:v>Đã duyệt</x:v>
      </x:c>
      <x:c r="K100" s="12" t="str">
        <x:v>Đỗ Mai Linh</x:v>
      </x:c>
      <x:c r="L100" s="12" t="str">
        <x:v>DT-MKT-2026-036</x:v>
      </x:c>
    </x:row>
    <x:row r="101">
      <x:c r="A101" s="12" t="str">
        <x:v>DN-MKT-2026-100</x:v>
      </x:c>
      <x:c r="B101" s="20" t="n">
        <x:v>46113</x:v>
      </x:c>
      <x:c r="C101" s="12" t="str">
        <x:v>Q2</x:v>
      </x:c>
      <x:c r="D101" s="12" t="str">
        <x:v>Tuyển sinh &amp; truyền thông thương hiệu</x:v>
      </x:c>
      <x:c r="E101" s="12" t="str">
        <x:v>Công ty Nghiên cứu MarketInsight</x:v>
      </x:c>
      <x:c r="F101" s="12" t="str">
        <x:v>Thanh toán phần mềm marketing - đợt 100</x:v>
      </x:c>
      <x:c r="G101" s="14" t="n">
        <x:v>15000000</x:v>
      </x:c>
      <x:c r="H101" s="14" t="n">
        <x:f>G101*10%</x:f>
        <x:v>1500000</x:v>
      </x:c>
      <x:c r="I101" s="14" t="n">
        <x:f>G101+H101</x:f>
        <x:v>16500000</x:v>
      </x:c>
      <x:c r="J101" s="12" t="str">
        <x:v>Chờ duyệt</x:v>
      </x:c>
      <x:c r="K101" s="12" t="str">
        <x:v>Đỗ Mai Linh</x:v>
      </x:c>
      <x:c r="L101" s="12" t="str">
        <x:v>DT-MKT-2026-027</x:v>
      </x:c>
    </x:row>
    <x:row r="102">
      <x:c r="A102" s="12" t="str">
        <x:v>DN-MKT-2026-101</x:v>
      </x:c>
      <x:c r="B102" s="20" t="n">
        <x:v>46150</x:v>
      </x:c>
      <x:c r="C102" s="12" t="str">
        <x:v>Q2</x:v>
      </x:c>
      <x:c r="D102" s="12" t="str">
        <x:v>Digital Marketing</x:v>
      </x:c>
      <x:c r="E102" s="12" t="str">
        <x:v>Studio Sáng Tạo</x:v>
      </x:c>
      <x:c r="F102" s="12" t="str">
        <x:v>Thanh toán google ads - đợt 101</x:v>
      </x:c>
      <x:c r="G102" s="14" t="n">
        <x:v>80000000</x:v>
      </x:c>
      <x:c r="H102" s="14" t="n">
        <x:f>G102*10%</x:f>
        <x:v>8000000</x:v>
      </x:c>
      <x:c r="I102" s="14" t="n">
        <x:f>G102+H102</x:f>
        <x:v>88000000</x:v>
      </x:c>
      <x:c r="J102" s="12" t="str">
        <x:v>Đã duyệt</x:v>
      </x:c>
      <x:c r="K102" s="12" t="str">
        <x:v>Lê Thu Hà</x:v>
      </x:c>
      <x:c r="L102" s="12" t="str">
        <x:v>DT-MKT-2026-116</x:v>
      </x:c>
    </x:row>
    <x:row r="103">
      <x:c r="A103" s="12" t="str">
        <x:v>DN-MKT-2026-102</x:v>
      </x:c>
      <x:c r="B103" s="20" t="n">
        <x:v>46188</x:v>
      </x:c>
      <x:c r="C103" s="12" t="str">
        <x:v>Q2</x:v>
      </x:c>
      <x:c r="D103" s="12" t="str">
        <x:v>Sản xuất nội dung</x:v>
      </x:c>
      <x:c r="E103" s="12" t="str">
        <x:v>Đơn vị Livestream MediaPro</x:v>
      </x:c>
      <x:c r="F103" s="12" t="str">
        <x:v>Thanh toán kol/influencer - đợt 102</x:v>
      </x:c>
      <x:c r="G103" s="14" t="n">
        <x:v>80000000</x:v>
      </x:c>
      <x:c r="H103" s="14" t="n">
        <x:f>G103*10%</x:f>
        <x:v>8000000</x:v>
      </x:c>
      <x:c r="I103" s="14" t="n">
        <x:f>G103+H103</x:f>
        <x:v>88000000</x:v>
      </x:c>
      <x:c r="J103" s="12" t="str">
        <x:v>Đã thanh toán</x:v>
      </x:c>
      <x:c r="K103" s="12" t="str">
        <x:v>Trần Hoàng Nam</x:v>
      </x:c>
      <x:c r="L103" s="12" t="str">
        <x:v>DT-MKT-2026-116</x:v>
      </x:c>
    </x:row>
    <x:row r="104">
      <x:c r="A104" s="12" t="str">
        <x:v>DN-MKT-2026-103</x:v>
      </x:c>
      <x:c r="B104" s="20" t="n">
        <x:v>46225</x:v>
      </x:c>
      <x:c r="C104" s="12" t="str">
        <x:v>Q3</x:v>
      </x:c>
      <x:c r="D104" s="12" t="str">
        <x:v>Tuyển sinh &amp; truyền thông thương hiệu</x:v>
      </x:c>
      <x:c r="E104" s="12" t="str">
        <x:v>Báo điện tử Giáo dục</x:v>
      </x:c>
      <x:c r="F104" s="12" t="str">
        <x:v>Thanh toán facebook/tiktok ads - đợt 103</x:v>
      </x:c>
      <x:c r="G104" s="14" t="n">
        <x:v>20000000</x:v>
      </x:c>
      <x:c r="H104" s="14" t="n">
        <x:f>G104*10%</x:f>
        <x:v>2000000</x:v>
      </x:c>
      <x:c r="I104" s="14" t="n">
        <x:f>G104+H104</x:f>
        <x:v>22000000</x:v>
      </x:c>
      <x:c r="J104" s="12" t="str">
        <x:v>Cần bổ sung chứng từ</x:v>
      </x:c>
      <x:c r="K104" s="12" t="str">
        <x:v>Đỗ Mai Linh</x:v>
      </x:c>
      <x:c r="L104" s="12" t="str">
        <x:v>DT-MKT-2026-096</x:v>
      </x:c>
    </x:row>
    <x:row r="105">
      <x:c r="A105" s="12" t="str">
        <x:v>DN-MKT-2026-104</x:v>
      </x:c>
      <x:c r="B105" s="20" t="n">
        <x:v>46238</x:v>
      </x:c>
      <x:c r="C105" s="12" t="str">
        <x:v>Q3</x:v>
      </x:c>
      <x:c r="D105" s="12" t="str">
        <x:v>Social Media</x:v>
      </x:c>
      <x:c r="E105" s="12" t="str">
        <x:v>Google Asia Pacific</x:v>
      </x:c>
      <x:c r="F105" s="12" t="str">
        <x:v>Thanh toán tổ chức sự kiện - đợt 104</x:v>
      </x:c>
      <x:c r="G105" s="14" t="n">
        <x:v>10000000</x:v>
      </x:c>
      <x:c r="H105" s="14" t="n">
        <x:f>G105*10%</x:f>
        <x:v>1000000</x:v>
      </x:c>
      <x:c r="I105" s="14" t="n">
        <x:f>G105+H105</x:f>
        <x:v>11000000</x:v>
      </x:c>
      <x:c r="J105" s="12" t="str">
        <x:v>Đã duyệt</x:v>
      </x:c>
      <x:c r="K105" s="12" t="str">
        <x:v>Nguyễn Minh Anh</x:v>
      </x:c>
      <x:c r="L105" s="12" t="str">
        <x:v>DT-MKT-2026-082</x:v>
      </x:c>
    </x:row>
    <x:row r="106">
      <x:c r="A106" s="12" t="str">
        <x:v>DN-MKT-2026-105</x:v>
      </x:c>
      <x:c r="B106" s="20" t="n">
        <x:v>46276</x:v>
      </x:c>
      <x:c r="C106" s="12" t="str">
        <x:v>Q3</x:v>
      </x:c>
      <x:c r="D106" s="12" t="str">
        <x:v>Truyền thông nội bộ</x:v>
      </x:c>
      <x:c r="E106" s="12" t="str">
        <x:v>Công ty Nghiên cứu MarketInsight</x:v>
      </x:c>
      <x:c r="F106" s="12" t="str">
        <x:v>Thanh toán tổ chức sự kiện - đợt 105</x:v>
      </x:c>
      <x:c r="G106" s="14" t="n">
        <x:v>5000000</x:v>
      </x:c>
      <x:c r="H106" s="14" t="n">
        <x:f>G106*10%</x:f>
        <x:v>500000</x:v>
      </x:c>
      <x:c r="I106" s="14" t="n">
        <x:f>G106+H106</x:f>
        <x:v>5500000</x:v>
      </x:c>
      <x:c r="J106" s="12" t="str">
        <x:v>Đã duyệt</x:v>
      </x:c>
      <x:c r="K106" s="12" t="str">
        <x:v>Trần Hoàng Nam</x:v>
      </x:c>
      <x:c r="L106" s="12" t="str">
        <x:v>DT-MKT-2026-010</x:v>
      </x:c>
    </x:row>
    <x:row r="107">
      <x:c r="A107" s="12" t="str">
        <x:v>DN-MKT-2026-106</x:v>
      </x:c>
      <x:c r="B107" s="20" t="n">
        <x:v>46313</x:v>
      </x:c>
      <x:c r="C107" s="12" t="str">
        <x:v>Q4</x:v>
      </x:c>
      <x:c r="D107" s="12" t="str">
        <x:v>Video/Photo Production</x:v>
      </x:c>
      <x:c r="E107" s="12" t="str">
        <x:v>Production House Lotus</x:v>
      </x:c>
      <x:c r="F107" s="12" t="str">
        <x:v>Thanh toán khảo sát thị trường - đợt 106</x:v>
      </x:c>
      <x:c r="G107" s="14" t="n">
        <x:v>15000000</x:v>
      </x:c>
      <x:c r="H107" s="14" t="n">
        <x:f>G107*10%</x:f>
        <x:v>1500000</x:v>
      </x:c>
      <x:c r="I107" s="14" t="n">
        <x:f>G107+H107</x:f>
        <x:v>16500000</x:v>
      </x:c>
      <x:c r="J107" s="12" t="str">
        <x:v>Đã duyệt</x:v>
      </x:c>
      <x:c r="K107" s="12" t="str">
        <x:v>Phạm Quang Huy</x:v>
      </x:c>
      <x:c r="L107" s="12" t="str">
        <x:v>DT-MKT-2026-115</x:v>
      </x:c>
    </x:row>
    <x:row r="108">
      <x:c r="A108" s="12" t="str">
        <x:v>DN-MKT-2026-107</x:v>
      </x:c>
      <x:c r="B108" s="20" t="n">
        <x:v>46351</x:v>
      </x:c>
      <x:c r="C108" s="12" t="str">
        <x:v>Q4</x:v>
      </x:c>
      <x:c r="D108" s="12" t="str">
        <x:v>Tuyển sinh &amp; truyền thông thương hiệu</x:v>
      </x:c>
      <x:c r="E108" s="12" t="str">
        <x:v>Công ty Quà tặng Việt</x:v>
      </x:c>
      <x:c r="F108" s="12" t="str">
        <x:v>Thanh toán google ads - đợt 107</x:v>
      </x:c>
      <x:c r="G108" s="14" t="n">
        <x:v>120000000</x:v>
      </x:c>
      <x:c r="H108" s="14" t="n">
        <x:f>G108*10%</x:f>
        <x:v>12000000</x:v>
      </x:c>
      <x:c r="I108" s="14" t="n">
        <x:f>G108+H108</x:f>
        <x:v>132000000</x:v>
      </x:c>
      <x:c r="J108" s="12" t="str">
        <x:v>Đã thanh toán</x:v>
      </x:c>
      <x:c r="K108" s="12" t="str">
        <x:v>Lê Thu Hà</x:v>
      </x:c>
      <x:c r="L108" s="12" t="str">
        <x:v>DT-MKT-2026-056</x:v>
      </x:c>
    </x:row>
    <x:row r="109">
      <x:c r="A109" s="12" t="str">
        <x:v>DN-MKT-2026-108</x:v>
      </x:c>
      <x:c r="B109" s="20" t="n">
        <x:v>46363</x:v>
      </x:c>
      <x:c r="C109" s="12" t="str">
        <x:v>Q4</x:v>
      </x:c>
      <x:c r="D109" s="12" t="str">
        <x:v>Email Marketing</x:v>
      </x:c>
      <x:c r="E109" s="12" t="str">
        <x:v>Production House Lotus</x:v>
      </x:c>
      <x:c r="F109" s="12" t="str">
        <x:v>Thanh toán chụp ảnh - đợt 108</x:v>
      </x:c>
      <x:c r="G109" s="14" t="n">
        <x:v>8000000</x:v>
      </x:c>
      <x:c r="H109" s="14" t="n">
        <x:f>G109*10%</x:f>
        <x:v>800000</x:v>
      </x:c>
      <x:c r="I109" s="14" t="n">
        <x:f>G109+H109</x:f>
        <x:v>8800000</x:v>
      </x:c>
      <x:c r="J109" s="12" t="str">
        <x:v>Cần bổ sung chứng từ</x:v>
      </x:c>
      <x:c r="K109" s="12" t="str">
        <x:v>Nguyễn Minh Anh</x:v>
      </x:c>
      <x:c r="L109" s="12" t="str">
        <x:v>DT-MKT-2026-074</x:v>
      </x:c>
    </x:row>
    <x:row r="110">
      <x:c r="A110" s="12" t="str">
        <x:v>DN-MKT-2026-109</x:v>
      </x:c>
      <x:c r="B110" s="20" t="n">
        <x:v>46036</x:v>
      </x:c>
      <x:c r="C110" s="12" t="str">
        <x:v>Q1</x:v>
      </x:c>
      <x:c r="D110" s="12" t="str">
        <x:v>Sự kiện truyền thông</x:v>
      </x:c>
      <x:c r="E110" s="12" t="str">
        <x:v>Google Asia Pacific</x:v>
      </x:c>
      <x:c r="F110" s="12" t="str">
        <x:v>Thanh toán facebook/tiktok ads - đợt 109</x:v>
      </x:c>
      <x:c r="G110" s="14" t="n">
        <x:v>10000000</x:v>
      </x:c>
      <x:c r="H110" s="14" t="n">
        <x:f>G110*10%</x:f>
        <x:v>1000000</x:v>
      </x:c>
      <x:c r="I110" s="14" t="n">
        <x:f>G110+H110</x:f>
        <x:v>11000000</x:v>
      </x:c>
      <x:c r="J110" s="12" t="str">
        <x:v>Đã duyệt</x:v>
      </x:c>
      <x:c r="K110" s="12" t="str">
        <x:v>Phạm Quang Huy</x:v>
      </x:c>
      <x:c r="L110" s="12" t="str">
        <x:v>DT-MKT-2026-118</x:v>
      </x:c>
    </x:row>
    <x:row r="111">
      <x:c r="A111" s="12" t="str">
        <x:v>DN-MKT-2026-110</x:v>
      </x:c>
      <x:c r="B111" s="20" t="n">
        <x:v>46074</x:v>
      </x:c>
      <x:c r="C111" s="12" t="str">
        <x:v>Q1</x:v>
      </x:c>
      <x:c r="D111" s="12" t="str">
        <x:v>Digital Marketing</x:v>
      </x:c>
      <x:c r="E111" s="12" t="str">
        <x:v>Đơn vị Livestream MediaPro</x:v>
      </x:c>
      <x:c r="F111" s="12" t="str">
        <x:v>Thanh toán pr agency - đợt 110</x:v>
      </x:c>
      <x:c r="G111" s="14" t="n">
        <x:v>5000000</x:v>
      </x:c>
      <x:c r="H111" s="14" t="n">
        <x:f>G111*10%</x:f>
        <x:v>500000</x:v>
      </x:c>
      <x:c r="I111" s="14" t="n">
        <x:f>G111+H111</x:f>
        <x:v>5500000</x:v>
      </x:c>
      <x:c r="J111" s="12" t="str">
        <x:v>Cần bổ sung chứng từ</x:v>
      </x:c>
      <x:c r="K111" s="12" t="str">
        <x:v>Đỗ Mai Linh</x:v>
      </x:c>
      <x:c r="L111" s="12" t="str">
        <x:v>DT-MKT-2026-138</x:v>
      </x:c>
    </x:row>
    <x:row r="112">
      <x:c r="A112" s="12" t="str">
        <x:v>DN-MKT-2026-111</x:v>
      </x:c>
      <x:c r="B112" s="20" t="n">
        <x:v>46084</x:v>
      </x:c>
      <x:c r="C112" s="12" t="str">
        <x:v>Q1</x:v>
      </x:c>
      <x:c r="D112" s="12" t="str">
        <x:v>Quản trị thương hiệu</x:v>
      </x:c>
      <x:c r="E112" s="12" t="str">
        <x:v>Công ty SEO Pro</x:v>
      </x:c>
      <x:c r="F112" s="12" t="str">
        <x:v>Thanh toán chụp ảnh - đợt 111</x:v>
      </x:c>
      <x:c r="G112" s="14" t="n">
        <x:v>3000000</x:v>
      </x:c>
      <x:c r="H112" s="14" t="n">
        <x:f>G112*10%</x:f>
        <x:v>300000</x:v>
      </x:c>
      <x:c r="I112" s="14" t="n">
        <x:f>G112+H112</x:f>
        <x:v>3300000</x:v>
      </x:c>
      <x:c r="J112" s="12" t="str">
        <x:v>Đã duyệt</x:v>
      </x:c>
      <x:c r="K112" s="12" t="str">
        <x:v>Trần Hoàng Nam</x:v>
      </x:c>
      <x:c r="L112" s="12" t="str">
        <x:v>DT-MKT-2026-075</x:v>
      </x:c>
    </x:row>
    <x:row r="113">
      <x:c r="A113" s="12" t="str">
        <x:v>DN-MKT-2026-112</x:v>
      </x:c>
      <x:c r="B113" s="20" t="n">
        <x:v>46122</x:v>
      </x:c>
      <x:c r="C113" s="12" t="str">
        <x:v>Q2</x:v>
      </x:c>
      <x:c r="D113" s="12" t="str">
        <x:v>Tuyển sinh &amp; truyền thông thương hiệu</x:v>
      </x:c>
      <x:c r="E113" s="12" t="str">
        <x:v>Nền tảng EmailCloud</x:v>
      </x:c>
      <x:c r="F113" s="12" t="str">
        <x:v>Thanh toán tổ chức sự kiện - đợt 112</x:v>
      </x:c>
      <x:c r="G113" s="14" t="n">
        <x:v>30000000</x:v>
      </x:c>
      <x:c r="H113" s="14" t="n">
        <x:f>G113*10%</x:f>
        <x:v>3000000</x:v>
      </x:c>
      <x:c r="I113" s="14" t="n">
        <x:f>G113+H113</x:f>
        <x:v>33000000</x:v>
      </x:c>
      <x:c r="J113" s="12" t="str">
        <x:v>Đã duyệt</x:v>
      </x:c>
      <x:c r="K113" s="12" t="str">
        <x:v>Đỗ Mai Linh</x:v>
      </x:c>
      <x:c r="L113" s="12" t="str">
        <x:v>DT-MKT-2026-107</x:v>
      </x:c>
    </x:row>
    <x:row r="114">
      <x:c r="A114" s="12" t="str">
        <x:v>DN-MKT-2026-113</x:v>
      </x:c>
      <x:c r="B114" s="20" t="n">
        <x:v>46159</x:v>
      </x:c>
      <x:c r="C114" s="12" t="str">
        <x:v>Q2</x:v>
      </x:c>
      <x:c r="D114" s="12" t="str">
        <x:v>Quản trị thương hiệu</x:v>
      </x:c>
      <x:c r="E114" s="12" t="str">
        <x:v>Công ty Nghiên cứu MarketInsight</x:v>
      </x:c>
      <x:c r="F114" s="12" t="str">
        <x:v>Thanh toán google ads - đợt 113</x:v>
      </x:c>
      <x:c r="G114" s="14" t="n">
        <x:v>8000000</x:v>
      </x:c>
      <x:c r="H114" s="14" t="n">
        <x:f>G114*10%</x:f>
        <x:v>800000</x:v>
      </x:c>
      <x:c r="I114" s="14" t="n">
        <x:f>G114+H114</x:f>
        <x:v>8800000</x:v>
      </x:c>
      <x:c r="J114" s="12" t="str">
        <x:v>Chờ duyệt</x:v>
      </x:c>
      <x:c r="K114" s="12" t="str">
        <x:v>Nguyễn Minh Anh</x:v>
      </x:c>
      <x:c r="L114" s="12" t="str">
        <x:v>DT-MKT-2026-135</x:v>
      </x:c>
    </x:row>
    <x:row r="115">
      <x:c r="A115" s="12" t="str">
        <x:v>DN-MKT-2026-114</x:v>
      </x:c>
      <x:c r="B115" s="20" t="n">
        <x:v>46197</x:v>
      </x:c>
      <x:c r="C115" s="12" t="str">
        <x:v>Q2</x:v>
      </x:c>
      <x:c r="D115" s="12" t="str">
        <x:v>Email Marketing</x:v>
      </x:c>
      <x:c r="E115" s="12" t="str">
        <x:v>Công ty Thiết kế BrandLab</x:v>
      </x:c>
      <x:c r="F115" s="12" t="str">
        <x:v>Thanh toán in ấn posm - đợt 114</x:v>
      </x:c>
      <x:c r="G115" s="14" t="n">
        <x:v>80000000</x:v>
      </x:c>
      <x:c r="H115" s="14" t="n">
        <x:f>G115*10%</x:f>
        <x:v>8000000</x:v>
      </x:c>
      <x:c r="I115" s="14" t="n">
        <x:f>G115+H115</x:f>
        <x:v>88000000</x:v>
      </x:c>
      <x:c r="J115" s="12" t="str">
        <x:v>Đã thanh toán</x:v>
      </x:c>
      <x:c r="K115" s="12" t="str">
        <x:v>Phạm Quang Huy</x:v>
      </x:c>
      <x:c r="L115" s="12" t="str">
        <x:v>DT-MKT-2026-121</x:v>
      </x:c>
    </x:row>
    <x:row r="116">
      <x:c r="A116" s="12" t="str">
        <x:v>DN-MKT-2026-115</x:v>
      </x:c>
      <x:c r="B116" s="20" t="n">
        <x:v>46209</x:v>
      </x:c>
      <x:c r="C116" s="12" t="str">
        <x:v>Q3</x:v>
      </x:c>
      <x:c r="D116" s="12" t="str">
        <x:v>Quản trị thương hiệu</x:v>
      </x:c>
      <x:c r="E116" s="12" t="str">
        <x:v>Báo điện tử Giáo dục</x:v>
      </x:c>
      <x:c r="F116" s="12" t="str">
        <x:v>Thanh toán tổ chức sự kiện - đợt 115</x:v>
      </x:c>
      <x:c r="G116" s="14" t="n">
        <x:v>3000000</x:v>
      </x:c>
      <x:c r="H116" s="14" t="n">
        <x:f>G116*10%</x:f>
        <x:v>300000</x:v>
      </x:c>
      <x:c r="I116" s="14" t="n">
        <x:f>G116+H116</x:f>
        <x:v>3300000</x:v>
      </x:c>
      <x:c r="J116" s="12" t="str">
        <x:v>Chờ duyệt</x:v>
      </x:c>
      <x:c r="K116" s="12" t="str">
        <x:v>Nguyễn Minh Anh</x:v>
      </x:c>
      <x:c r="L116" s="12" t="str">
        <x:v>DT-MKT-2026-092</x:v>
      </x:c>
    </x:row>
    <x:row r="117">
      <x:c r="A117" s="12" t="str">
        <x:v>DN-MKT-2026-116</x:v>
      </x:c>
      <x:c r="B117" s="20" t="n">
        <x:v>46247</x:v>
      </x:c>
      <x:c r="C117" s="12" t="str">
        <x:v>Q3</x:v>
      </x:c>
      <x:c r="D117" s="12" t="str">
        <x:v>Website &amp; SEO</x:v>
      </x:c>
      <x:c r="E117" s="12" t="str">
        <x:v>Agency Truyền thông ABC</x:v>
      </x:c>
      <x:c r="F117" s="12" t="str">
        <x:v>Thanh toán livestream - đợt 116</x:v>
      </x:c>
      <x:c r="G117" s="14" t="n">
        <x:v>5000000</x:v>
      </x:c>
      <x:c r="H117" s="14" t="n">
        <x:f>G117*10%</x:f>
        <x:v>500000</x:v>
      </x:c>
      <x:c r="I117" s="14" t="n">
        <x:f>G117+H117</x:f>
        <x:v>5500000</x:v>
      </x:c>
      <x:c r="J117" s="12" t="str">
        <x:v>Đã thanh toán</x:v>
      </x:c>
      <x:c r="K117" s="12" t="str">
        <x:v>Đỗ Mai Linh</x:v>
      </x:c>
      <x:c r="L117" s="12" t="str">
        <x:v>DT-MKT-2026-086</x:v>
      </x:c>
    </x:row>
    <x:row r="118">
      <x:c r="A118" s="12" t="str">
        <x:v>DN-MKT-2026-117</x:v>
      </x:c>
      <x:c r="B118" s="20" t="n">
        <x:v>46285</x:v>
      </x:c>
      <x:c r="C118" s="12" t="str">
        <x:v>Q3</x:v>
      </x:c>
      <x:c r="D118" s="12" t="str">
        <x:v>Tuyển sinh &amp; truyền thông thương hiệu</x:v>
      </x:c>
      <x:c r="E118" s="12" t="str">
        <x:v>Công ty In Ấn Minh Phát</x:v>
      </x:c>
      <x:c r="F118" s="12" t="str">
        <x:v>Thanh toán in ấn posm - đợt 117</x:v>
      </x:c>
      <x:c r="G118" s="14" t="n">
        <x:v>8000000</x:v>
      </x:c>
      <x:c r="H118" s="14" t="n">
        <x:f>G118*10%</x:f>
        <x:v>800000</x:v>
      </x:c>
      <x:c r="I118" s="14" t="n">
        <x:f>G118+H118</x:f>
        <x:v>8800000</x:v>
      </x:c>
      <x:c r="J118" s="12" t="str">
        <x:v>Chờ duyệt</x:v>
      </x:c>
      <x:c r="K118" s="12" t="str">
        <x:v>Trần Hoàng Nam</x:v>
      </x:c>
      <x:c r="L118" s="12" t="str">
        <x:v>DT-MKT-2026-119</x:v>
      </x:c>
    </x:row>
    <x:row r="119">
      <x:c r="A119" s="12" t="str">
        <x:v>DN-MKT-2026-118</x:v>
      </x:c>
      <x:c r="B119" s="20" t="n">
        <x:v>46297</x:v>
      </x:c>
      <x:c r="C119" s="12" t="str">
        <x:v>Q4</x:v>
      </x:c>
      <x:c r="D119" s="12" t="str">
        <x:v>Quản trị thương hiệu</x:v>
      </x:c>
      <x:c r="E119" s="12" t="str">
        <x:v>Công ty EventPlus</x:v>
      </x:c>
      <x:c r="F119" s="12" t="str">
        <x:v>Thanh toán email automation - đợt 118</x:v>
      </x:c>
      <x:c r="G119" s="14" t="n">
        <x:v>50000000</x:v>
      </x:c>
      <x:c r="H119" s="14" t="n">
        <x:f>G119*10%</x:f>
        <x:v>5000000</x:v>
      </x:c>
      <x:c r="I119" s="14" t="n">
        <x:f>G119+H119</x:f>
        <x:v>55000000</x:v>
      </x:c>
      <x:c r="J119" s="12" t="str">
        <x:v>Đã duyệt</x:v>
      </x:c>
      <x:c r="K119" s="12" t="str">
        <x:v>Nguyễn Minh Anh</x:v>
      </x:c>
      <x:c r="L119" s="12" t="str">
        <x:v>DT-MKT-2026-118</x:v>
      </x:c>
    </x:row>
    <x:row r="120">
      <x:c r="A120" s="12" t="str">
        <x:v>DN-MKT-2026-119</x:v>
      </x:c>
      <x:c r="B120" s="20" t="n">
        <x:v>46335</x:v>
      </x:c>
      <x:c r="C120" s="12" t="str">
        <x:v>Q4</x:v>
      </x:c>
      <x:c r="D120" s="12" t="str">
        <x:v>Sự kiện truyền thông</x:v>
      </x:c>
      <x:c r="E120" s="12" t="str">
        <x:v>Agency Truyền thông ABC</x:v>
      </x:c>
      <x:c r="F120" s="12" t="str">
        <x:v>Thanh toán facebook/tiktok ads - đợt 119</x:v>
      </x:c>
      <x:c r="G120" s="14" t="n">
        <x:v>3000000</x:v>
      </x:c>
      <x:c r="H120" s="14" t="n">
        <x:f>G120*10%</x:f>
        <x:v>300000</x:v>
      </x:c>
      <x:c r="I120" s="14" t="n">
        <x:f>G120+H120</x:f>
        <x:v>3300000</x:v>
      </x:c>
      <x:c r="J120" s="12" t="str">
        <x:v>Đã duyệt</x:v>
      </x:c>
      <x:c r="K120" s="12" t="str">
        <x:v>Nguyễn Minh Anh</x:v>
      </x:c>
      <x:c r="L120" s="12" t="str">
        <x:v>DT-MKT-2026-081</x:v>
      </x:c>
    </x:row>
    <x:row r="121">
      <x:c r="A121" s="12" t="str">
        <x:v>DN-MKT-2026-120</x:v>
      </x:c>
      <x:c r="B121" s="20" t="n">
        <x:v>46372</x:v>
      </x:c>
      <x:c r="C121" s="12" t="str">
        <x:v>Q4</x:v>
      </x:c>
      <x:c r="D121" s="12" t="str">
        <x:v>Email Marketing</x:v>
      </x:c>
      <x:c r="E121" s="12" t="str">
        <x:v>Báo điện tử Giáo dục</x:v>
      </x:c>
      <x:c r="F121" s="12" t="str">
        <x:v>Thanh toán khảo sát thị trường - đợt 120</x:v>
      </x:c>
      <x:c r="G121" s="14" t="n">
        <x:v>15000000</x:v>
      </x:c>
      <x:c r="H121" s="14" t="n">
        <x:f>G121*10%</x:f>
        <x:v>1500000</x:v>
      </x:c>
      <x:c r="I121" s="14" t="n">
        <x:f>G121+H121</x:f>
        <x:v>16500000</x:v>
      </x:c>
      <x:c r="J121" s="12" t="str">
        <x:v>Cần bổ sung chứng từ</x:v>
      </x:c>
      <x:c r="K121" s="12" t="str">
        <x:v>Lê Thu Hà</x:v>
      </x:c>
      <x:c r="L121" s="12" t="str">
        <x:v>DT-MKT-2026-010</x:v>
      </x:c>
    </x:row>
    <x:row r="122">
      <x:c r="A122" s="12" t="str">
        <x:v>DN-MKT-2026-121</x:v>
      </x:c>
      <x:c r="B122" s="20" t="n">
        <x:v>46045</x:v>
      </x:c>
      <x:c r="C122" s="12" t="str">
        <x:v>Q1</x:v>
      </x:c>
      <x:c r="D122" s="12" t="str">
        <x:v>Sự kiện truyền thông</x:v>
      </x:c>
      <x:c r="E122" s="12" t="str">
        <x:v>Công ty In Ấn Minh Phát</x:v>
      </x:c>
      <x:c r="F122" s="12" t="str">
        <x:v>Thanh toán khảo sát thị trường - đợt 121</x:v>
      </x:c>
      <x:c r="G122" s="14" t="n">
        <x:v>10000000</x:v>
      </x:c>
      <x:c r="H122" s="14" t="n">
        <x:f>G122*10%</x:f>
        <x:v>1000000</x:v>
      </x:c>
      <x:c r="I122" s="14" t="n">
        <x:f>G122+H122</x:f>
        <x:v>11000000</x:v>
      </x:c>
      <x:c r="J122" s="12" t="str">
        <x:v>Đã thanh toán</x:v>
      </x:c>
      <x:c r="K122" s="12" t="str">
        <x:v>Lê Thu Hà</x:v>
      </x:c>
      <x:c r="L122" s="12" t="str">
        <x:v>DT-MKT-2026-070</x:v>
      </x:c>
    </x:row>
    <x:row r="123">
      <x:c r="A123" s="12" t="str">
        <x:v>DN-MKT-2026-122</x:v>
      </x:c>
      <x:c r="B123" s="20" t="n">
        <x:v>46058</x:v>
      </x:c>
      <x:c r="C123" s="12" t="str">
        <x:v>Q1</x:v>
      </x:c>
      <x:c r="D123" s="12" t="str">
        <x:v>Website &amp; SEO</x:v>
      </x:c>
      <x:c r="E123" s="12" t="str">
        <x:v>Báo điện tử Giáo dục</x:v>
      </x:c>
      <x:c r="F123" s="12" t="str">
        <x:v>Thanh toán pr agency - đợt 122</x:v>
      </x:c>
      <x:c r="G123" s="14" t="n">
        <x:v>5000000</x:v>
      </x:c>
      <x:c r="H123" s="14" t="n">
        <x:f>G123*10%</x:f>
        <x:v>500000</x:v>
      </x:c>
      <x:c r="I123" s="14" t="n">
        <x:f>G123+H123</x:f>
        <x:v>5500000</x:v>
      </x:c>
      <x:c r="J123" s="12" t="str">
        <x:v>Cần bổ sung chứng từ</x:v>
      </x:c>
      <x:c r="K123" s="12" t="str">
        <x:v>Phạm Quang Huy</x:v>
      </x:c>
      <x:c r="L123" s="12" t="str">
        <x:v>DT-MKT-2026-099</x:v>
      </x:c>
    </x:row>
    <x:row r="124">
      <x:c r="A124" s="12" t="str">
        <x:v>DN-MKT-2026-123</x:v>
      </x:c>
      <x:c r="B124" s="20" t="n">
        <x:v>46093</x:v>
      </x:c>
      <x:c r="C124" s="12" t="str">
        <x:v>Q1</x:v>
      </x:c>
      <x:c r="D124" s="12" t="str">
        <x:v>Sản xuất nội dung</x:v>
      </x:c>
      <x:c r="E124" s="12" t="str">
        <x:v>KOL Network Vietnam</x:v>
      </x:c>
      <x:c r="F124" s="12" t="str">
        <x:v>Thanh toán livestream - đợt 123</x:v>
      </x:c>
      <x:c r="G124" s="14" t="n">
        <x:v>20000000</x:v>
      </x:c>
      <x:c r="H124" s="14" t="n">
        <x:f>G124*10%</x:f>
        <x:v>2000000</x:v>
      </x:c>
      <x:c r="I124" s="14" t="n">
        <x:f>G124+H124</x:f>
        <x:v>22000000</x:v>
      </x:c>
      <x:c r="J124" s="12" t="str">
        <x:v>Cần bổ sung chứng từ</x:v>
      </x:c>
      <x:c r="K124" s="12" t="str">
        <x:v>Lê Thu Hà</x:v>
      </x:c>
      <x:c r="L124" s="12" t="str">
        <x:v>DT-MKT-2026-133</x:v>
      </x:c>
    </x:row>
    <x:row r="125">
      <x:c r="A125" s="12" t="str">
        <x:v>DN-MKT-2026-124</x:v>
      </x:c>
      <x:c r="B125" s="20" t="n">
        <x:v>46131</x:v>
      </x:c>
      <x:c r="C125" s="12" t="str">
        <x:v>Q2</x:v>
      </x:c>
      <x:c r="D125" s="12" t="str">
        <x:v>Digital Marketing</x:v>
      </x:c>
      <x:c r="E125" s="12" t="str">
        <x:v>Production House Lotus</x:v>
      </x:c>
      <x:c r="F125" s="12" t="str">
        <x:v>Thanh toán kol/influencer - đợt 124</x:v>
      </x:c>
      <x:c r="G125" s="14" t="n">
        <x:v>15000000</x:v>
      </x:c>
      <x:c r="H125" s="14" t="n">
        <x:f>G125*10%</x:f>
        <x:v>1500000</x:v>
      </x:c>
      <x:c r="I125" s="14" t="n">
        <x:f>G125+H125</x:f>
        <x:v>16500000</x:v>
      </x:c>
      <x:c r="J125" s="12" t="str">
        <x:v>Đã thanh toán</x:v>
      </x:c>
      <x:c r="K125" s="12" t="str">
        <x:v>Phạm Quang Huy</x:v>
      </x:c>
      <x:c r="L125" s="12" t="str">
        <x:v>DT-MKT-2026-047</x:v>
      </x:c>
    </x:row>
    <x:row r="126">
      <x:c r="A126" s="12" t="str">
        <x:v>DN-MKT-2026-125</x:v>
      </x:c>
      <x:c r="B126" s="20" t="n">
        <x:v>46143</x:v>
      </x:c>
      <x:c r="C126" s="12" t="str">
        <x:v>Q2</x:v>
      </x:c>
      <x:c r="D126" s="12" t="str">
        <x:v>Sự kiện truyền thông</x:v>
      </x:c>
      <x:c r="E126" s="12" t="str">
        <x:v>Công ty In Ấn Minh Phát</x:v>
      </x:c>
      <x:c r="F126" s="12" t="str">
        <x:v>Thanh toán google ads - đợt 125</x:v>
      </x:c>
      <x:c r="G126" s="14" t="n">
        <x:v>80000000</x:v>
      </x:c>
      <x:c r="H126" s="14" t="n">
        <x:f>G126*10%</x:f>
        <x:v>8000000</x:v>
      </x:c>
      <x:c r="I126" s="14" t="n">
        <x:f>G126+H126</x:f>
        <x:v>88000000</x:v>
      </x:c>
      <x:c r="J126" s="12" t="str">
        <x:v>Đã thanh toán</x:v>
      </x:c>
      <x:c r="K126" s="12" t="str">
        <x:v>Lê Thu Hà</x:v>
      </x:c>
      <x:c r="L126" s="12" t="str">
        <x:v>DT-MKT-2026-076</x:v>
      </x:c>
    </x:row>
    <x:row r="127">
      <x:c r="A127" s="12" t="str">
        <x:v>DN-MKT-2026-126</x:v>
      </x:c>
      <x:c r="B127" s="20" t="n">
        <x:v>46181</x:v>
      </x:c>
      <x:c r="C127" s="12" t="str">
        <x:v>Q2</x:v>
      </x:c>
      <x:c r="D127" s="12" t="str">
        <x:v>Video/Photo Production</x:v>
      </x:c>
      <x:c r="E127" s="12" t="str">
        <x:v>Nền tảng EmailCloud</x:v>
      </x:c>
      <x:c r="F127" s="12" t="str">
        <x:v>Thanh toán livestream - đợt 126</x:v>
      </x:c>
      <x:c r="G127" s="14" t="n">
        <x:v>15000000</x:v>
      </x:c>
      <x:c r="H127" s="14" t="n">
        <x:f>G127*10%</x:f>
        <x:v>1500000</x:v>
      </x:c>
      <x:c r="I127" s="14" t="n">
        <x:f>G127+H127</x:f>
        <x:v>16500000</x:v>
      </x:c>
      <x:c r="J127" s="12" t="str">
        <x:v>Cần bổ sung chứng từ</x:v>
      </x:c>
      <x:c r="K127" s="12" t="str">
        <x:v>Trần Hoàng Nam</x:v>
      </x:c>
      <x:c r="L127" s="12" t="str">
        <x:v>DT-MKT-2026-114</x:v>
      </x:c>
    </x:row>
    <x:row r="128">
      <x:c r="A128" s="12" t="str">
        <x:v>DN-MKT-2026-127</x:v>
      </x:c>
      <x:c r="B128" s="20" t="n">
        <x:v>46218</x:v>
      </x:c>
      <x:c r="C128" s="12" t="str">
        <x:v>Q3</x:v>
      </x:c>
      <x:c r="D128" s="12" t="str">
        <x:v>Video/Photo Production</x:v>
      </x:c>
      <x:c r="E128" s="12" t="str">
        <x:v>Meta Việt Nam</x:v>
      </x:c>
      <x:c r="F128" s="12" t="str">
        <x:v>Thanh toán livestream - đợt 127</x:v>
      </x:c>
      <x:c r="G128" s="14" t="n">
        <x:v>20000000</x:v>
      </x:c>
      <x:c r="H128" s="14" t="n">
        <x:f>G128*10%</x:f>
        <x:v>2000000</x:v>
      </x:c>
      <x:c r="I128" s="14" t="n">
        <x:f>G128+H128</x:f>
        <x:v>22000000</x:v>
      </x:c>
      <x:c r="J128" s="12" t="str">
        <x:v>Chờ duyệt</x:v>
      </x:c>
      <x:c r="K128" s="12" t="str">
        <x:v>Đỗ Mai Linh</x:v>
      </x:c>
      <x:c r="L128" s="12" t="str">
        <x:v>DT-MKT-2026-112</x:v>
      </x:c>
    </x:row>
    <x:row r="129">
      <x:c r="A129" s="12" t="str">
        <x:v>DN-MKT-2026-128</x:v>
      </x:c>
      <x:c r="B129" s="20" t="n">
        <x:v>46256</x:v>
      </x:c>
      <x:c r="C129" s="12" t="str">
        <x:v>Q3</x:v>
      </x:c>
      <x:c r="D129" s="12" t="str">
        <x:v>Quản trị thương hiệu</x:v>
      </x:c>
      <x:c r="E129" s="12" t="str">
        <x:v>Công ty Thiết kế BrandLab</x:v>
      </x:c>
      <x:c r="F129" s="12" t="str">
        <x:v>Thanh toán facebook/tiktok ads - đợt 128</x:v>
      </x:c>
      <x:c r="G129" s="14" t="n">
        <x:v>15000000</x:v>
      </x:c>
      <x:c r="H129" s="14" t="n">
        <x:f>G129*10%</x:f>
        <x:v>1500000</x:v>
      </x:c>
      <x:c r="I129" s="14" t="n">
        <x:f>G129+H129</x:f>
        <x:v>16500000</x:v>
      </x:c>
      <x:c r="J129" s="12" t="str">
        <x:v>Đã thanh toán</x:v>
      </x:c>
      <x:c r="K129" s="12" t="str">
        <x:v>Phạm Quang Huy</x:v>
      </x:c>
      <x:c r="L129" s="12" t="str">
        <x:v>DT-MKT-2026-094</x:v>
      </x:c>
    </x:row>
    <x:row r="130">
      <x:c r="A130" s="12" t="str">
        <x:v>DN-MKT-2026-129</x:v>
      </x:c>
      <x:c r="B130" s="20" t="n">
        <x:v>46269</x:v>
      </x:c>
      <x:c r="C130" s="12" t="str">
        <x:v>Q3</x:v>
      </x:c>
      <x:c r="D130" s="12" t="str">
        <x:v>Truyền thông nội bộ</x:v>
      </x:c>
      <x:c r="E130" s="12" t="str">
        <x:v>Công ty Nghiên cứu MarketInsight</x:v>
      </x:c>
      <x:c r="F130" s="12" t="str">
        <x:v>Thanh toán sản xuất video - đợt 129</x:v>
      </x:c>
      <x:c r="G130" s="14" t="n">
        <x:v>80000000</x:v>
      </x:c>
      <x:c r="H130" s="14" t="n">
        <x:f>G130*10%</x:f>
        <x:v>8000000</x:v>
      </x:c>
      <x:c r="I130" s="14" t="n">
        <x:f>G130+H130</x:f>
        <x:v>88000000</x:v>
      </x:c>
      <x:c r="J130" s="12" t="str">
        <x:v>Đã thanh toán</x:v>
      </x:c>
      <x:c r="K130" s="12" t="str">
        <x:v>Trần Hoàng Nam</x:v>
      </x:c>
      <x:c r="L130" s="12" t="str">
        <x:v>DT-MKT-2026-113</x:v>
      </x:c>
    </x:row>
    <x:row r="131">
      <x:c r="A131" s="12" t="str">
        <x:v>DN-MKT-2026-130</x:v>
      </x:c>
      <x:c r="B131" s="20" t="n">
        <x:v>46306</x:v>
      </x:c>
      <x:c r="C131" s="12" t="str">
        <x:v>Q4</x:v>
      </x:c>
      <x:c r="D131" s="12" t="str">
        <x:v>Sản xuất nội dung</x:v>
      </x:c>
      <x:c r="E131" s="12" t="str">
        <x:v>Google Asia Pacific</x:v>
      </x:c>
      <x:c r="F131" s="12" t="str">
        <x:v>Thanh toán thiết kế ấn phẩm - đợt 130</x:v>
      </x:c>
      <x:c r="G131" s="14" t="n">
        <x:v>3000000</x:v>
      </x:c>
      <x:c r="H131" s="14" t="n">
        <x:f>G131*10%</x:f>
        <x:v>300000</x:v>
      </x:c>
      <x:c r="I131" s="14" t="n">
        <x:f>G131+H131</x:f>
        <x:v>3300000</x:v>
      </x:c>
      <x:c r="J131" s="12" t="str">
        <x:v>Chờ duyệt</x:v>
      </x:c>
      <x:c r="K131" s="12" t="str">
        <x:v>Lê Thu Hà</x:v>
      </x:c>
      <x:c r="L131" s="12" t="str">
        <x:v>DT-MKT-2026-099</x:v>
      </x:c>
    </x:row>
    <x:row r="132">
      <x:c r="A132" s="12" t="str">
        <x:v>DN-MKT-2026-131</x:v>
      </x:c>
      <x:c r="B132" s="20" t="n">
        <x:v>46344</x:v>
      </x:c>
      <x:c r="C132" s="12" t="str">
        <x:v>Q4</x:v>
      </x:c>
      <x:c r="D132" s="12" t="str">
        <x:v>Tuyển sinh &amp; truyền thông thương hiệu</x:v>
      </x:c>
      <x:c r="E132" s="12" t="str">
        <x:v>Nền tảng EmailCloud</x:v>
      </x:c>
      <x:c r="F132" s="12" t="str">
        <x:v>Thanh toán sản xuất video - đợt 131</x:v>
      </x:c>
      <x:c r="G132" s="14" t="n">
        <x:v>120000000</x:v>
      </x:c>
      <x:c r="H132" s="14" t="n">
        <x:f>G132*10%</x:f>
        <x:v>12000000</x:v>
      </x:c>
      <x:c r="I132" s="14" t="n">
        <x:f>G132+H132</x:f>
        <x:v>132000000</x:v>
      </x:c>
      <x:c r="J132" s="12" t="str">
        <x:v>Cần bổ sung chứng từ</x:v>
      </x:c>
      <x:c r="K132" s="12" t="str">
        <x:v>Lê Thu Hà</x:v>
      </x:c>
      <x:c r="L132" s="12" t="str">
        <x:v>DT-MKT-2026-096</x:v>
      </x:c>
    </x:row>
    <x:row r="133">
      <x:c r="A133" s="12" t="str">
        <x:v>DN-MKT-2026-132</x:v>
      </x:c>
      <x:c r="B133" s="20" t="n">
        <x:v>46381</x:v>
      </x:c>
      <x:c r="C133" s="12" t="str">
        <x:v>Q4</x:v>
      </x:c>
      <x:c r="D133" s="12" t="str">
        <x:v>Digital Marketing</x:v>
      </x:c>
      <x:c r="E133" s="12" t="str">
        <x:v>Nền tảng EmailCloud</x:v>
      </x:c>
      <x:c r="F133" s="12" t="str">
        <x:v>Thanh toán sản xuất video - đợt 132</x:v>
      </x:c>
      <x:c r="G133" s="14" t="n">
        <x:v>50000000</x:v>
      </x:c>
      <x:c r="H133" s="14" t="n">
        <x:f>G133*10%</x:f>
        <x:v>5000000</x:v>
      </x:c>
      <x:c r="I133" s="14" t="n">
        <x:f>G133+H133</x:f>
        <x:v>55000000</x:v>
      </x:c>
      <x:c r="J133" s="12" t="str">
        <x:v>Chờ duyệt</x:v>
      </x:c>
      <x:c r="K133" s="12" t="str">
        <x:v>Phạm Quang Huy</x:v>
      </x:c>
      <x:c r="L133" s="12" t="str">
        <x:v>DT-MKT-2026-081</x:v>
      </x:c>
    </x:row>
    <x:row r="134">
      <x:c r="A134" s="12" t="str">
        <x:v>DN-MKT-2026-133</x:v>
      </x:c>
      <x:c r="B134" s="20" t="n">
        <x:v>46029</x:v>
      </x:c>
      <x:c r="C134" s="12" t="str">
        <x:v>Q1</x:v>
      </x:c>
      <x:c r="D134" s="12" t="str">
        <x:v>Quan hệ báo chí</x:v>
      </x:c>
      <x:c r="E134" s="12" t="str">
        <x:v>Google Asia Pacific</x:v>
      </x:c>
      <x:c r="F134" s="12" t="str">
        <x:v>Thanh toán facebook/tiktok ads - đợt 133</x:v>
      </x:c>
      <x:c r="G134" s="14" t="n">
        <x:v>15000000</x:v>
      </x:c>
      <x:c r="H134" s="14" t="n">
        <x:f>G134*10%</x:f>
        <x:v>1500000</x:v>
      </x:c>
      <x:c r="I134" s="14" t="n">
        <x:f>G134+H134</x:f>
        <x:v>16500000</x:v>
      </x:c>
      <x:c r="J134" s="12" t="str">
        <x:v>Đã duyệt</x:v>
      </x:c>
      <x:c r="K134" s="12" t="str">
        <x:v>Phạm Quang Huy</x:v>
      </x:c>
      <x:c r="L134" s="12" t="str">
        <x:v>DT-MKT-2026-133</x:v>
      </x:c>
    </x:row>
    <x:row r="135">
      <x:c r="A135" s="12" t="str">
        <x:v>DN-MKT-2026-134</x:v>
      </x:c>
      <x:c r="B135" s="20" t="n">
        <x:v>46067</x:v>
      </x:c>
      <x:c r="C135" s="12" t="str">
        <x:v>Q1</x:v>
      </x:c>
      <x:c r="D135" s="12" t="str">
        <x:v>Email Marketing</x:v>
      </x:c>
      <x:c r="E135" s="12" t="str">
        <x:v>Google Asia Pacific</x:v>
      </x:c>
      <x:c r="F135" s="12" t="str">
        <x:v>Thanh toán booking báo chí - đợt 134</x:v>
      </x:c>
      <x:c r="G135" s="14" t="n">
        <x:v>30000000</x:v>
      </x:c>
      <x:c r="H135" s="14" t="n">
        <x:f>G135*10%</x:f>
        <x:v>3000000</x:v>
      </x:c>
      <x:c r="I135" s="14" t="n">
        <x:f>G135+H135</x:f>
        <x:v>33000000</x:v>
      </x:c>
      <x:c r="J135" s="12" t="str">
        <x:v>Chờ duyệt</x:v>
      </x:c>
      <x:c r="K135" s="12" t="str">
        <x:v>Phạm Quang Huy</x:v>
      </x:c>
      <x:c r="L135" s="12" t="str">
        <x:v>DT-MKT-2026-055</x:v>
      </x:c>
    </x:row>
    <x:row r="136">
      <x:c r="A136" s="12" t="str">
        <x:v>DN-MKT-2026-135</x:v>
      </x:c>
      <x:c r="B136" s="20" t="n">
        <x:v>46102</x:v>
      </x:c>
      <x:c r="C136" s="12" t="str">
        <x:v>Q1</x:v>
      </x:c>
      <x:c r="D136" s="12" t="str">
        <x:v>Sự kiện truyền thông</x:v>
      </x:c>
      <x:c r="E136" s="12" t="str">
        <x:v>Production House Lotus</x:v>
      </x:c>
      <x:c r="F136" s="12" t="str">
        <x:v>Thanh toán pr agency - đợt 135</x:v>
      </x:c>
      <x:c r="G136" s="14" t="n">
        <x:v>120000000</x:v>
      </x:c>
      <x:c r="H136" s="14" t="n">
        <x:f>G136*10%</x:f>
        <x:v>12000000</x:v>
      </x:c>
      <x:c r="I136" s="14" t="n">
        <x:f>G136+H136</x:f>
        <x:v>132000000</x:v>
      </x:c>
      <x:c r="J136" s="12" t="str">
        <x:v>Cần bổ sung chứng từ</x:v>
      </x:c>
      <x:c r="K136" s="12" t="str">
        <x:v>Trần Hoàng Nam</x:v>
      </x:c>
      <x:c r="L136" s="12" t="str">
        <x:v>DT-MKT-2026-032</x:v>
      </x:c>
    </x:row>
    <x:row r="137">
      <x:c r="A137" s="12" t="str">
        <x:v>DN-MKT-2026-136</x:v>
      </x:c>
      <x:c r="B137" s="20" t="n">
        <x:v>46115</x:v>
      </x:c>
      <x:c r="C137" s="12" t="str">
        <x:v>Q2</x:v>
      </x:c>
      <x:c r="D137" s="12" t="str">
        <x:v>Digital Marketing</x:v>
      </x:c>
      <x:c r="E137" s="12" t="str">
        <x:v>KOL Network Vietnam</x:v>
      </x:c>
      <x:c r="F137" s="12" t="str">
        <x:v>Thanh toán sản xuất video - đợt 136</x:v>
      </x:c>
      <x:c r="G137" s="14" t="n">
        <x:v>8000000</x:v>
      </x:c>
      <x:c r="H137" s="14" t="n">
        <x:f>G137*10%</x:f>
        <x:v>800000</x:v>
      </x:c>
      <x:c r="I137" s="14" t="n">
        <x:f>G137+H137</x:f>
        <x:v>8800000</x:v>
      </x:c>
      <x:c r="J137" s="12" t="str">
        <x:v>Cần bổ sung chứng từ</x:v>
      </x:c>
      <x:c r="K137" s="12" t="str">
        <x:v>Nguyễn Minh Anh</x:v>
      </x:c>
      <x:c r="L137" s="12" t="str">
        <x:v>DT-MKT-2026-082</x:v>
      </x:c>
    </x:row>
    <x:row r="138">
      <x:c r="A138" s="12" t="str">
        <x:v>DN-MKT-2026-137</x:v>
      </x:c>
      <x:c r="B138" s="20" t="n">
        <x:v>46152</x:v>
      </x:c>
      <x:c r="C138" s="12" t="str">
        <x:v>Q2</x:v>
      </x:c>
      <x:c r="D138" s="12" t="str">
        <x:v>Truyền thông nội bộ</x:v>
      </x:c>
      <x:c r="E138" s="12" t="str">
        <x:v>Google Asia Pacific</x:v>
      </x:c>
      <x:c r="F138" s="12" t="str">
        <x:v>Thanh toán in ấn posm - đợt 137</x:v>
      </x:c>
      <x:c r="G138" s="14" t="n">
        <x:v>20000000</x:v>
      </x:c>
      <x:c r="H138" s="14" t="n">
        <x:f>G138*10%</x:f>
        <x:v>2000000</x:v>
      </x:c>
      <x:c r="I138" s="14" t="n">
        <x:f>G138+H138</x:f>
        <x:v>22000000</x:v>
      </x:c>
      <x:c r="J138" s="12" t="str">
        <x:v>Chờ duyệt</x:v>
      </x:c>
      <x:c r="K138" s="12" t="str">
        <x:v>Lê Thu Hà</x:v>
      </x:c>
      <x:c r="L138" s="12" t="str">
        <x:v>DT-MKT-2026-041</x:v>
      </x:c>
    </x:row>
    <x:row r="139">
      <x:c r="A139" s="12" t="str">
        <x:v>DN-MKT-2026-138</x:v>
      </x:c>
      <x:c r="B139" s="20" t="n">
        <x:v>46190</x:v>
      </x:c>
      <x:c r="C139" s="12" t="str">
        <x:v>Q2</x:v>
      </x:c>
      <x:c r="D139" s="12" t="str">
        <x:v>Website &amp; SEO</x:v>
      </x:c>
      <x:c r="E139" s="12" t="str">
        <x:v>Công ty SEO Pro</x:v>
      </x:c>
      <x:c r="F139" s="12" t="str">
        <x:v>Thanh toán thiết kế ấn phẩm - đợt 138</x:v>
      </x:c>
      <x:c r="G139" s="14" t="n">
        <x:v>8000000</x:v>
      </x:c>
      <x:c r="H139" s="14" t="n">
        <x:f>G139*10%</x:f>
        <x:v>800000</x:v>
      </x:c>
      <x:c r="I139" s="14" t="n">
        <x:f>G139+H139</x:f>
        <x:v>8800000</x:v>
      </x:c>
      <x:c r="J139" s="12" t="str">
        <x:v>Đã thanh toán</x:v>
      </x:c>
      <x:c r="K139" s="12" t="str">
        <x:v>Trần Hoàng Nam</x:v>
      </x:c>
      <x:c r="L139" s="12" t="str">
        <x:v>DT-MKT-2026-036</x:v>
      </x:c>
    </x:row>
    <x:row r="140">
      <x:c r="A140" s="12" t="str">
        <x:v>DN-MKT-2026-139</x:v>
      </x:c>
      <x:c r="B140" s="20" t="n">
        <x:v>46227</x:v>
      </x:c>
      <x:c r="C140" s="12" t="str">
        <x:v>Q3</x:v>
      </x:c>
      <x:c r="D140" s="12" t="str">
        <x:v>Video/Photo Production</x:v>
      </x:c>
      <x:c r="E140" s="12" t="str">
        <x:v>Meta Việt Nam</x:v>
      </x:c>
      <x:c r="F140" s="12" t="str">
        <x:v>Thanh toán tổ chức sự kiện - đợt 139</x:v>
      </x:c>
      <x:c r="G140" s="14" t="n">
        <x:v>10000000</x:v>
      </x:c>
      <x:c r="H140" s="14" t="n">
        <x:f>G140*10%</x:f>
        <x:v>1000000</x:v>
      </x:c>
      <x:c r="I140" s="14" t="n">
        <x:f>G140+H140</x:f>
        <x:v>11000000</x:v>
      </x:c>
      <x:c r="J140" s="12" t="str">
        <x:v>Chờ duyệt</x:v>
      </x:c>
      <x:c r="K140" s="12" t="str">
        <x:v>Phạm Quang Huy</x:v>
      </x:c>
      <x:c r="L140" s="12" t="str">
        <x:v>DT-MKT-2026-142</x:v>
      </x:c>
    </x:row>
    <x:row r="141">
      <x:c r="A141" s="12" t="str">
        <x:v>DN-MKT-2026-140</x:v>
      </x:c>
      <x:c r="B141" s="20" t="n">
        <x:v>46240</x:v>
      </x:c>
      <x:c r="C141" s="12" t="str">
        <x:v>Q3</x:v>
      </x:c>
      <x:c r="D141" s="12" t="str">
        <x:v>Nghiên cứu thị trường</x:v>
      </x:c>
      <x:c r="E141" s="12" t="str">
        <x:v>Công ty Quà tặng Việt</x:v>
      </x:c>
      <x:c r="F141" s="12" t="str">
        <x:v>Thanh toán google ads - đợt 140</x:v>
      </x:c>
      <x:c r="G141" s="14" t="n">
        <x:v>8000000</x:v>
      </x:c>
      <x:c r="H141" s="14" t="n">
        <x:f>G141*10%</x:f>
        <x:v>800000</x:v>
      </x:c>
      <x:c r="I141" s="14" t="n">
        <x:f>G141+H141</x:f>
        <x:v>8800000</x:v>
      </x:c>
      <x:c r="J141" s="12" t="str">
        <x:v>Đã thanh toán</x:v>
      </x:c>
      <x:c r="K141" s="12" t="str">
        <x:v>Lê Thu Hà</x:v>
      </x:c>
      <x:c r="L141" s="12" t="str">
        <x:v>DT-MKT-2026-102</x:v>
      </x:c>
    </x:row>
    <x:row r="142">
      <x:c r="A142" s="12" t="str">
        <x:v>DN-MKT-2026-141</x:v>
      </x:c>
      <x:c r="B142" s="20" t="n">
        <x:v>46278</x:v>
      </x:c>
      <x:c r="C142" s="12" t="str">
        <x:v>Q3</x:v>
      </x:c>
      <x:c r="D142" s="12" t="str">
        <x:v>Email Marketing</x:v>
      </x:c>
      <x:c r="E142" s="12" t="str">
        <x:v>Báo điện tử Giáo dục</x:v>
      </x:c>
      <x:c r="F142" s="12" t="str">
        <x:v>Thanh toán email automation - đợt 141</x:v>
      </x:c>
      <x:c r="G142" s="14" t="n">
        <x:v>50000000</x:v>
      </x:c>
      <x:c r="H142" s="14" t="n">
        <x:f>G142*10%</x:f>
        <x:v>5000000</x:v>
      </x:c>
      <x:c r="I142" s="14" t="n">
        <x:f>G142+H142</x:f>
        <x:v>55000000</x:v>
      </x:c>
      <x:c r="J142" s="12" t="str">
        <x:v>Cần bổ sung chứng từ</x:v>
      </x:c>
      <x:c r="K142" s="12" t="str">
        <x:v>Đỗ Mai Linh</x:v>
      </x:c>
      <x:c r="L142" s="12" t="str">
        <x:v>DT-MKT-2026-019</x:v>
      </x:c>
    </x:row>
    <x:row r="143">
      <x:c r="A143" s="12" t="str">
        <x:v>DN-MKT-2026-142</x:v>
      </x:c>
      <x:c r="B143" s="20" t="n">
        <x:v>46315</x:v>
      </x:c>
      <x:c r="C143" s="12" t="str">
        <x:v>Q4</x:v>
      </x:c>
      <x:c r="D143" s="12" t="str">
        <x:v>Website &amp; SEO</x:v>
      </x:c>
      <x:c r="E143" s="12" t="str">
        <x:v>Công ty Nghiên cứu MarketInsight</x:v>
      </x:c>
      <x:c r="F143" s="12" t="str">
        <x:v>Thanh toán google ads - đợt 142</x:v>
      </x:c>
      <x:c r="G143" s="14" t="n">
        <x:v>8000000</x:v>
      </x:c>
      <x:c r="H143" s="14" t="n">
        <x:f>G143*10%</x:f>
        <x:v>800000</x:v>
      </x:c>
      <x:c r="I143" s="14" t="n">
        <x:f>G143+H143</x:f>
        <x:v>8800000</x:v>
      </x:c>
      <x:c r="J143" s="12" t="str">
        <x:v>Cần bổ sung chứng từ</x:v>
      </x:c>
      <x:c r="K143" s="12" t="str">
        <x:v>Phạm Quang Huy</x:v>
      </x:c>
      <x:c r="L143" s="12" t="str">
        <x:v>DT-MKT-2026-133</x:v>
      </x:c>
    </x:row>
    <x:row r="144">
      <x:c r="A144" s="12" t="str">
        <x:v>DN-MKT-2026-143</x:v>
      </x:c>
      <x:c r="B144" s="20" t="n">
        <x:v>46328</x:v>
      </x:c>
      <x:c r="C144" s="12" t="str">
        <x:v>Q4</x:v>
      </x:c>
      <x:c r="D144" s="12" t="str">
        <x:v>Sản xuất nội dung</x:v>
      </x:c>
      <x:c r="E144" s="12" t="str">
        <x:v>Công ty Quà tặng Việt</x:v>
      </x:c>
      <x:c r="F144" s="12" t="str">
        <x:v>Thanh toán khảo sát thị trường - đợt 143</x:v>
      </x:c>
      <x:c r="G144" s="14" t="n">
        <x:v>20000000</x:v>
      </x:c>
      <x:c r="H144" s="14" t="n">
        <x:f>G144*10%</x:f>
        <x:v>2000000</x:v>
      </x:c>
      <x:c r="I144" s="14" t="n">
        <x:f>G144+H144</x:f>
        <x:v>22000000</x:v>
      </x:c>
      <x:c r="J144" s="12" t="str">
        <x:v>Đã duyệt</x:v>
      </x:c>
      <x:c r="K144" s="12" t="str">
        <x:v>Trần Hoàng Nam</x:v>
      </x:c>
      <x:c r="L144" s="12" t="str">
        <x:v>DT-MKT-2026-111</x:v>
      </x:c>
    </x:row>
    <x:row r="145">
      <x:c r="A145" s="12" t="str">
        <x:v>DN-MKT-2026-144</x:v>
      </x:c>
      <x:c r="B145" s="20" t="n">
        <x:v>46365</x:v>
      </x:c>
      <x:c r="C145" s="12" t="str">
        <x:v>Q4</x:v>
      </x:c>
      <x:c r="D145" s="12" t="str">
        <x:v>Tuyển sinh &amp; truyền thông thương hiệu</x:v>
      </x:c>
      <x:c r="E145" s="12" t="str">
        <x:v>Đơn vị Livestream MediaPro</x:v>
      </x:c>
      <x:c r="F145" s="12" t="str">
        <x:v>Thanh toán google ads - đợt 144</x:v>
      </x:c>
      <x:c r="G145" s="14" t="n">
        <x:v>80000000</x:v>
      </x:c>
      <x:c r="H145" s="14" t="n">
        <x:f>G145*10%</x:f>
        <x:v>8000000</x:v>
      </x:c>
      <x:c r="I145" s="14" t="n">
        <x:f>G145+H145</x:f>
        <x:v>88000000</x:v>
      </x:c>
      <x:c r="J145" s="12" t="str">
        <x:v>Đã duyệt</x:v>
      </x:c>
      <x:c r="K145" s="12" t="str">
        <x:v>Lê Thu Hà</x:v>
      </x:c>
      <x:c r="L145" s="12" t="str">
        <x:v>DT-MKT-2026-043</x:v>
      </x:c>
    </x:row>
    <x:row r="146">
      <x:c r="A146" s="12" t="str">
        <x:v>DN-MKT-2026-145</x:v>
      </x:c>
      <x:c r="B146" s="20" t="n">
        <x:v>46038</x:v>
      </x:c>
      <x:c r="C146" s="12" t="str">
        <x:v>Q1</x:v>
      </x:c>
      <x:c r="D146" s="12" t="str">
        <x:v>Website &amp; SEO</x:v>
      </x:c>
      <x:c r="E146" s="12" t="str">
        <x:v>Công ty Quà tặng Việt</x:v>
      </x:c>
      <x:c r="F146" s="12" t="str">
        <x:v>Thanh toán livestream - đợt 145</x:v>
      </x:c>
      <x:c r="G146" s="14" t="n">
        <x:v>8000000</x:v>
      </x:c>
      <x:c r="H146" s="14" t="n">
        <x:f>G146*10%</x:f>
        <x:v>800000</x:v>
      </x:c>
      <x:c r="I146" s="14" t="n">
        <x:f>G146+H146</x:f>
        <x:v>8800000</x:v>
      </x:c>
      <x:c r="J146" s="12" t="str">
        <x:v>Đã duyệt</x:v>
      </x:c>
      <x:c r="K146" s="12" t="str">
        <x:v>Lê Thu Hà</x:v>
      </x:c>
      <x:c r="L146" s="12" t="str">
        <x:v>DT-MKT-2026-133</x:v>
      </x:c>
    </x:row>
    <x:row r="147">
      <x:c r="A147" s="12" t="str">
        <x:v>DN-MKT-2026-146</x:v>
      </x:c>
      <x:c r="B147" s="20" t="n">
        <x:v>46076</x:v>
      </x:c>
      <x:c r="C147" s="12" t="str">
        <x:v>Q1</x:v>
      </x:c>
      <x:c r="D147" s="12" t="str">
        <x:v>Digital Marketing</x:v>
      </x:c>
      <x:c r="E147" s="12" t="str">
        <x:v>Studio Sáng Tạo</x:v>
      </x:c>
      <x:c r="F147" s="12" t="str">
        <x:v>Thanh toán thiết kế ấn phẩm - đợt 146</x:v>
      </x:c>
      <x:c r="G147" s="14" t="n">
        <x:v>15000000</x:v>
      </x:c>
      <x:c r="H147" s="14" t="n">
        <x:f>G147*10%</x:f>
        <x:v>1500000</x:v>
      </x:c>
      <x:c r="I147" s="14" t="n">
        <x:f>G147+H147</x:f>
        <x:v>16500000</x:v>
      </x:c>
      <x:c r="J147" s="12" t="str">
        <x:v>Chờ duyệt</x:v>
      </x:c>
      <x:c r="K147" s="12" t="str">
        <x:v>Trần Hoàng Nam</x:v>
      </x:c>
      <x:c r="L147" s="12" t="str">
        <x:v>DT-MKT-2026-078</x:v>
      </x:c>
    </x:row>
    <x:row r="148">
      <x:c r="A148" s="12" t="str">
        <x:v>DN-MKT-2026-147</x:v>
      </x:c>
      <x:c r="B148" s="20" t="n">
        <x:v>46086</x:v>
      </x:c>
      <x:c r="C148" s="12" t="str">
        <x:v>Q1</x:v>
      </x:c>
      <x:c r="D148" s="12" t="str">
        <x:v>Email Marketing</x:v>
      </x:c>
      <x:c r="E148" s="12" t="str">
        <x:v>Google Asia Pacific</x:v>
      </x:c>
      <x:c r="F148" s="12" t="str">
        <x:v>Thanh toán in ấn posm - đợt 147</x:v>
      </x:c>
      <x:c r="G148" s="14" t="n">
        <x:v>120000000</x:v>
      </x:c>
      <x:c r="H148" s="14" t="n">
        <x:f>G148*10%</x:f>
        <x:v>12000000</x:v>
      </x:c>
      <x:c r="I148" s="14" t="n">
        <x:f>G148+H148</x:f>
        <x:v>132000000</x:v>
      </x:c>
      <x:c r="J148" s="12" t="str">
        <x:v>Đã duyệt</x:v>
      </x:c>
      <x:c r="K148" s="12" t="str">
        <x:v>Đỗ Mai Linh</x:v>
      </x:c>
      <x:c r="L148" s="12" t="str">
        <x:v>DT-MKT-2026-149</x:v>
      </x:c>
    </x:row>
    <x:row r="149">
      <x:c r="A149" s="12" t="str">
        <x:v>DN-MKT-2026-148</x:v>
      </x:c>
      <x:c r="B149" s="20" t="n">
        <x:v>46124</x:v>
      </x:c>
      <x:c r="C149" s="12" t="str">
        <x:v>Q2</x:v>
      </x:c>
      <x:c r="D149" s="12" t="str">
        <x:v>Sản xuất nội dung</x:v>
      </x:c>
      <x:c r="E149" s="12" t="str">
        <x:v>Công ty Nghiên cứu MarketInsight</x:v>
      </x:c>
      <x:c r="F149" s="12" t="str">
        <x:v>Thanh toán chụp ảnh - đợt 148</x:v>
      </x:c>
      <x:c r="G149" s="14" t="n">
        <x:v>8000000</x:v>
      </x:c>
      <x:c r="H149" s="14" t="n">
        <x:f>G149*10%</x:f>
        <x:v>800000</x:v>
      </x:c>
      <x:c r="I149" s="14" t="n">
        <x:f>G149+H149</x:f>
        <x:v>8800000</x:v>
      </x:c>
      <x:c r="J149" s="12" t="str">
        <x:v>Chờ duyệt</x:v>
      </x:c>
      <x:c r="K149" s="12" t="str">
        <x:v>Đỗ Mai Linh</x:v>
      </x:c>
      <x:c r="L149" s="12" t="str">
        <x:v>DT-MKT-2026-011</x:v>
      </x:c>
    </x:row>
    <x:row r="150">
      <x:c r="A150" s="12" t="str">
        <x:v>DN-MKT-2026-149</x:v>
      </x:c>
      <x:c r="B150" s="20" t="n">
        <x:v>46161</x:v>
      </x:c>
      <x:c r="C150" s="12" t="str">
        <x:v>Q2</x:v>
      </x:c>
      <x:c r="D150" s="12" t="str">
        <x:v>Digital Marketing</x:v>
      </x:c>
      <x:c r="E150" s="12" t="str">
        <x:v>Meta Việt Nam</x:v>
      </x:c>
      <x:c r="F150" s="12" t="str">
        <x:v>Thanh toán seo content - đợt 149</x:v>
      </x:c>
      <x:c r="G150" s="14" t="n">
        <x:v>3000000</x:v>
      </x:c>
      <x:c r="H150" s="14" t="n">
        <x:f>G150*10%</x:f>
        <x:v>300000</x:v>
      </x:c>
      <x:c r="I150" s="14" t="n">
        <x:f>G150+H150</x:f>
        <x:v>3300000</x:v>
      </x:c>
      <x:c r="J150" s="12" t="str">
        <x:v>Chờ duyệt</x:v>
      </x:c>
      <x:c r="K150" s="12" t="str">
        <x:v>Trần Hoàng Nam</x:v>
      </x:c>
      <x:c r="L150" s="12" t="str">
        <x:v>DT-MKT-2026-147</x:v>
      </x:c>
    </x:row>
    <x:row r="151">
      <x:c r="A151" s="12" t="str">
        <x:v>DN-MKT-2026-150</x:v>
      </x:c>
      <x:c r="B151" s="20" t="n">
        <x:v>46174</x:v>
      </x:c>
      <x:c r="C151" s="12" t="str">
        <x:v>Q2</x:v>
      </x:c>
      <x:c r="D151" s="12" t="str">
        <x:v>Nghiên cứu thị trường</x:v>
      </x:c>
      <x:c r="E151" s="12" t="str">
        <x:v>Công ty Nghiên cứu MarketInsight</x:v>
      </x:c>
      <x:c r="F151" s="12" t="str">
        <x:v>Thanh toán facebook/tiktok ads - đợt 150</x:v>
      </x:c>
      <x:c r="G151" s="14" t="n">
        <x:v>30000000</x:v>
      </x:c>
      <x:c r="H151" s="14" t="n">
        <x:f>G151*10%</x:f>
        <x:v>3000000</x:v>
      </x:c>
      <x:c r="I151" s="14" t="n">
        <x:f>G151+H151</x:f>
        <x:v>33000000</x:v>
      </x:c>
      <x:c r="J151" s="12" t="str">
        <x:v>Cần bổ sung chứng từ</x:v>
      </x:c>
      <x:c r="K151" s="12" t="str">
        <x:v>Đỗ Mai Linh</x:v>
      </x:c>
      <x:c r="L151" s="12" t="str">
        <x:v>DT-MKT-2026-075</x:v>
      </x:c>
    </x:row>
    <x:row r="152">
      <x:c r="A152" s="12" t="str">
        <x:v>DN-MKT-2026-151</x:v>
      </x:c>
      <x:c r="B152" s="20" t="n">
        <x:v>46211</x:v>
      </x:c>
      <x:c r="C152" s="12" t="str">
        <x:v>Q3</x:v>
      </x:c>
      <x:c r="D152" s="12" t="str">
        <x:v>Video/Photo Production</x:v>
      </x:c>
      <x:c r="E152" s="12" t="str">
        <x:v>Agency Truyền thông ABC</x:v>
      </x:c>
      <x:c r="F152" s="12" t="str">
        <x:v>Thanh toán email automation - đợt 151</x:v>
      </x:c>
      <x:c r="G152" s="14" t="n">
        <x:v>15000000</x:v>
      </x:c>
      <x:c r="H152" s="14" t="n">
        <x:f>G152*10%</x:f>
        <x:v>1500000</x:v>
      </x:c>
      <x:c r="I152" s="14" t="n">
        <x:f>G152+H152</x:f>
        <x:v>16500000</x:v>
      </x:c>
      <x:c r="J152" s="12" t="str">
        <x:v>Cần bổ sung chứng từ</x:v>
      </x:c>
      <x:c r="K152" s="12" t="str">
        <x:v>Lê Thu Hà</x:v>
      </x:c>
      <x:c r="L152" s="12" t="str">
        <x:v>DT-MKT-2026-117</x:v>
      </x:c>
    </x:row>
    <x:row r="153">
      <x:c r="A153" s="12" t="str">
        <x:v>DN-MKT-2026-152</x:v>
      </x:c>
      <x:c r="B153" s="20" t="n">
        <x:v>46249</x:v>
      </x:c>
      <x:c r="C153" s="12" t="str">
        <x:v>Q3</x:v>
      </x:c>
      <x:c r="D153" s="12" t="str">
        <x:v>Truyền thông nội bộ</x:v>
      </x:c>
      <x:c r="E153" s="12" t="str">
        <x:v>Meta Việt Nam</x:v>
      </x:c>
      <x:c r="F153" s="12" t="str">
        <x:v>Thanh toán sản xuất video - đợt 152</x:v>
      </x:c>
      <x:c r="G153" s="14" t="n">
        <x:v>5000000</x:v>
      </x:c>
      <x:c r="H153" s="14" t="n">
        <x:f>G153*10%</x:f>
        <x:v>500000</x:v>
      </x:c>
      <x:c r="I153" s="14" t="n">
        <x:f>G153+H153</x:f>
        <x:v>5500000</x:v>
      </x:c>
      <x:c r="J153" s="12" t="str">
        <x:v>Cần bổ sung chứng từ</x:v>
      </x:c>
      <x:c r="K153" s="12" t="str">
        <x:v>Phạm Quang Huy</x:v>
      </x:c>
      <x:c r="L153" s="12" t="str">
        <x:v>DT-MKT-2026-124</x:v>
      </x:c>
    </x:row>
    <x:row r="154">
      <x:c r="A154" s="12" t="str">
        <x:v>DN-MKT-2026-153</x:v>
      </x:c>
      <x:c r="B154" s="20" t="n">
        <x:v>46287</x:v>
      </x:c>
      <x:c r="C154" s="12" t="str">
        <x:v>Q3</x:v>
      </x:c>
      <x:c r="D154" s="12" t="str">
        <x:v>Quan hệ báo chí</x:v>
      </x:c>
      <x:c r="E154" s="12" t="str">
        <x:v>Công ty In Ấn Minh Phát</x:v>
      </x:c>
      <x:c r="F154" s="12" t="str">
        <x:v>Thanh toán chụp ảnh - đợt 153</x:v>
      </x:c>
      <x:c r="G154" s="14" t="n">
        <x:v>50000000</x:v>
      </x:c>
      <x:c r="H154" s="14" t="n">
        <x:f>G154*10%</x:f>
        <x:v>5000000</x:v>
      </x:c>
      <x:c r="I154" s="14" t="n">
        <x:f>G154+H154</x:f>
        <x:v>55000000</x:v>
      </x:c>
      <x:c r="J154" s="12" t="str">
        <x:v>Đã duyệt</x:v>
      </x:c>
      <x:c r="K154" s="12" t="str">
        <x:v>Lê Thu Hà</x:v>
      </x:c>
      <x:c r="L154" s="12" t="str">
        <x:v>DT-MKT-2026-082</x:v>
      </x:c>
    </x:row>
    <x:row r="155">
      <x:c r="A155" s="12" t="str">
        <x:v>DN-MKT-2026-154</x:v>
      </x:c>
      <x:c r="B155" s="20" t="n">
        <x:v>46299</x:v>
      </x:c>
      <x:c r="C155" s="12" t="str">
        <x:v>Q4</x:v>
      </x:c>
      <x:c r="D155" s="12" t="str">
        <x:v>Social Media</x:v>
      </x:c>
      <x:c r="E155" s="12" t="str">
        <x:v>Công ty EventPlus</x:v>
      </x:c>
      <x:c r="F155" s="12" t="str">
        <x:v>Thanh toán email automation - đợt 154</x:v>
      </x:c>
      <x:c r="G155" s="14" t="n">
        <x:v>20000000</x:v>
      </x:c>
      <x:c r="H155" s="14" t="n">
        <x:f>G155*10%</x:f>
        <x:v>2000000</x:v>
      </x:c>
      <x:c r="I155" s="14" t="n">
        <x:f>G155+H155</x:f>
        <x:v>22000000</x:v>
      </x:c>
      <x:c r="J155" s="12" t="str">
        <x:v>Chờ duyệt</x:v>
      </x:c>
      <x:c r="K155" s="12" t="str">
        <x:v>Đỗ Mai Linh</x:v>
      </x:c>
      <x:c r="L155" s="12" t="str">
        <x:v>DT-MKT-2026-144</x:v>
      </x:c>
    </x:row>
    <x:row r="156">
      <x:c r="A156" s="12" t="str">
        <x:v>DN-MKT-2026-155</x:v>
      </x:c>
      <x:c r="B156" s="20" t="n">
        <x:v>46337</x:v>
      </x:c>
      <x:c r="C156" s="12" t="str">
        <x:v>Q4</x:v>
      </x:c>
      <x:c r="D156" s="12" t="str">
        <x:v>Website &amp; SEO</x:v>
      </x:c>
      <x:c r="E156" s="12" t="str">
        <x:v>Agency Truyền thông ABC</x:v>
      </x:c>
      <x:c r="F156" s="12" t="str">
        <x:v>Thanh toán phần mềm marketing - đợt 155</x:v>
      </x:c>
      <x:c r="G156" s="14" t="n">
        <x:v>5000000</x:v>
      </x:c>
      <x:c r="H156" s="14" t="n">
        <x:f>G156*10%</x:f>
        <x:v>500000</x:v>
      </x:c>
      <x:c r="I156" s="14" t="n">
        <x:f>G156+H156</x:f>
        <x:v>5500000</x:v>
      </x:c>
      <x:c r="J156" s="12" t="str">
        <x:v>Đã thanh toán</x:v>
      </x:c>
      <x:c r="K156" s="12" t="str">
        <x:v>Lê Thu Hà</x:v>
      </x:c>
      <x:c r="L156" s="12" t="str">
        <x:v>DT-MKT-2026-116</x:v>
      </x:c>
    </x:row>
    <x:row r="157">
      <x:c r="A157" s="12" t="str">
        <x:v>DN-MKT-2026-156</x:v>
      </x:c>
      <x:c r="B157" s="20" t="n">
        <x:v>46374</x:v>
      </x:c>
      <x:c r="C157" s="12" t="str">
        <x:v>Q4</x:v>
      </x:c>
      <x:c r="D157" s="12" t="str">
        <x:v>Sản xuất nội dung</x:v>
      </x:c>
      <x:c r="E157" s="12" t="str">
        <x:v>Google Asia Pacific</x:v>
      </x:c>
      <x:c r="F157" s="12" t="str">
        <x:v>Thanh toán facebook/tiktok ads - đợt 156</x:v>
      </x:c>
      <x:c r="G157" s="14" t="n">
        <x:v>10000000</x:v>
      </x:c>
      <x:c r="H157" s="14" t="n">
        <x:f>G157*10%</x:f>
        <x:v>1000000</x:v>
      </x:c>
      <x:c r="I157" s="14" t="n">
        <x:f>G157+H157</x:f>
        <x:v>11000000</x:v>
      </x:c>
      <x:c r="J157" s="12" t="str">
        <x:v>Chờ duyệt</x:v>
      </x:c>
      <x:c r="K157" s="12" t="str">
        <x:v>Phạm Quang Huy</x:v>
      </x:c>
      <x:c r="L157" s="12" t="str">
        <x:v>DT-MKT-2026-108</x:v>
      </x:c>
    </x:row>
    <x:row r="158">
      <x:c r="A158" s="12" t="str">
        <x:v>DN-MKT-2026-157</x:v>
      </x:c>
      <x:c r="B158" s="20" t="n">
        <x:v>46047</x:v>
      </x:c>
      <x:c r="C158" s="12" t="str">
        <x:v>Q1</x:v>
      </x:c>
      <x:c r="D158" s="12" t="str">
        <x:v>Sản xuất nội dung</x:v>
      </x:c>
      <x:c r="E158" s="12" t="str">
        <x:v>Đơn vị Livestream MediaPro</x:v>
      </x:c>
      <x:c r="F158" s="12" t="str">
        <x:v>Thanh toán tổ chức sự kiện - đợt 157</x:v>
      </x:c>
      <x:c r="G158" s="14" t="n">
        <x:v>10000000</x:v>
      </x:c>
      <x:c r="H158" s="14" t="n">
        <x:f>G158*10%</x:f>
        <x:v>1000000</x:v>
      </x:c>
      <x:c r="I158" s="14" t="n">
        <x:f>G158+H158</x:f>
        <x:v>11000000</x:v>
      </x:c>
      <x:c r="J158" s="12" t="str">
        <x:v>Chờ duyệt</x:v>
      </x:c>
      <x:c r="K158" s="12" t="str">
        <x:v>Trần Hoàng Nam</x:v>
      </x:c>
      <x:c r="L158" s="12" t="str">
        <x:v>DT-MKT-2026-041</x:v>
      </x:c>
    </x:row>
    <x:row r="159">
      <x:c r="A159" s="12" t="str">
        <x:v>DN-MKT-2026-158</x:v>
      </x:c>
      <x:c r="B159" s="20" t="n">
        <x:v>46060</x:v>
      </x:c>
      <x:c r="C159" s="12" t="str">
        <x:v>Q1</x:v>
      </x:c>
      <x:c r="D159" s="12" t="str">
        <x:v>Email Marketing</x:v>
      </x:c>
      <x:c r="E159" s="12" t="str">
        <x:v>KOL Network Vietnam</x:v>
      </x:c>
      <x:c r="F159" s="12" t="str">
        <x:v>Thanh toán phần mềm marketing - đợt 158</x:v>
      </x:c>
      <x:c r="G159" s="14" t="n">
        <x:v>50000000</x:v>
      </x:c>
      <x:c r="H159" s="14" t="n">
        <x:f>G159*10%</x:f>
        <x:v>5000000</x:v>
      </x:c>
      <x:c r="I159" s="14" t="n">
        <x:f>G159+H159</x:f>
        <x:v>55000000</x:v>
      </x:c>
      <x:c r="J159" s="12" t="str">
        <x:v>Chờ duyệt</x:v>
      </x:c>
      <x:c r="K159" s="12" t="str">
        <x:v>Phạm Quang Huy</x:v>
      </x:c>
      <x:c r="L159" s="12" t="str">
        <x:v>DT-MKT-2026-006</x:v>
      </x:c>
    </x:row>
    <x:row r="160">
      <x:c r="A160" s="12" t="str">
        <x:v>DN-MKT-2026-159</x:v>
      </x:c>
      <x:c r="B160" s="20" t="n">
        <x:v>46095</x:v>
      </x:c>
      <x:c r="C160" s="12" t="str">
        <x:v>Q1</x:v>
      </x:c>
      <x:c r="D160" s="12" t="str">
        <x:v>Social Media</x:v>
      </x:c>
      <x:c r="E160" s="12" t="str">
        <x:v>Công ty SEO Pro</x:v>
      </x:c>
      <x:c r="F160" s="12" t="str">
        <x:v>Thanh toán phần mềm marketing - đợt 159</x:v>
      </x:c>
      <x:c r="G160" s="14" t="n">
        <x:v>5000000</x:v>
      </x:c>
      <x:c r="H160" s="14" t="n">
        <x:f>G160*10%</x:f>
        <x:v>500000</x:v>
      </x:c>
      <x:c r="I160" s="14" t="n">
        <x:f>G160+H160</x:f>
        <x:v>5500000</x:v>
      </x:c>
      <x:c r="J160" s="12" t="str">
        <x:v>Đã duyệt</x:v>
      </x:c>
      <x:c r="K160" s="12" t="str">
        <x:v>Trần Hoàng Nam</x:v>
      </x:c>
      <x:c r="L160" s="12" t="str">
        <x:v>DT-MKT-2026-150</x:v>
      </x:c>
    </x:row>
    <x:row r="161">
      <x:c r="A161" s="12" t="str">
        <x:v>DN-MKT-2026-160</x:v>
      </x:c>
      <x:c r="B161" s="20" t="n">
        <x:v>46133</x:v>
      </x:c>
      <x:c r="C161" s="12" t="str">
        <x:v>Q2</x:v>
      </x:c>
      <x:c r="D161" s="12" t="str">
        <x:v>Tuyển sinh &amp; truyền thông thương hiệu</x:v>
      </x:c>
      <x:c r="E161" s="12" t="str">
        <x:v>Meta Việt Nam</x:v>
      </x:c>
      <x:c r="F161" s="12" t="str">
        <x:v>Thanh toán booking báo chí - đợt 160</x:v>
      </x:c>
      <x:c r="G161" s="14" t="n">
        <x:v>20000000</x:v>
      </x:c>
      <x:c r="H161" s="14" t="n">
        <x:f>G161*10%</x:f>
        <x:v>2000000</x:v>
      </x:c>
      <x:c r="I161" s="14" t="n">
        <x:f>G161+H161</x:f>
        <x:v>22000000</x:v>
      </x:c>
      <x:c r="J161" s="12" t="str">
        <x:v>Cần bổ sung chứng từ</x:v>
      </x:c>
      <x:c r="K161" s="12" t="str">
        <x:v>Đỗ Mai Linh</x:v>
      </x:c>
      <x:c r="L161" s="12" t="str">
        <x:v>DT-MKT-2026-121</x:v>
      </x:c>
    </x:row>
    <x:row r="162">
      <x:c r="A162" s="12" t="str">
        <x:v>DN-MKT-2026-161</x:v>
      </x:c>
      <x:c r="B162" s="20" t="n">
        <x:v>46145</x:v>
      </x:c>
      <x:c r="C162" s="12" t="str">
        <x:v>Q2</x:v>
      </x:c>
      <x:c r="D162" s="12" t="str">
        <x:v>Email Marketing</x:v>
      </x:c>
      <x:c r="E162" s="12" t="str">
        <x:v>Meta Việt Nam</x:v>
      </x:c>
      <x:c r="F162" s="12" t="str">
        <x:v>Thanh toán khảo sát thị trường - đợt 161</x:v>
      </x:c>
      <x:c r="G162" s="14" t="n">
        <x:v>15000000</x:v>
      </x:c>
      <x:c r="H162" s="14" t="n">
        <x:f>G162*10%</x:f>
        <x:v>1500000</x:v>
      </x:c>
      <x:c r="I162" s="14" t="n">
        <x:f>G162+H162</x:f>
        <x:v>16500000</x:v>
      </x:c>
      <x:c r="J162" s="12" t="str">
        <x:v>Đã thanh toán</x:v>
      </x:c>
      <x:c r="K162" s="12" t="str">
        <x:v>Phạm Quang Huy</x:v>
      </x:c>
      <x:c r="L162" s="12" t="str">
        <x:v>DT-MKT-2026-035</x:v>
      </x:c>
    </x:row>
    <x:row r="163">
      <x:c r="A163" s="12" t="str">
        <x:v>DN-MKT-2026-162</x:v>
      </x:c>
      <x:c r="B163" s="20" t="n">
        <x:v>46183</x:v>
      </x:c>
      <x:c r="C163" s="12" t="str">
        <x:v>Q2</x:v>
      </x:c>
      <x:c r="D163" s="12" t="str">
        <x:v>Truyền thông nội bộ</x:v>
      </x:c>
      <x:c r="E163" s="12" t="str">
        <x:v>Công ty In Ấn Minh Phát</x:v>
      </x:c>
      <x:c r="F163" s="12" t="str">
        <x:v>Thanh toán email automation - đợt 162</x:v>
      </x:c>
      <x:c r="G163" s="14" t="n">
        <x:v>15000000</x:v>
      </x:c>
      <x:c r="H163" s="14" t="n">
        <x:f>G163*10%</x:f>
        <x:v>1500000</x:v>
      </x:c>
      <x:c r="I163" s="14" t="n">
        <x:f>G163+H163</x:f>
        <x:v>16500000</x:v>
      </x:c>
      <x:c r="J163" s="12" t="str">
        <x:v>Cần bổ sung chứng từ</x:v>
      </x:c>
      <x:c r="K163" s="12" t="str">
        <x:v>Lê Thu Hà</x:v>
      </x:c>
      <x:c r="L163" s="12" t="str">
        <x:v>DT-MKT-2026-012</x:v>
      </x:c>
    </x:row>
    <x:row r="164">
      <x:c r="A164" s="12" t="str">
        <x:v>DN-MKT-2026-163</x:v>
      </x:c>
      <x:c r="B164" s="20" t="n">
        <x:v>46220</x:v>
      </x:c>
      <x:c r="C164" s="12" t="str">
        <x:v>Q3</x:v>
      </x:c>
      <x:c r="D164" s="12" t="str">
        <x:v>Tuyển sinh &amp; truyền thông thương hiệu</x:v>
      </x:c>
      <x:c r="E164" s="12" t="str">
        <x:v>Nền tảng EmailCloud</x:v>
      </x:c>
      <x:c r="F164" s="12" t="str">
        <x:v>Thanh toán in ấn posm - đợt 163</x:v>
      </x:c>
      <x:c r="G164" s="14" t="n">
        <x:v>30000000</x:v>
      </x:c>
      <x:c r="H164" s="14" t="n">
        <x:f>G164*10%</x:f>
        <x:v>3000000</x:v>
      </x:c>
      <x:c r="I164" s="14" t="n">
        <x:f>G164+H164</x:f>
        <x:v>33000000</x:v>
      </x:c>
      <x:c r="J164" s="12" t="str">
        <x:v>Đã duyệt</x:v>
      </x:c>
      <x:c r="K164" s="12" t="str">
        <x:v>Lê Thu Hà</x:v>
      </x:c>
      <x:c r="L164" s="12" t="str">
        <x:v>DT-MKT-2026-142</x:v>
      </x:c>
    </x:row>
    <x:row r="165">
      <x:c r="A165" s="12" t="str">
        <x:v>DN-MKT-2026-164</x:v>
      </x:c>
      <x:c r="B165" s="20" t="n">
        <x:v>46258</x:v>
      </x:c>
      <x:c r="C165" s="12" t="str">
        <x:v>Q3</x:v>
      </x:c>
      <x:c r="D165" s="12" t="str">
        <x:v>Digital Marketing</x:v>
      </x:c>
      <x:c r="E165" s="12" t="str">
        <x:v>Báo điện tử Giáo dục</x:v>
      </x:c>
      <x:c r="F165" s="12" t="str">
        <x:v>Thanh toán in ấn posm - đợt 164</x:v>
      </x:c>
      <x:c r="G165" s="14" t="n">
        <x:v>15000000</x:v>
      </x:c>
      <x:c r="H165" s="14" t="n">
        <x:f>G165*10%</x:f>
        <x:v>1500000</x:v>
      </x:c>
      <x:c r="I165" s="14" t="n">
        <x:f>G165+H165</x:f>
        <x:v>16500000</x:v>
      </x:c>
      <x:c r="J165" s="12" t="str">
        <x:v>Cần bổ sung chứng từ</x:v>
      </x:c>
      <x:c r="K165" s="12" t="str">
        <x:v>Đỗ Mai Linh</x:v>
      </x:c>
      <x:c r="L165" s="12" t="str">
        <x:v>DT-MKT-2026-072</x:v>
      </x:c>
    </x:row>
    <x:row r="166">
      <x:c r="A166" s="12" t="str">
        <x:v>DN-MKT-2026-165</x:v>
      </x:c>
      <x:c r="B166" s="20" t="n">
        <x:v>46271</x:v>
      </x:c>
      <x:c r="C166" s="12" t="str">
        <x:v>Q3</x:v>
      </x:c>
      <x:c r="D166" s="12" t="str">
        <x:v>Quản trị thương hiệu</x:v>
      </x:c>
      <x:c r="E166" s="12" t="str">
        <x:v>Nền tảng EmailCloud</x:v>
      </x:c>
      <x:c r="F166" s="12" t="str">
        <x:v>Thanh toán google ads - đợt 165</x:v>
      </x:c>
      <x:c r="G166" s="14" t="n">
        <x:v>120000000</x:v>
      </x:c>
      <x:c r="H166" s="14" t="n">
        <x:f>G166*10%</x:f>
        <x:v>12000000</x:v>
      </x:c>
      <x:c r="I166" s="14" t="n">
        <x:f>G166+H166</x:f>
        <x:v>132000000</x:v>
      </x:c>
      <x:c r="J166" s="12" t="str">
        <x:v>Đã duyệt</x:v>
      </x:c>
      <x:c r="K166" s="12" t="str">
        <x:v>Nguyễn Minh Anh</x:v>
      </x:c>
      <x:c r="L166" s="12" t="str">
        <x:v>DT-MKT-2026-101</x:v>
      </x:c>
    </x:row>
    <x:row r="167">
      <x:c r="A167" s="12" t="str">
        <x:v>DN-MKT-2026-166</x:v>
      </x:c>
      <x:c r="B167" s="20" t="n">
        <x:v>46308</x:v>
      </x:c>
      <x:c r="C167" s="12" t="str">
        <x:v>Q4</x:v>
      </x:c>
      <x:c r="D167" s="12" t="str">
        <x:v>Website &amp; SEO</x:v>
      </x:c>
      <x:c r="E167" s="12" t="str">
        <x:v>Công ty SEO Pro</x:v>
      </x:c>
      <x:c r="F167" s="12" t="str">
        <x:v>Thanh toán tổ chức sự kiện - đợt 166</x:v>
      </x:c>
      <x:c r="G167" s="14" t="n">
        <x:v>20000000</x:v>
      </x:c>
      <x:c r="H167" s="14" t="n">
        <x:f>G167*10%</x:f>
        <x:v>2000000</x:v>
      </x:c>
      <x:c r="I167" s="14" t="n">
        <x:f>G167+H167</x:f>
        <x:v>22000000</x:v>
      </x:c>
      <x:c r="J167" s="12" t="str">
        <x:v>Đã duyệt</x:v>
      </x:c>
      <x:c r="K167" s="12" t="str">
        <x:v>Trần Hoàng Nam</x:v>
      </x:c>
      <x:c r="L167" s="12" t="str">
        <x:v>DT-MKT-2026-131</x:v>
      </x:c>
    </x:row>
    <x:row r="168">
      <x:c r="A168" s="12" t="str">
        <x:v>DN-MKT-2026-167</x:v>
      </x:c>
      <x:c r="B168" s="20" t="n">
        <x:v>46346</x:v>
      </x:c>
      <x:c r="C168" s="12" t="str">
        <x:v>Q4</x:v>
      </x:c>
      <x:c r="D168" s="12" t="str">
        <x:v>Email Marketing</x:v>
      </x:c>
      <x:c r="E168" s="12" t="str">
        <x:v>Meta Việt Nam</x:v>
      </x:c>
      <x:c r="F168" s="12" t="str">
        <x:v>Thanh toán facebook/tiktok ads - đợt 167</x:v>
      </x:c>
      <x:c r="G168" s="14" t="n">
        <x:v>30000000</x:v>
      </x:c>
      <x:c r="H168" s="14" t="n">
        <x:f>G168*10%</x:f>
        <x:v>3000000</x:v>
      </x:c>
      <x:c r="I168" s="14" t="n">
        <x:f>G168+H168</x:f>
        <x:v>33000000</x:v>
      </x:c>
      <x:c r="J168" s="12" t="str">
        <x:v>Đã thanh toán</x:v>
      </x:c>
      <x:c r="K168" s="12" t="str">
        <x:v>Trần Hoàng Nam</x:v>
      </x:c>
      <x:c r="L168" s="12" t="str">
        <x:v>DT-MKT-2026-086</x:v>
      </x:c>
    </x:row>
    <x:row r="169">
      <x:c r="A169" s="12" t="str">
        <x:v>DN-MKT-2026-168</x:v>
      </x:c>
      <x:c r="B169" s="20" t="n">
        <x:v>46358</x:v>
      </x:c>
      <x:c r="C169" s="12" t="str">
        <x:v>Q4</x:v>
      </x:c>
      <x:c r="D169" s="12" t="str">
        <x:v>Email Marketing</x:v>
      </x:c>
      <x:c r="E169" s="12" t="str">
        <x:v>KOL Network Vietnam</x:v>
      </x:c>
      <x:c r="F169" s="12" t="str">
        <x:v>Thanh toán sản xuất video - đợt 168</x:v>
      </x:c>
      <x:c r="G169" s="14" t="n">
        <x:v>50000000</x:v>
      </x:c>
      <x:c r="H169" s="14" t="n">
        <x:f>G169*10%</x:f>
        <x:v>5000000</x:v>
      </x:c>
      <x:c r="I169" s="14" t="n">
        <x:f>G169+H169</x:f>
        <x:v>55000000</x:v>
      </x:c>
      <x:c r="J169" s="12" t="str">
        <x:v>Đã duyệt</x:v>
      </x:c>
      <x:c r="K169" s="12" t="str">
        <x:v>Lê Thu Hà</x:v>
      </x:c>
      <x:c r="L169" s="12" t="str">
        <x:v>DT-MKT-2026-082</x:v>
      </x:c>
    </x:row>
    <x:row r="170">
      <x:c r="A170" s="12" t="str">
        <x:v>DN-MKT-2026-169</x:v>
      </x:c>
      <x:c r="B170" s="20" t="n">
        <x:v>46031</x:v>
      </x:c>
      <x:c r="C170" s="12" t="str">
        <x:v>Q1</x:v>
      </x:c>
      <x:c r="D170" s="12" t="str">
        <x:v>Social Media</x:v>
      </x:c>
      <x:c r="E170" s="12" t="str">
        <x:v>Nền tảng EmailCloud</x:v>
      </x:c>
      <x:c r="F170" s="12" t="str">
        <x:v>Thanh toán livestream - đợt 169</x:v>
      </x:c>
      <x:c r="G170" s="14" t="n">
        <x:v>8000000</x:v>
      </x:c>
      <x:c r="H170" s="14" t="n">
        <x:f>G170*10%</x:f>
        <x:v>800000</x:v>
      </x:c>
      <x:c r="I170" s="14" t="n">
        <x:f>G170+H170</x:f>
        <x:v>8800000</x:v>
      </x:c>
      <x:c r="J170" s="12" t="str">
        <x:v>Chờ duyệt</x:v>
      </x:c>
      <x:c r="K170" s="12" t="str">
        <x:v>Đỗ Mai Linh</x:v>
      </x:c>
      <x:c r="L170" s="12" t="str">
        <x:v>DT-MKT-2026-087</x:v>
      </x:c>
    </x:row>
    <x:row r="171">
      <x:c r="A171" s="12" t="str">
        <x:v>DN-MKT-2026-170</x:v>
      </x:c>
      <x:c r="B171" s="20" t="n">
        <x:v>46069</x:v>
      </x:c>
      <x:c r="C171" s="12" t="str">
        <x:v>Q1</x:v>
      </x:c>
      <x:c r="D171" s="12" t="str">
        <x:v>Email Marketing</x:v>
      </x:c>
      <x:c r="E171" s="12" t="str">
        <x:v>Công ty SEO Pro</x:v>
      </x:c>
      <x:c r="F171" s="12" t="str">
        <x:v>Thanh toán phần mềm marketing - đợt 170</x:v>
      </x:c>
      <x:c r="G171" s="14" t="n">
        <x:v>80000000</x:v>
      </x:c>
      <x:c r="H171" s="14" t="n">
        <x:f>G171*10%</x:f>
        <x:v>8000000</x:v>
      </x:c>
      <x:c r="I171" s="14" t="n">
        <x:f>G171+H171</x:f>
        <x:v>88000000</x:v>
      </x:c>
      <x:c r="J171" s="12" t="str">
        <x:v>Chờ duyệt</x:v>
      </x:c>
      <x:c r="K171" s="12" t="str">
        <x:v>Phạm Quang Huy</x:v>
      </x:c>
      <x:c r="L171" s="12" t="str">
        <x:v>DT-MKT-2026-005</x:v>
      </x:c>
    </x:row>
    <x:row r="172">
      <x:c r="A172" s="12" t="str">
        <x:v>DN-MKT-2026-171</x:v>
      </x:c>
      <x:c r="B172" s="20" t="n">
        <x:v>46104</x:v>
      </x:c>
      <x:c r="C172" s="12" t="str">
        <x:v>Q1</x:v>
      </x:c>
      <x:c r="D172" s="12" t="str">
        <x:v>Website &amp; SEO</x:v>
      </x:c>
      <x:c r="E172" s="12" t="str">
        <x:v>Công ty Nghiên cứu MarketInsight</x:v>
      </x:c>
      <x:c r="F172" s="12" t="str">
        <x:v>Thanh toán google ads - đợt 171</x:v>
      </x:c>
      <x:c r="G172" s="14" t="n">
        <x:v>20000000</x:v>
      </x:c>
      <x:c r="H172" s="14" t="n">
        <x:f>G172*10%</x:f>
        <x:v>2000000</x:v>
      </x:c>
      <x:c r="I172" s="14" t="n">
        <x:f>G172+H172</x:f>
        <x:v>22000000</x:v>
      </x:c>
      <x:c r="J172" s="12" t="str">
        <x:v>Cần bổ sung chứng từ</x:v>
      </x:c>
      <x:c r="K172" s="12" t="str">
        <x:v>Đỗ Mai Linh</x:v>
      </x:c>
      <x:c r="L172" s="12" t="str">
        <x:v>DT-MKT-2026-079</x:v>
      </x:c>
    </x:row>
    <x:row r="173">
      <x:c r="A173" s="12" t="str">
        <x:v>DN-MKT-2026-172</x:v>
      </x:c>
      <x:c r="B173" s="20" t="n">
        <x:v>46117</x:v>
      </x:c>
      <x:c r="C173" s="12" t="str">
        <x:v>Q2</x:v>
      </x:c>
      <x:c r="D173" s="12" t="str">
        <x:v>Nghiên cứu thị trường</x:v>
      </x:c>
      <x:c r="E173" s="12" t="str">
        <x:v>KOL Network Vietnam</x:v>
      </x:c>
      <x:c r="F173" s="12" t="str">
        <x:v>Thanh toán booking báo chí - đợt 172</x:v>
      </x:c>
      <x:c r="G173" s="14" t="n">
        <x:v>3000000</x:v>
      </x:c>
      <x:c r="H173" s="14" t="n">
        <x:f>G173*10%</x:f>
        <x:v>300000</x:v>
      </x:c>
      <x:c r="I173" s="14" t="n">
        <x:f>G173+H173</x:f>
        <x:v>3300000</x:v>
      </x:c>
      <x:c r="J173" s="12" t="str">
        <x:v>Đã duyệt</x:v>
      </x:c>
      <x:c r="K173" s="12" t="str">
        <x:v>Nguyễn Minh Anh</x:v>
      </x:c>
      <x:c r="L173" s="12" t="str">
        <x:v>DT-MKT-2026-150</x:v>
      </x:c>
    </x:row>
    <x:row r="174">
      <x:c r="A174" s="12" t="str">
        <x:v>DN-MKT-2026-173</x:v>
      </x:c>
      <x:c r="B174" s="20" t="n">
        <x:v>46154</x:v>
      </x:c>
      <x:c r="C174" s="12" t="str">
        <x:v>Q2</x:v>
      </x:c>
      <x:c r="D174" s="12" t="str">
        <x:v>Sản xuất nội dung</x:v>
      </x:c>
      <x:c r="E174" s="12" t="str">
        <x:v>Công ty SEO Pro</x:v>
      </x:c>
      <x:c r="F174" s="12" t="str">
        <x:v>Thanh toán seo content - đợt 173</x:v>
      </x:c>
      <x:c r="G174" s="14" t="n">
        <x:v>50000000</x:v>
      </x:c>
      <x:c r="H174" s="14" t="n">
        <x:f>G174*10%</x:f>
        <x:v>5000000</x:v>
      </x:c>
      <x:c r="I174" s="14" t="n">
        <x:f>G174+H174</x:f>
        <x:v>55000000</x:v>
      </x:c>
      <x:c r="J174" s="12" t="str">
        <x:v>Cần bổ sung chứng từ</x:v>
      </x:c>
      <x:c r="K174" s="12" t="str">
        <x:v>Trần Hoàng Nam</x:v>
      </x:c>
      <x:c r="L174" s="12" t="str">
        <x:v>DT-MKT-2026-063</x:v>
      </x:c>
    </x:row>
    <x:row r="175">
      <x:c r="A175" s="12" t="str">
        <x:v>DN-MKT-2026-174</x:v>
      </x:c>
      <x:c r="B175" s="20" t="n">
        <x:v>46192</x:v>
      </x:c>
      <x:c r="C175" s="12" t="str">
        <x:v>Q2</x:v>
      </x:c>
      <x:c r="D175" s="12" t="str">
        <x:v>Nghiên cứu thị trường</x:v>
      </x:c>
      <x:c r="E175" s="12" t="str">
        <x:v>Production House Lotus</x:v>
      </x:c>
      <x:c r="F175" s="12" t="str">
        <x:v>Thanh toán google ads - đợt 174</x:v>
      </x:c>
      <x:c r="G175" s="14" t="n">
        <x:v>3000000</x:v>
      </x:c>
      <x:c r="H175" s="14" t="n">
        <x:f>G175*10%</x:f>
        <x:v>300000</x:v>
      </x:c>
      <x:c r="I175" s="14" t="n">
        <x:f>G175+H175</x:f>
        <x:v>3300000</x:v>
      </x:c>
      <x:c r="J175" s="12" t="str">
        <x:v>Đã duyệt</x:v>
      </x:c>
      <x:c r="K175" s="12" t="str">
        <x:v>Nguyễn Minh Anh</x:v>
      </x:c>
      <x:c r="L175" s="12" t="str">
        <x:v>DT-MKT-2026-113</x:v>
      </x:c>
    </x:row>
    <x:row r="176">
      <x:c r="A176" s="12" t="str">
        <x:v>DN-MKT-2026-175</x:v>
      </x:c>
      <x:c r="B176" s="20" t="n">
        <x:v>46204</x:v>
      </x:c>
      <x:c r="C176" s="12" t="str">
        <x:v>Q3</x:v>
      </x:c>
      <x:c r="D176" s="12" t="str">
        <x:v>Social Media</x:v>
      </x:c>
      <x:c r="E176" s="12" t="str">
        <x:v>Công ty EventPlus</x:v>
      </x:c>
      <x:c r="F176" s="12" t="str">
        <x:v>Thanh toán kol/influencer - đợt 175</x:v>
      </x:c>
      <x:c r="G176" s="14" t="n">
        <x:v>20000000</x:v>
      </x:c>
      <x:c r="H176" s="14" t="n">
        <x:f>G176*10%</x:f>
        <x:v>2000000</x:v>
      </x:c>
      <x:c r="I176" s="14" t="n">
        <x:f>G176+H176</x:f>
        <x:v>22000000</x:v>
      </x:c>
      <x:c r="J176" s="12" t="str">
        <x:v>Đã duyệt</x:v>
      </x:c>
      <x:c r="K176" s="12" t="str">
        <x:v>Phạm Quang Huy</x:v>
      </x:c>
      <x:c r="L176" s="12" t="str">
        <x:v>DT-MKT-2026-129</x:v>
      </x:c>
    </x:row>
    <x:row r="177">
      <x:c r="A177" s="12" t="str">
        <x:v>DN-MKT-2026-176</x:v>
      </x:c>
      <x:c r="B177" s="20" t="n">
        <x:v>46242</x:v>
      </x:c>
      <x:c r="C177" s="12" t="str">
        <x:v>Q3</x:v>
      </x:c>
      <x:c r="D177" s="12" t="str">
        <x:v>Video/Photo Production</x:v>
      </x:c>
      <x:c r="E177" s="12" t="str">
        <x:v>Đơn vị Livestream MediaPro</x:v>
      </x:c>
      <x:c r="F177" s="12" t="str">
        <x:v>Thanh toán khảo sát thị trường - đợt 176</x:v>
      </x:c>
      <x:c r="G177" s="14" t="n">
        <x:v>120000000</x:v>
      </x:c>
      <x:c r="H177" s="14" t="n">
        <x:f>G177*10%</x:f>
        <x:v>12000000</x:v>
      </x:c>
      <x:c r="I177" s="14" t="n">
        <x:f>G177+H177</x:f>
        <x:v>132000000</x:v>
      </x:c>
      <x:c r="J177" s="12" t="str">
        <x:v>Đã thanh toán</x:v>
      </x:c>
      <x:c r="K177" s="12" t="str">
        <x:v>Trần Hoàng Nam</x:v>
      </x:c>
      <x:c r="L177" s="12" t="str">
        <x:v>DT-MKT-2026-133</x:v>
      </x:c>
    </x:row>
    <x:row r="178">
      <x:c r="A178" s="12" t="str">
        <x:v>DN-MKT-2026-177</x:v>
      </x:c>
      <x:c r="B178" s="20" t="n">
        <x:v>46280</x:v>
      </x:c>
      <x:c r="C178" s="12" t="str">
        <x:v>Q3</x:v>
      </x:c>
      <x:c r="D178" s="12" t="str">
        <x:v>Email Marketing</x:v>
      </x:c>
      <x:c r="E178" s="12" t="str">
        <x:v>Công ty In Ấn Minh Phát</x:v>
      </x:c>
      <x:c r="F178" s="12" t="str">
        <x:v>Thanh toán seo content - đợt 177</x:v>
      </x:c>
      <x:c r="G178" s="14" t="n">
        <x:v>10000000</x:v>
      </x:c>
      <x:c r="H178" s="14" t="n">
        <x:f>G178*10%</x:f>
        <x:v>1000000</x:v>
      </x:c>
      <x:c r="I178" s="14" t="n">
        <x:f>G178+H178</x:f>
        <x:v>11000000</x:v>
      </x:c>
      <x:c r="J178" s="12" t="str">
        <x:v>Cần bổ sung chứng từ</x:v>
      </x:c>
      <x:c r="K178" s="12" t="str">
        <x:v>Đỗ Mai Linh</x:v>
      </x:c>
      <x:c r="L178" s="12" t="str">
        <x:v>DT-MKT-2026-097</x:v>
      </x:c>
    </x:row>
    <x:row r="179">
      <x:c r="A179" s="12" t="str">
        <x:v>DN-MKT-2026-178</x:v>
      </x:c>
      <x:c r="B179" s="20" t="n">
        <x:v>46317</x:v>
      </x:c>
      <x:c r="C179" s="12" t="str">
        <x:v>Q4</x:v>
      </x:c>
      <x:c r="D179" s="12" t="str">
        <x:v>Sản xuất nội dung</x:v>
      </x:c>
      <x:c r="E179" s="12" t="str">
        <x:v>KOL Network Vietnam</x:v>
      </x:c>
      <x:c r="F179" s="12" t="str">
        <x:v>Thanh toán pr agency - đợt 178</x:v>
      </x:c>
      <x:c r="G179" s="14" t="n">
        <x:v>20000000</x:v>
      </x:c>
      <x:c r="H179" s="14" t="n">
        <x:f>G179*10%</x:f>
        <x:v>2000000</x:v>
      </x:c>
      <x:c r="I179" s="14" t="n">
        <x:f>G179+H179</x:f>
        <x:v>22000000</x:v>
      </x:c>
      <x:c r="J179" s="12" t="str">
        <x:v>Chờ duyệt</x:v>
      </x:c>
      <x:c r="K179" s="12" t="str">
        <x:v>Đỗ Mai Linh</x:v>
      </x:c>
      <x:c r="L179" s="12" t="str">
        <x:v>DT-MKT-2026-091</x:v>
      </x:c>
    </x:row>
    <x:row r="180">
      <x:c r="A180" s="12" t="str">
        <x:v>DN-MKT-2026-179</x:v>
      </x:c>
      <x:c r="B180" s="20" t="n">
        <x:v>46330</x:v>
      </x:c>
      <x:c r="C180" s="12" t="str">
        <x:v>Q4</x:v>
      </x:c>
      <x:c r="D180" s="12" t="str">
        <x:v>Nghiên cứu thị trường</x:v>
      </x:c>
      <x:c r="E180" s="12" t="str">
        <x:v>KOL Network Vietnam</x:v>
      </x:c>
      <x:c r="F180" s="12" t="str">
        <x:v>Thanh toán thiết kế ấn phẩm - đợt 179</x:v>
      </x:c>
      <x:c r="G180" s="14" t="n">
        <x:v>15000000</x:v>
      </x:c>
      <x:c r="H180" s="14" t="n">
        <x:f>G180*10%</x:f>
        <x:v>1500000</x:v>
      </x:c>
      <x:c r="I180" s="14" t="n">
        <x:f>G180+H180</x:f>
        <x:v>16500000</x:v>
      </x:c>
      <x:c r="J180" s="12" t="str">
        <x:v>Đã duyệt</x:v>
      </x:c>
      <x:c r="K180" s="12" t="str">
        <x:v>Lê Thu Hà</x:v>
      </x:c>
      <x:c r="L180" s="12" t="str">
        <x:v>DT-MKT-2026-143</x:v>
      </x:c>
    </x:row>
    <x:row r="181">
      <x:c r="A181" s="12" t="str">
        <x:v>DN-MKT-2026-180</x:v>
      </x:c>
      <x:c r="B181" s="20" t="n">
        <x:v>46367</x:v>
      </x:c>
      <x:c r="C181" s="12" t="str">
        <x:v>Q4</x:v>
      </x:c>
      <x:c r="D181" s="12" t="str">
        <x:v>Quan hệ báo chí</x:v>
      </x:c>
      <x:c r="E181" s="12" t="str">
        <x:v>Studio Sáng Tạo</x:v>
      </x:c>
      <x:c r="F181" s="12" t="str">
        <x:v>Thanh toán email automation - đợt 180</x:v>
      </x:c>
      <x:c r="G181" s="14" t="n">
        <x:v>15000000</x:v>
      </x:c>
      <x:c r="H181" s="14" t="n">
        <x:f>G181*10%</x:f>
        <x:v>1500000</x:v>
      </x:c>
      <x:c r="I181" s="14" t="n">
        <x:f>G181+H181</x:f>
        <x:v>16500000</x:v>
      </x:c>
      <x:c r="J181" s="12" t="str">
        <x:v>Chờ duyệt</x:v>
      </x:c>
      <x:c r="K181" s="12" t="str">
        <x:v>Trần Hoàng Nam</x:v>
      </x:c>
      <x:c r="L181" s="12" t="str">
        <x:v>DT-MKT-2026-126</x:v>
      </x:c>
    </x:row>
    <x:row r="182">
      <x:c r="A182" s="12" t="str">
        <x:v>DN-MKT-2026-181</x:v>
      </x:c>
      <x:c r="B182" s="20" t="n">
        <x:v>46040</x:v>
      </x:c>
      <x:c r="C182" s="12" t="str">
        <x:v>Q1</x:v>
      </x:c>
      <x:c r="D182" s="12" t="str">
        <x:v>Video/Photo Production</x:v>
      </x:c>
      <x:c r="E182" s="12" t="str">
        <x:v>Công ty In Ấn Minh Phát</x:v>
      </x:c>
      <x:c r="F182" s="12" t="str">
        <x:v>Thanh toán in ấn posm - đợt 181</x:v>
      </x:c>
      <x:c r="G182" s="14" t="n">
        <x:v>20000000</x:v>
      </x:c>
      <x:c r="H182" s="14" t="n">
        <x:f>G182*10%</x:f>
        <x:v>2000000</x:v>
      </x:c>
      <x:c r="I182" s="14" t="n">
        <x:f>G182+H182</x:f>
        <x:v>22000000</x:v>
      </x:c>
      <x:c r="J182" s="12" t="str">
        <x:v>Chờ duyệt</x:v>
      </x:c>
      <x:c r="K182" s="12" t="str">
        <x:v>Lê Thu Hà</x:v>
      </x:c>
      <x:c r="L182" s="12" t="str">
        <x:v>DT-MKT-2026-032</x:v>
      </x:c>
    </x:row>
    <x:row r="183">
      <x:c r="A183" s="12" t="str">
        <x:v>DN-MKT-2026-182</x:v>
      </x:c>
      <x:c r="B183" s="20" t="n">
        <x:v>46078</x:v>
      </x:c>
      <x:c r="C183" s="12" t="str">
        <x:v>Q1</x:v>
      </x:c>
      <x:c r="D183" s="12" t="str">
        <x:v>Quản trị thương hiệu</x:v>
      </x:c>
      <x:c r="E183" s="12" t="str">
        <x:v>Công ty SEO Pro</x:v>
      </x:c>
      <x:c r="F183" s="12" t="str">
        <x:v>Thanh toán kol/influencer - đợt 182</x:v>
      </x:c>
      <x:c r="G183" s="14" t="n">
        <x:v>120000000</x:v>
      </x:c>
      <x:c r="H183" s="14" t="n">
        <x:f>G183*10%</x:f>
        <x:v>12000000</x:v>
      </x:c>
      <x:c r="I183" s="14" t="n">
        <x:f>G183+H183</x:f>
        <x:v>132000000</x:v>
      </x:c>
      <x:c r="J183" s="12" t="str">
        <x:v>Cần bổ sung chứng từ</x:v>
      </x:c>
      <x:c r="K183" s="12" t="str">
        <x:v>Lê Thu Hà</x:v>
      </x:c>
      <x:c r="L183" s="12" t="str">
        <x:v>DT-MKT-2026-038</x:v>
      </x:c>
    </x:row>
    <x:row r="184">
      <x:c r="A184" s="12" t="str">
        <x:v>DN-MKT-2026-183</x:v>
      </x:c>
      <x:c r="B184" s="20" t="n">
        <x:v>46088</x:v>
      </x:c>
      <x:c r="C184" s="12" t="str">
        <x:v>Q1</x:v>
      </x:c>
      <x:c r="D184" s="12" t="str">
        <x:v>Tuyển sinh &amp; truyền thông thương hiệu</x:v>
      </x:c>
      <x:c r="E184" s="12" t="str">
        <x:v>Studio Sáng Tạo</x:v>
      </x:c>
      <x:c r="F184" s="12" t="str">
        <x:v>Thanh toán livestream - đợt 183</x:v>
      </x:c>
      <x:c r="G184" s="14" t="n">
        <x:v>15000000</x:v>
      </x:c>
      <x:c r="H184" s="14" t="n">
        <x:f>G184*10%</x:f>
        <x:v>1500000</x:v>
      </x:c>
      <x:c r="I184" s="14" t="n">
        <x:f>G184+H184</x:f>
        <x:v>16500000</x:v>
      </x:c>
      <x:c r="J184" s="12" t="str">
        <x:v>Đã thanh toán</x:v>
      </x:c>
      <x:c r="K184" s="12" t="str">
        <x:v>Lê Thu Hà</x:v>
      </x:c>
      <x:c r="L184" s="12" t="str">
        <x:v>DT-MKT-2026-114</x:v>
      </x:c>
    </x:row>
    <x:row r="185">
      <x:c r="A185" s="12" t="str">
        <x:v>DN-MKT-2026-184</x:v>
      </x:c>
      <x:c r="B185" s="20" t="n">
        <x:v>46126</x:v>
      </x:c>
      <x:c r="C185" s="12" t="str">
        <x:v>Q2</x:v>
      </x:c>
      <x:c r="D185" s="12" t="str">
        <x:v>Truyền thông nội bộ</x:v>
      </x:c>
      <x:c r="E185" s="12" t="str">
        <x:v>KOL Network Vietnam</x:v>
      </x:c>
      <x:c r="F185" s="12" t="str">
        <x:v>Thanh toán thiết kế ấn phẩm - đợt 184</x:v>
      </x:c>
      <x:c r="G185" s="14" t="n">
        <x:v>15000000</x:v>
      </x:c>
      <x:c r="H185" s="14" t="n">
        <x:f>G185*10%</x:f>
        <x:v>1500000</x:v>
      </x:c>
      <x:c r="I185" s="14" t="n">
        <x:f>G185+H185</x:f>
        <x:v>16500000</x:v>
      </x:c>
      <x:c r="J185" s="12" t="str">
        <x:v>Đã duyệt</x:v>
      </x:c>
      <x:c r="K185" s="12" t="str">
        <x:v>Đỗ Mai Linh</x:v>
      </x:c>
      <x:c r="L185" s="12" t="str">
        <x:v>DT-MKT-2026-070</x:v>
      </x:c>
    </x:row>
    <x:row r="186">
      <x:c r="A186" s="12" t="str">
        <x:v>DN-MKT-2026-185</x:v>
      </x:c>
      <x:c r="B186" s="20" t="n">
        <x:v>46163</x:v>
      </x:c>
      <x:c r="C186" s="12" t="str">
        <x:v>Q2</x:v>
      </x:c>
      <x:c r="D186" s="12" t="str">
        <x:v>Truyền thông nội bộ</x:v>
      </x:c>
      <x:c r="E186" s="12" t="str">
        <x:v>Studio Sáng Tạo</x:v>
      </x:c>
      <x:c r="F186" s="12" t="str">
        <x:v>Thanh toán sản xuất video - đợt 185</x:v>
      </x:c>
      <x:c r="G186" s="14" t="n">
        <x:v>80000000</x:v>
      </x:c>
      <x:c r="H186" s="14" t="n">
        <x:f>G186*10%</x:f>
        <x:v>8000000</x:v>
      </x:c>
      <x:c r="I186" s="14" t="n">
        <x:f>G186+H186</x:f>
        <x:v>88000000</x:v>
      </x:c>
      <x:c r="J186" s="12" t="str">
        <x:v>Đã thanh toán</x:v>
      </x:c>
      <x:c r="K186" s="12" t="str">
        <x:v>Đỗ Mai Linh</x:v>
      </x:c>
      <x:c r="L186" s="12" t="str">
        <x:v>DT-MKT-2026-062</x:v>
      </x:c>
    </x:row>
    <x:row r="187">
      <x:c r="A187" s="12" t="str">
        <x:v>DN-MKT-2026-186</x:v>
      </x:c>
      <x:c r="B187" s="20" t="n">
        <x:v>46176</x:v>
      </x:c>
      <x:c r="C187" s="12" t="str">
        <x:v>Q2</x:v>
      </x:c>
      <x:c r="D187" s="12" t="str">
        <x:v>Tuyển sinh &amp; truyền thông thương hiệu</x:v>
      </x:c>
      <x:c r="E187" s="12" t="str">
        <x:v>Công ty Nghiên cứu MarketInsight</x:v>
      </x:c>
      <x:c r="F187" s="12" t="str">
        <x:v>Thanh toán pr agency - đợt 186</x:v>
      </x:c>
      <x:c r="G187" s="14" t="n">
        <x:v>10000000</x:v>
      </x:c>
      <x:c r="H187" s="14" t="n">
        <x:f>G187*10%</x:f>
        <x:v>1000000</x:v>
      </x:c>
      <x:c r="I187" s="14" t="n">
        <x:f>G187+H187</x:f>
        <x:v>11000000</x:v>
      </x:c>
      <x:c r="J187" s="12" t="str">
        <x:v>Đã duyệt</x:v>
      </x:c>
      <x:c r="K187" s="12" t="str">
        <x:v>Trần Hoàng Nam</x:v>
      </x:c>
      <x:c r="L187" s="12" t="str">
        <x:v>DT-MKT-2026-014</x:v>
      </x:c>
    </x:row>
    <x:row r="188">
      <x:c r="A188" s="12" t="str">
        <x:v>DN-MKT-2026-187</x:v>
      </x:c>
      <x:c r="B188" s="20" t="n">
        <x:v>46213</x:v>
      </x:c>
      <x:c r="C188" s="12" t="str">
        <x:v>Q3</x:v>
      </x:c>
      <x:c r="D188" s="12" t="str">
        <x:v>Social Media</x:v>
      </x:c>
      <x:c r="E188" s="12" t="str">
        <x:v>Công ty In Ấn Minh Phát</x:v>
      </x:c>
      <x:c r="F188" s="12" t="str">
        <x:v>Thanh toán livestream - đợt 187</x:v>
      </x:c>
      <x:c r="G188" s="14" t="n">
        <x:v>5000000</x:v>
      </x:c>
      <x:c r="H188" s="14" t="n">
        <x:f>G188*10%</x:f>
        <x:v>500000</x:v>
      </x:c>
      <x:c r="I188" s="14" t="n">
        <x:f>G188+H188</x:f>
        <x:v>5500000</x:v>
      </x:c>
      <x:c r="J188" s="12" t="str">
        <x:v>Cần bổ sung chứng từ</x:v>
      </x:c>
      <x:c r="K188" s="12" t="str">
        <x:v>Nguyễn Minh Anh</x:v>
      </x:c>
      <x:c r="L188" s="12" t="str">
        <x:v>DT-MKT-2026-036</x:v>
      </x:c>
    </x:row>
    <x:row r="189">
      <x:c r="A189" s="12" t="str">
        <x:v>DN-MKT-2026-188</x:v>
      </x:c>
      <x:c r="B189" s="20" t="n">
        <x:v>46251</x:v>
      </x:c>
      <x:c r="C189" s="12" t="str">
        <x:v>Q3</x:v>
      </x:c>
      <x:c r="D189" s="12" t="str">
        <x:v>Email Marketing</x:v>
      </x:c>
      <x:c r="E189" s="12" t="str">
        <x:v>Công ty Quà tặng Việt</x:v>
      </x:c>
      <x:c r="F189" s="12" t="str">
        <x:v>Thanh toán sản xuất video - đợt 188</x:v>
      </x:c>
      <x:c r="G189" s="14" t="n">
        <x:v>3000000</x:v>
      </x:c>
      <x:c r="H189" s="14" t="n">
        <x:f>G189*10%</x:f>
        <x:v>300000</x:v>
      </x:c>
      <x:c r="I189" s="14" t="n">
        <x:f>G189+H189</x:f>
        <x:v>3300000</x:v>
      </x:c>
      <x:c r="J189" s="12" t="str">
        <x:v>Cần bổ sung chứng từ</x:v>
      </x:c>
      <x:c r="K189" s="12" t="str">
        <x:v>Phạm Quang Huy</x:v>
      </x:c>
      <x:c r="L189" s="12" t="str">
        <x:v>DT-MKT-2026-123</x:v>
      </x:c>
    </x:row>
    <x:row r="190">
      <x:c r="A190" s="12" t="str">
        <x:v>DN-MKT-2026-189</x:v>
      </x:c>
      <x:c r="B190" s="20" t="n">
        <x:v>46289</x:v>
      </x:c>
      <x:c r="C190" s="12" t="str">
        <x:v>Q3</x:v>
      </x:c>
      <x:c r="D190" s="12" t="str">
        <x:v>Sự kiện truyền thông</x:v>
      </x:c>
      <x:c r="E190" s="12" t="str">
        <x:v>Công ty In Ấn Minh Phát</x:v>
      </x:c>
      <x:c r="F190" s="12" t="str">
        <x:v>Thanh toán booking báo chí - đợt 189</x:v>
      </x:c>
      <x:c r="G190" s="14" t="n">
        <x:v>10000000</x:v>
      </x:c>
      <x:c r="H190" s="14" t="n">
        <x:f>G190*10%</x:f>
        <x:v>1000000</x:v>
      </x:c>
      <x:c r="I190" s="14" t="n">
        <x:f>G190+H190</x:f>
        <x:v>11000000</x:v>
      </x:c>
      <x:c r="J190" s="12" t="str">
        <x:v>Đã thanh toán</x:v>
      </x:c>
      <x:c r="K190" s="12" t="str">
        <x:v>Nguyễn Minh Anh</x:v>
      </x:c>
      <x:c r="L190" s="12" t="str">
        <x:v>DT-MKT-2026-147</x:v>
      </x:c>
    </x:row>
    <x:row r="191">
      <x:c r="A191" s="12" t="str">
        <x:v>DN-MKT-2026-190</x:v>
      </x:c>
      <x:c r="B191" s="20" t="n">
        <x:v>46301</x:v>
      </x:c>
      <x:c r="C191" s="12" t="str">
        <x:v>Q4</x:v>
      </x:c>
      <x:c r="D191" s="12" t="str">
        <x:v>Email Marketing</x:v>
      </x:c>
      <x:c r="E191" s="12" t="str">
        <x:v>Production House Lotus</x:v>
      </x:c>
      <x:c r="F191" s="12" t="str">
        <x:v>Thanh toán livestream - đợt 190</x:v>
      </x:c>
      <x:c r="G191" s="14" t="n">
        <x:v>10000000</x:v>
      </x:c>
      <x:c r="H191" s="14" t="n">
        <x:f>G191*10%</x:f>
        <x:v>1000000</x:v>
      </x:c>
      <x:c r="I191" s="14" t="n">
        <x:f>G191+H191</x:f>
        <x:v>11000000</x:v>
      </x:c>
      <x:c r="J191" s="12" t="str">
        <x:v>Đã thanh toán</x:v>
      </x:c>
      <x:c r="K191" s="12" t="str">
        <x:v>Trần Hoàng Nam</x:v>
      </x:c>
      <x:c r="L191" s="12" t="str">
        <x:v>DT-MKT-2026-107</x:v>
      </x:c>
    </x:row>
    <x:row r="192">
      <x:c r="A192" s="12" t="str">
        <x:v>DN-MKT-2026-191</x:v>
      </x:c>
      <x:c r="B192" s="20" t="n">
        <x:v>46339</x:v>
      </x:c>
      <x:c r="C192" s="12" t="str">
        <x:v>Q4</x:v>
      </x:c>
      <x:c r="D192" s="12" t="str">
        <x:v>Tuyển sinh &amp; truyền thông thương hiệu</x:v>
      </x:c>
      <x:c r="E192" s="12" t="str">
        <x:v>Đơn vị Livestream MediaPro</x:v>
      </x:c>
      <x:c r="F192" s="12" t="str">
        <x:v>Thanh toán kol/influencer - đợt 191</x:v>
      </x:c>
      <x:c r="G192" s="14" t="n">
        <x:v>8000000</x:v>
      </x:c>
      <x:c r="H192" s="14" t="n">
        <x:f>G192*10%</x:f>
        <x:v>800000</x:v>
      </x:c>
      <x:c r="I192" s="14" t="n">
        <x:f>G192+H192</x:f>
        <x:v>8800000</x:v>
      </x:c>
      <x:c r="J192" s="12" t="str">
        <x:v>Cần bổ sung chứng từ</x:v>
      </x:c>
      <x:c r="K192" s="12" t="str">
        <x:v>Trần Hoàng Nam</x:v>
      </x:c>
      <x:c r="L192" s="12" t="str">
        <x:v>DT-MKT-2026-075</x:v>
      </x:c>
    </x:row>
    <x:row r="193">
      <x:c r="A193" s="12" t="str">
        <x:v>DN-MKT-2026-192</x:v>
      </x:c>
      <x:c r="B193" s="20" t="n">
        <x:v>46376</x:v>
      </x:c>
      <x:c r="C193" s="12" t="str">
        <x:v>Q4</x:v>
      </x:c>
      <x:c r="D193" s="12" t="str">
        <x:v>Tuyển sinh &amp; truyền thông thương hiệu</x:v>
      </x:c>
      <x:c r="E193" s="12" t="str">
        <x:v>Studio Sáng Tạo</x:v>
      </x:c>
      <x:c r="F193" s="12" t="str">
        <x:v>Thanh toán chụp ảnh - đợt 192</x:v>
      </x:c>
      <x:c r="G193" s="14" t="n">
        <x:v>3000000</x:v>
      </x:c>
      <x:c r="H193" s="14" t="n">
        <x:f>G193*10%</x:f>
        <x:v>300000</x:v>
      </x:c>
      <x:c r="I193" s="14" t="n">
        <x:f>G193+H193</x:f>
        <x:v>3300000</x:v>
      </x:c>
      <x:c r="J193" s="12" t="str">
        <x:v>Đã thanh toán</x:v>
      </x:c>
      <x:c r="K193" s="12" t="str">
        <x:v>Lê Thu Hà</x:v>
      </x:c>
      <x:c r="L193" s="12" t="str">
        <x:v>DT-MKT-2026-073</x:v>
      </x:c>
    </x:row>
    <x:row r="194">
      <x:c r="A194" s="12" t="str">
        <x:v>DN-MKT-2026-193</x:v>
      </x:c>
      <x:c r="B194" s="20" t="n">
        <x:v>46024</x:v>
      </x:c>
      <x:c r="C194" s="12" t="str">
        <x:v>Q1</x:v>
      </x:c>
      <x:c r="D194" s="12" t="str">
        <x:v>Quản trị thương hiệu</x:v>
      </x:c>
      <x:c r="E194" s="12" t="str">
        <x:v>Công ty SEO Pro</x:v>
      </x:c>
      <x:c r="F194" s="12" t="str">
        <x:v>Thanh toán in ấn posm - đợt 193</x:v>
      </x:c>
      <x:c r="G194" s="14" t="n">
        <x:v>50000000</x:v>
      </x:c>
      <x:c r="H194" s="14" t="n">
        <x:f>G194*10%</x:f>
        <x:v>5000000</x:v>
      </x:c>
      <x:c r="I194" s="14" t="n">
        <x:f>G194+H194</x:f>
        <x:v>55000000</x:v>
      </x:c>
      <x:c r="J194" s="12" t="str">
        <x:v>Cần bổ sung chứng từ</x:v>
      </x:c>
      <x:c r="K194" s="12" t="str">
        <x:v>Trần Hoàng Nam</x:v>
      </x:c>
      <x:c r="L194" s="12" t="str">
        <x:v>DT-MKT-2026-130</x:v>
      </x:c>
    </x:row>
    <x:row r="195">
      <x:c r="A195" s="12" t="str">
        <x:v>DN-MKT-2026-194</x:v>
      </x:c>
      <x:c r="B195" s="20" t="n">
        <x:v>46062</x:v>
      </x:c>
      <x:c r="C195" s="12" t="str">
        <x:v>Q1</x:v>
      </x:c>
      <x:c r="D195" s="12" t="str">
        <x:v>Sự kiện truyền thông</x:v>
      </x:c>
      <x:c r="E195" s="12" t="str">
        <x:v>Agency Truyền thông ABC</x:v>
      </x:c>
      <x:c r="F195" s="12" t="str">
        <x:v>Thanh toán email automation - đợt 194</x:v>
      </x:c>
      <x:c r="G195" s="14" t="n">
        <x:v>50000000</x:v>
      </x:c>
      <x:c r="H195" s="14" t="n">
        <x:f>G195*10%</x:f>
        <x:v>5000000</x:v>
      </x:c>
      <x:c r="I195" s="14" t="n">
        <x:f>G195+H195</x:f>
        <x:v>55000000</x:v>
      </x:c>
      <x:c r="J195" s="12" t="str">
        <x:v>Đã thanh toán</x:v>
      </x:c>
      <x:c r="K195" s="12" t="str">
        <x:v>Lê Thu Hà</x:v>
      </x:c>
      <x:c r="L195" s="12" t="str">
        <x:v>DT-MKT-2026-042</x:v>
      </x:c>
    </x:row>
    <x:row r="196">
      <x:c r="A196" s="12" t="str">
        <x:v>DN-MKT-2026-195</x:v>
      </x:c>
      <x:c r="B196" s="20" t="n">
        <x:v>46097</x:v>
      </x:c>
      <x:c r="C196" s="12" t="str">
        <x:v>Q1</x:v>
      </x:c>
      <x:c r="D196" s="12" t="str">
        <x:v>Quản trị thương hiệu</x:v>
      </x:c>
      <x:c r="E196" s="12" t="str">
        <x:v>Studio Sáng Tạo</x:v>
      </x:c>
      <x:c r="F196" s="12" t="str">
        <x:v>Thanh toán livestream - đợt 195</x:v>
      </x:c>
      <x:c r="G196" s="14" t="n">
        <x:v>50000000</x:v>
      </x:c>
      <x:c r="H196" s="14" t="n">
        <x:f>G196*10%</x:f>
        <x:v>5000000</x:v>
      </x:c>
      <x:c r="I196" s="14" t="n">
        <x:f>G196+H196</x:f>
        <x:v>55000000</x:v>
      </x:c>
      <x:c r="J196" s="12" t="str">
        <x:v>Đã duyệt</x:v>
      </x:c>
      <x:c r="K196" s="12" t="str">
        <x:v>Nguyễn Minh Anh</x:v>
      </x:c>
      <x:c r="L196" s="12" t="str">
        <x:v>DT-MKT-2026-087</x:v>
      </x:c>
    </x:row>
    <x:row r="197">
      <x:c r="A197" s="12" t="str">
        <x:v>DN-MKT-2026-196</x:v>
      </x:c>
      <x:c r="B197" s="20" t="n">
        <x:v>46135</x:v>
      </x:c>
      <x:c r="C197" s="12" t="str">
        <x:v>Q2</x:v>
      </x:c>
      <x:c r="D197" s="12" t="str">
        <x:v>Nghiên cứu thị trường</x:v>
      </x:c>
      <x:c r="E197" s="12" t="str">
        <x:v>Công ty Nghiên cứu MarketInsight</x:v>
      </x:c>
      <x:c r="F197" s="12" t="str">
        <x:v>Thanh toán email automation - đợt 196</x:v>
      </x:c>
      <x:c r="G197" s="14" t="n">
        <x:v>15000000</x:v>
      </x:c>
      <x:c r="H197" s="14" t="n">
        <x:f>G197*10%</x:f>
        <x:v>1500000</x:v>
      </x:c>
      <x:c r="I197" s="14" t="n">
        <x:f>G197+H197</x:f>
        <x:v>16500000</x:v>
      </x:c>
      <x:c r="J197" s="12" t="str">
        <x:v>Đã duyệt</x:v>
      </x:c>
      <x:c r="K197" s="12" t="str">
        <x:v>Trần Hoàng Nam</x:v>
      </x:c>
      <x:c r="L197" s="12" t="str">
        <x:v>DT-MKT-2026-104</x:v>
      </x:c>
    </x:row>
    <x:row r="198">
      <x:c r="A198" s="12" t="str">
        <x:v>DN-MKT-2026-197</x:v>
      </x:c>
      <x:c r="B198" s="20" t="n">
        <x:v>46147</x:v>
      </x:c>
      <x:c r="C198" s="12" t="str">
        <x:v>Q2</x:v>
      </x:c>
      <x:c r="D198" s="12" t="str">
        <x:v>Email Marketing</x:v>
      </x:c>
      <x:c r="E198" s="12" t="str">
        <x:v>Công ty In Ấn Minh Phát</x:v>
      </x:c>
      <x:c r="F198" s="12" t="str">
        <x:v>Thanh toán google ads - đợt 197</x:v>
      </x:c>
      <x:c r="G198" s="14" t="n">
        <x:v>30000000</x:v>
      </x:c>
      <x:c r="H198" s="14" t="n">
        <x:f>G198*10%</x:f>
        <x:v>3000000</x:v>
      </x:c>
      <x:c r="I198" s="14" t="n">
        <x:f>G198+H198</x:f>
        <x:v>33000000</x:v>
      </x:c>
      <x:c r="J198" s="12" t="str">
        <x:v>Cần bổ sung chứng từ</x:v>
      </x:c>
      <x:c r="K198" s="12" t="str">
        <x:v>Nguyễn Minh Anh</x:v>
      </x:c>
      <x:c r="L198" s="12" t="str">
        <x:v>DT-MKT-2026-048</x:v>
      </x:c>
    </x:row>
    <x:row r="199">
      <x:c r="A199" s="12" t="str">
        <x:v>DN-MKT-2026-198</x:v>
      </x:c>
      <x:c r="B199" s="20" t="n">
        <x:v>46185</x:v>
      </x:c>
      <x:c r="C199" s="12" t="str">
        <x:v>Q2</x:v>
      </x:c>
      <x:c r="D199" s="12" t="str">
        <x:v>Video/Photo Production</x:v>
      </x:c>
      <x:c r="E199" s="12" t="str">
        <x:v>Công ty In Ấn Minh Phát</x:v>
      </x:c>
      <x:c r="F199" s="12" t="str">
        <x:v>Thanh toán pr agency - đợt 198</x:v>
      </x:c>
      <x:c r="G199" s="14" t="n">
        <x:v>8000000</x:v>
      </x:c>
      <x:c r="H199" s="14" t="n">
        <x:f>G199*10%</x:f>
        <x:v>800000</x:v>
      </x:c>
      <x:c r="I199" s="14" t="n">
        <x:f>G199+H199</x:f>
        <x:v>8800000</x:v>
      </x:c>
      <x:c r="J199" s="12" t="str">
        <x:v>Đã duyệt</x:v>
      </x:c>
      <x:c r="K199" s="12" t="str">
        <x:v>Nguyễn Minh Anh</x:v>
      </x:c>
      <x:c r="L199" s="12" t="str">
        <x:v>DT-MKT-2026-067</x:v>
      </x:c>
    </x:row>
    <x:row r="200">
      <x:c r="A200" s="12" t="str">
        <x:v>DN-MKT-2026-199</x:v>
      </x:c>
      <x:c r="B200" s="20" t="n">
        <x:v>46222</x:v>
      </x:c>
      <x:c r="C200" s="12" t="str">
        <x:v>Q3</x:v>
      </x:c>
      <x:c r="D200" s="12" t="str">
        <x:v>Quan hệ báo chí</x:v>
      </x:c>
      <x:c r="E200" s="12" t="str">
        <x:v>KOL Network Vietnam</x:v>
      </x:c>
      <x:c r="F200" s="12" t="str">
        <x:v>Thanh toán email automation - đợt 199</x:v>
      </x:c>
      <x:c r="G200" s="14" t="n">
        <x:v>30000000</x:v>
      </x:c>
      <x:c r="H200" s="14" t="n">
        <x:f>G200*10%</x:f>
        <x:v>3000000</x:v>
      </x:c>
      <x:c r="I200" s="14" t="n">
        <x:f>G200+H200</x:f>
        <x:v>33000000</x:v>
      </x:c>
      <x:c r="J200" s="12" t="str">
        <x:v>Chờ duyệt</x:v>
      </x:c>
      <x:c r="K200" s="12" t="str">
        <x:v>Lê Thu Hà</x:v>
      </x:c>
      <x:c r="L200" s="12" t="str">
        <x:v>DT-MKT-2026-078</x:v>
      </x:c>
    </x:row>
    <x:row r="201">
      <x:c r="A201" s="12" t="str">
        <x:v>DN-MKT-2026-200</x:v>
      </x:c>
      <x:c r="B201" s="20" t="n">
        <x:v>46235</x:v>
      </x:c>
      <x:c r="C201" s="12" t="str">
        <x:v>Q3</x:v>
      </x:c>
      <x:c r="D201" s="12" t="str">
        <x:v>Truyền thông nội bộ</x:v>
      </x:c>
      <x:c r="E201" s="12" t="str">
        <x:v>Nền tảng EmailCloud</x:v>
      </x:c>
      <x:c r="F201" s="12" t="str">
        <x:v>Thanh toán facebook/tiktok ads - đợt 200</x:v>
      </x:c>
      <x:c r="G201" s="14" t="n">
        <x:v>120000000</x:v>
      </x:c>
      <x:c r="H201" s="14" t="n">
        <x:f>G201*10%</x:f>
        <x:v>12000000</x:v>
      </x:c>
      <x:c r="I201" s="14" t="n">
        <x:f>G201+H201</x:f>
        <x:v>132000000</x:v>
      </x:c>
      <x:c r="J201" s="12" t="str">
        <x:v>Chờ duyệt</x:v>
      </x:c>
      <x:c r="K201" s="12" t="str">
        <x:v>Lê Thu Hà</x:v>
      </x:c>
      <x:c r="L201" s="12" t="str">
        <x:v>DT-MKT-2026-061</x:v>
      </x:c>
    </x:row>
    <x:row r="202">
      <x:c r="A202" s="12" t="str">
        <x:v>DN-MKT-2026-201</x:v>
      </x:c>
      <x:c r="B202" s="20" t="n">
        <x:v>46273</x:v>
      </x:c>
      <x:c r="C202" s="12" t="str">
        <x:v>Q3</x:v>
      </x:c>
      <x:c r="D202" s="12" t="str">
        <x:v>Quản trị thương hiệu</x:v>
      </x:c>
      <x:c r="E202" s="12" t="str">
        <x:v>Google Asia Pacific</x:v>
      </x:c>
      <x:c r="F202" s="12" t="str">
        <x:v>Thanh toán phần mềm marketing - đợt 201</x:v>
      </x:c>
      <x:c r="G202" s="14" t="n">
        <x:v>3000000</x:v>
      </x:c>
      <x:c r="H202" s="14" t="n">
        <x:f>G202*10%</x:f>
        <x:v>300000</x:v>
      </x:c>
      <x:c r="I202" s="14" t="n">
        <x:f>G202+H202</x:f>
        <x:v>3300000</x:v>
      </x:c>
      <x:c r="J202" s="12" t="str">
        <x:v>Chờ duyệt</x:v>
      </x:c>
      <x:c r="K202" s="12" t="str">
        <x:v>Trần Hoàng Nam</x:v>
      </x:c>
      <x:c r="L202" s="12" t="str">
        <x:v>DT-MKT-2026-104</x:v>
      </x:c>
    </x:row>
    <x:row r="203">
      <x:c r="A203" s="12" t="str">
        <x:v>DN-MKT-2026-202</x:v>
      </x:c>
      <x:c r="B203" s="20" t="n">
        <x:v>46310</x:v>
      </x:c>
      <x:c r="C203" s="12" t="str">
        <x:v>Q4</x:v>
      </x:c>
      <x:c r="D203" s="12" t="str">
        <x:v>Truyền thông nội bộ</x:v>
      </x:c>
      <x:c r="E203" s="12" t="str">
        <x:v>Công ty Thiết kế BrandLab</x:v>
      </x:c>
      <x:c r="F203" s="12" t="str">
        <x:v>Thanh toán booking báo chí - đợt 202</x:v>
      </x:c>
      <x:c r="G203" s="14" t="n">
        <x:v>80000000</x:v>
      </x:c>
      <x:c r="H203" s="14" t="n">
        <x:f>G203*10%</x:f>
        <x:v>8000000</x:v>
      </x:c>
      <x:c r="I203" s="14" t="n">
        <x:f>G203+H203</x:f>
        <x:v>88000000</x:v>
      </x:c>
      <x:c r="J203" s="12" t="str">
        <x:v>Đã thanh toán</x:v>
      </x:c>
      <x:c r="K203" s="12" t="str">
        <x:v>Lê Thu Hà</x:v>
      </x:c>
      <x:c r="L203" s="12" t="str">
        <x:v>DT-MKT-2026-095</x:v>
      </x:c>
    </x:row>
    <x:row r="204">
      <x:c r="A204" s="12" t="str">
        <x:v>DN-MKT-2026-203</x:v>
      </x:c>
      <x:c r="B204" s="20" t="n">
        <x:v>46348</x:v>
      </x:c>
      <x:c r="C204" s="12" t="str">
        <x:v>Q4</x:v>
      </x:c>
      <x:c r="D204" s="12" t="str">
        <x:v>Quan hệ báo chí</x:v>
      </x:c>
      <x:c r="E204" s="12" t="str">
        <x:v>Agency Truyền thông ABC</x:v>
      </x:c>
      <x:c r="F204" s="12" t="str">
        <x:v>Thanh toán sản xuất video - đợt 203</x:v>
      </x:c>
      <x:c r="G204" s="14" t="n">
        <x:v>120000000</x:v>
      </x:c>
      <x:c r="H204" s="14" t="n">
        <x:f>G204*10%</x:f>
        <x:v>12000000</x:v>
      </x:c>
      <x:c r="I204" s="14" t="n">
        <x:f>G204+H204</x:f>
        <x:v>132000000</x:v>
      </x:c>
      <x:c r="J204" s="12" t="str">
        <x:v>Cần bổ sung chứng từ</x:v>
      </x:c>
      <x:c r="K204" s="12" t="str">
        <x:v>Trần Hoàng Nam</x:v>
      </x:c>
      <x:c r="L204" s="12" t="str">
        <x:v>DT-MKT-2026-117</x:v>
      </x:c>
    </x:row>
    <x:row r="205">
      <x:c r="A205" s="12" t="str">
        <x:v>DN-MKT-2026-204</x:v>
      </x:c>
      <x:c r="B205" s="20" t="n">
        <x:v>46360</x:v>
      </x:c>
      <x:c r="C205" s="12" t="str">
        <x:v>Q4</x:v>
      </x:c>
      <x:c r="D205" s="12" t="str">
        <x:v>Website &amp; SEO</x:v>
      </x:c>
      <x:c r="E205" s="12" t="str">
        <x:v>Báo điện tử Giáo dục</x:v>
      </x:c>
      <x:c r="F205" s="12" t="str">
        <x:v>Thanh toán livestream - đợt 204</x:v>
      </x:c>
      <x:c r="G205" s="14" t="n">
        <x:v>120000000</x:v>
      </x:c>
      <x:c r="H205" s="14" t="n">
        <x:f>G205*10%</x:f>
        <x:v>12000000</x:v>
      </x:c>
      <x:c r="I205" s="14" t="n">
        <x:f>G205+H205</x:f>
        <x:v>132000000</x:v>
      </x:c>
      <x:c r="J205" s="12" t="str">
        <x:v>Cần bổ sung chứng từ</x:v>
      </x:c>
      <x:c r="K205" s="12" t="str">
        <x:v>Đỗ Mai Linh</x:v>
      </x:c>
      <x:c r="L205" s="12" t="str">
        <x:v>DT-MKT-2026-056</x:v>
      </x:c>
    </x:row>
    <x:row r="206">
      <x:c r="A206" s="12" t="str">
        <x:v>DN-MKT-2026-205</x:v>
      </x:c>
      <x:c r="B206" s="20" t="n">
        <x:v>46033</x:v>
      </x:c>
      <x:c r="C206" s="12" t="str">
        <x:v>Q1</x:v>
      </x:c>
      <x:c r="D206" s="12" t="str">
        <x:v>Quản trị thương hiệu</x:v>
      </x:c>
      <x:c r="E206" s="12" t="str">
        <x:v>Công ty Thiết kế BrandLab</x:v>
      </x:c>
      <x:c r="F206" s="12" t="str">
        <x:v>Thanh toán chụp ảnh - đợt 205</x:v>
      </x:c>
      <x:c r="G206" s="14" t="n">
        <x:v>10000000</x:v>
      </x:c>
      <x:c r="H206" s="14" t="n">
        <x:f>G206*10%</x:f>
        <x:v>1000000</x:v>
      </x:c>
      <x:c r="I206" s="14" t="n">
        <x:f>G206+H206</x:f>
        <x:v>11000000</x:v>
      </x:c>
      <x:c r="J206" s="12" t="str">
        <x:v>Đã thanh toán</x:v>
      </x:c>
      <x:c r="K206" s="12" t="str">
        <x:v>Đỗ Mai Linh</x:v>
      </x:c>
      <x:c r="L206" s="12" t="str">
        <x:v>DT-MKT-2026-115</x:v>
      </x:c>
    </x:row>
    <x:row r="207">
      <x:c r="A207" s="12" t="str">
        <x:v>DN-MKT-2026-206</x:v>
      </x:c>
      <x:c r="B207" s="20" t="n">
        <x:v>46071</x:v>
      </x:c>
      <x:c r="C207" s="12" t="str">
        <x:v>Q1</x:v>
      </x:c>
      <x:c r="D207" s="12" t="str">
        <x:v>Truyền thông nội bộ</x:v>
      </x:c>
      <x:c r="E207" s="12" t="str">
        <x:v>Công ty In Ấn Minh Phát</x:v>
      </x:c>
      <x:c r="F207" s="12" t="str">
        <x:v>Thanh toán google ads - đợt 206</x:v>
      </x:c>
      <x:c r="G207" s="14" t="n">
        <x:v>80000000</x:v>
      </x:c>
      <x:c r="H207" s="14" t="n">
        <x:f>G207*10%</x:f>
        <x:v>8000000</x:v>
      </x:c>
      <x:c r="I207" s="14" t="n">
        <x:f>G207+H207</x:f>
        <x:v>88000000</x:v>
      </x:c>
      <x:c r="J207" s="12" t="str">
        <x:v>Đã thanh toán</x:v>
      </x:c>
      <x:c r="K207" s="12" t="str">
        <x:v>Nguyễn Minh Anh</x:v>
      </x:c>
      <x:c r="L207" s="12" t="str">
        <x:v>DT-MKT-2026-141</x:v>
      </x:c>
    </x:row>
    <x:row r="208">
      <x:c r="A208" s="12" t="str">
        <x:v>DN-MKT-2026-207</x:v>
      </x:c>
      <x:c r="B208" s="20" t="n">
        <x:v>46106</x:v>
      </x:c>
      <x:c r="C208" s="12" t="str">
        <x:v>Q1</x:v>
      </x:c>
      <x:c r="D208" s="12" t="str">
        <x:v>Quan hệ báo chí</x:v>
      </x:c>
      <x:c r="E208" s="12" t="str">
        <x:v>Nền tảng EmailCloud</x:v>
      </x:c>
      <x:c r="F208" s="12" t="str">
        <x:v>Thanh toán in ấn posm - đợt 207</x:v>
      </x:c>
      <x:c r="G208" s="14" t="n">
        <x:v>80000000</x:v>
      </x:c>
      <x:c r="H208" s="14" t="n">
        <x:f>G208*10%</x:f>
        <x:v>8000000</x:v>
      </x:c>
      <x:c r="I208" s="14" t="n">
        <x:f>G208+H208</x:f>
        <x:v>88000000</x:v>
      </x:c>
      <x:c r="J208" s="12" t="str">
        <x:v>Đã duyệt</x:v>
      </x:c>
      <x:c r="K208" s="12" t="str">
        <x:v>Trần Hoàng Nam</x:v>
      </x:c>
      <x:c r="L208" s="12" t="str">
        <x:v>DT-MKT-2026-084</x:v>
      </x:c>
    </x:row>
    <x:row r="209">
      <x:c r="A209" s="12" t="str">
        <x:v>DN-MKT-2026-208</x:v>
      </x:c>
      <x:c r="B209" s="20" t="n">
        <x:v>46119</x:v>
      </x:c>
      <x:c r="C209" s="12" t="str">
        <x:v>Q2</x:v>
      </x:c>
      <x:c r="D209" s="12" t="str">
        <x:v>Video/Photo Production</x:v>
      </x:c>
      <x:c r="E209" s="12" t="str">
        <x:v>Google Asia Pacific</x:v>
      </x:c>
      <x:c r="F209" s="12" t="str">
        <x:v>Thanh toán seo content - đợt 208</x:v>
      </x:c>
      <x:c r="G209" s="14" t="n">
        <x:v>80000000</x:v>
      </x:c>
      <x:c r="H209" s="14" t="n">
        <x:f>G209*10%</x:f>
        <x:v>8000000</x:v>
      </x:c>
      <x:c r="I209" s="14" t="n">
        <x:f>G209+H209</x:f>
        <x:v>88000000</x:v>
      </x:c>
      <x:c r="J209" s="12" t="str">
        <x:v>Đã duyệt</x:v>
      </x:c>
      <x:c r="K209" s="12" t="str">
        <x:v>Đỗ Mai Linh</x:v>
      </x:c>
      <x:c r="L209" s="12" t="str">
        <x:v>DT-MKT-2026-126</x:v>
      </x:c>
    </x:row>
    <x:row r="210">
      <x:c r="A210" s="12" t="str">
        <x:v>DN-MKT-2026-209</x:v>
      </x:c>
      <x:c r="B210" s="20" t="n">
        <x:v>46156</x:v>
      </x:c>
      <x:c r="C210" s="12" t="str">
        <x:v>Q2</x:v>
      </x:c>
      <x:c r="D210" s="12" t="str">
        <x:v>Email Marketing</x:v>
      </x:c>
      <x:c r="E210" s="12" t="str">
        <x:v>KOL Network Vietnam</x:v>
      </x:c>
      <x:c r="F210" s="12" t="str">
        <x:v>Thanh toán email automation - đợt 209</x:v>
      </x:c>
      <x:c r="G210" s="14" t="n">
        <x:v>5000000</x:v>
      </x:c>
      <x:c r="H210" s="14" t="n">
        <x:f>G210*10%</x:f>
        <x:v>500000</x:v>
      </x:c>
      <x:c r="I210" s="14" t="n">
        <x:f>G210+H210</x:f>
        <x:v>5500000</x:v>
      </x:c>
      <x:c r="J210" s="12" t="str">
        <x:v>Đã thanh toán</x:v>
      </x:c>
      <x:c r="K210" s="12" t="str">
        <x:v>Phạm Quang Huy</x:v>
      </x:c>
      <x:c r="L210" s="12" t="str">
        <x:v>DT-MKT-2026-034</x:v>
      </x:c>
    </x:row>
    <x:row r="211">
      <x:c r="A211" s="12" t="str">
        <x:v>DN-MKT-2026-210</x:v>
      </x:c>
      <x:c r="B211" s="20" t="n">
        <x:v>46194</x:v>
      </x:c>
      <x:c r="C211" s="12" t="str">
        <x:v>Q2</x:v>
      </x:c>
      <x:c r="D211" s="12" t="str">
        <x:v>Social Media</x:v>
      </x:c>
      <x:c r="E211" s="12" t="str">
        <x:v>KOL Network Vietnam</x:v>
      </x:c>
      <x:c r="F211" s="12" t="str">
        <x:v>Thanh toán chụp ảnh - đợt 210</x:v>
      </x:c>
      <x:c r="G211" s="14" t="n">
        <x:v>80000000</x:v>
      </x:c>
      <x:c r="H211" s="14" t="n">
        <x:f>G211*10%</x:f>
        <x:v>8000000</x:v>
      </x:c>
      <x:c r="I211" s="14" t="n">
        <x:f>G211+H211</x:f>
        <x:v>88000000</x:v>
      </x:c>
      <x:c r="J211" s="12" t="str">
        <x:v>Đã thanh toán</x:v>
      </x:c>
      <x:c r="K211" s="12" t="str">
        <x:v>Đỗ Mai Linh</x:v>
      </x:c>
      <x:c r="L211" s="12" t="str">
        <x:v>DT-MKT-2026-119</x:v>
      </x:c>
    </x:row>
    <x:row r="212">
      <x:c r="A212" s="12" t="str">
        <x:v>DN-MKT-2026-211</x:v>
      </x:c>
      <x:c r="B212" s="20" t="n">
        <x:v>46206</x:v>
      </x:c>
      <x:c r="C212" s="12" t="str">
        <x:v>Q3</x:v>
      </x:c>
      <x:c r="D212" s="12" t="str">
        <x:v>Truyền thông nội bộ</x:v>
      </x:c>
      <x:c r="E212" s="12" t="str">
        <x:v>Meta Việt Nam</x:v>
      </x:c>
      <x:c r="F212" s="12" t="str">
        <x:v>Thanh toán kol/influencer - đợt 211</x:v>
      </x:c>
      <x:c r="G212" s="14" t="n">
        <x:v>15000000</x:v>
      </x:c>
      <x:c r="H212" s="14" t="n">
        <x:f>G212*10%</x:f>
        <x:v>1500000</x:v>
      </x:c>
      <x:c r="I212" s="14" t="n">
        <x:f>G212+H212</x:f>
        <x:v>16500000</x:v>
      </x:c>
      <x:c r="J212" s="12" t="str">
        <x:v>Chờ duyệt</x:v>
      </x:c>
      <x:c r="K212" s="12" t="str">
        <x:v>Nguyễn Minh Anh</x:v>
      </x:c>
      <x:c r="L212" s="12" t="str">
        <x:v>DT-MKT-2026-056</x:v>
      </x:c>
    </x:row>
    <x:row r="213">
      <x:c r="A213" s="12" t="str">
        <x:v>DN-MKT-2026-212</x:v>
      </x:c>
      <x:c r="B213" s="20" t="n">
        <x:v>46244</x:v>
      </x:c>
      <x:c r="C213" s="12" t="str">
        <x:v>Q3</x:v>
      </x:c>
      <x:c r="D213" s="12" t="str">
        <x:v>Digital Marketing</x:v>
      </x:c>
      <x:c r="E213" s="12" t="str">
        <x:v>Meta Việt Nam</x:v>
      </x:c>
      <x:c r="F213" s="12" t="str">
        <x:v>Thanh toán kol/influencer - đợt 212</x:v>
      </x:c>
      <x:c r="G213" s="14" t="n">
        <x:v>120000000</x:v>
      </x:c>
      <x:c r="H213" s="14" t="n">
        <x:f>G213*10%</x:f>
        <x:v>12000000</x:v>
      </x:c>
      <x:c r="I213" s="14" t="n">
        <x:f>G213+H213</x:f>
        <x:v>132000000</x:v>
      </x:c>
      <x:c r="J213" s="12" t="str">
        <x:v>Chờ duyệt</x:v>
      </x:c>
      <x:c r="K213" s="12" t="str">
        <x:v>Nguyễn Minh Anh</x:v>
      </x:c>
      <x:c r="L213" s="12" t="str">
        <x:v>DT-MKT-2026-139</x:v>
      </x:c>
    </x:row>
    <x:row r="214">
      <x:c r="A214" s="12" t="str">
        <x:v>DN-MKT-2026-213</x:v>
      </x:c>
      <x:c r="B214" s="20" t="n">
        <x:v>46282</x:v>
      </x:c>
      <x:c r="C214" s="12" t="str">
        <x:v>Q3</x:v>
      </x:c>
      <x:c r="D214" s="12" t="str">
        <x:v>Digital Marketing</x:v>
      </x:c>
      <x:c r="E214" s="12" t="str">
        <x:v>Công ty Quà tặng Việt</x:v>
      </x:c>
      <x:c r="F214" s="12" t="str">
        <x:v>Thanh toán phần mềm marketing - đợt 213</x:v>
      </x:c>
      <x:c r="G214" s="14" t="n">
        <x:v>3000000</x:v>
      </x:c>
      <x:c r="H214" s="14" t="n">
        <x:f>G214*10%</x:f>
        <x:v>300000</x:v>
      </x:c>
      <x:c r="I214" s="14" t="n">
        <x:f>G214+H214</x:f>
        <x:v>3300000</x:v>
      </x:c>
      <x:c r="J214" s="12" t="str">
        <x:v>Đã thanh toán</x:v>
      </x:c>
      <x:c r="K214" s="12" t="str">
        <x:v>Lê Thu Hà</x:v>
      </x:c>
      <x:c r="L214" s="12" t="str">
        <x:v>DT-MKT-2026-105</x:v>
      </x:c>
    </x:row>
    <x:row r="215">
      <x:c r="A215" s="12" t="str">
        <x:v>DN-MKT-2026-214</x:v>
      </x:c>
      <x:c r="B215" s="20" t="n">
        <x:v>46319</x:v>
      </x:c>
      <x:c r="C215" s="12" t="str">
        <x:v>Q4</x:v>
      </x:c>
      <x:c r="D215" s="12" t="str">
        <x:v>Sản xuất nội dung</x:v>
      </x:c>
      <x:c r="E215" s="12" t="str">
        <x:v>Công ty Thiết kế BrandLab</x:v>
      </x:c>
      <x:c r="F215" s="12" t="str">
        <x:v>Thanh toán seo content - đợt 214</x:v>
      </x:c>
      <x:c r="G215" s="14" t="n">
        <x:v>8000000</x:v>
      </x:c>
      <x:c r="H215" s="14" t="n">
        <x:f>G215*10%</x:f>
        <x:v>800000</x:v>
      </x:c>
      <x:c r="I215" s="14" t="n">
        <x:f>G215+H215</x:f>
        <x:v>8800000</x:v>
      </x:c>
      <x:c r="J215" s="12" t="str">
        <x:v>Cần bổ sung chứng từ</x:v>
      </x:c>
      <x:c r="K215" s="12" t="str">
        <x:v>Lê Thu Hà</x:v>
      </x:c>
      <x:c r="L215" s="12" t="str">
        <x:v>DT-MKT-2026-098</x:v>
      </x:c>
    </x:row>
    <x:row r="216">
      <x:c r="A216" s="12" t="str">
        <x:v>DN-MKT-2026-215</x:v>
      </x:c>
      <x:c r="B216" s="20" t="n">
        <x:v>46332</x:v>
      </x:c>
      <x:c r="C216" s="12" t="str">
        <x:v>Q4</x:v>
      </x:c>
      <x:c r="D216" s="12" t="str">
        <x:v>Social Media</x:v>
      </x:c>
      <x:c r="E216" s="12" t="str">
        <x:v>Báo điện tử Giáo dục</x:v>
      </x:c>
      <x:c r="F216" s="12" t="str">
        <x:v>Thanh toán google ads - đợt 215</x:v>
      </x:c>
      <x:c r="G216" s="14" t="n">
        <x:v>50000000</x:v>
      </x:c>
      <x:c r="H216" s="14" t="n">
        <x:f>G216*10%</x:f>
        <x:v>5000000</x:v>
      </x:c>
      <x:c r="I216" s="14" t="n">
        <x:f>G216+H216</x:f>
        <x:v>55000000</x:v>
      </x:c>
      <x:c r="J216" s="12" t="str">
        <x:v>Đã duyệt</x:v>
      </x:c>
      <x:c r="K216" s="12" t="str">
        <x:v>Lê Thu Hà</x:v>
      </x:c>
      <x:c r="L216" s="12" t="str">
        <x:v>DT-MKT-2026-031</x:v>
      </x:c>
    </x:row>
    <x:row r="217">
      <x:c r="A217" s="12" t="str">
        <x:v>DN-MKT-2026-216</x:v>
      </x:c>
      <x:c r="B217" s="20" t="n">
        <x:v>46369</x:v>
      </x:c>
      <x:c r="C217" s="12" t="str">
        <x:v>Q4</x:v>
      </x:c>
      <x:c r="D217" s="12" t="str">
        <x:v>Email Marketing</x:v>
      </x:c>
      <x:c r="E217" s="12" t="str">
        <x:v>Báo điện tử Giáo dục</x:v>
      </x:c>
      <x:c r="F217" s="12" t="str">
        <x:v>Thanh toán in ấn posm - đợt 216</x:v>
      </x:c>
      <x:c r="G217" s="14" t="n">
        <x:v>8000000</x:v>
      </x:c>
      <x:c r="H217" s="14" t="n">
        <x:f>G217*10%</x:f>
        <x:v>800000</x:v>
      </x:c>
      <x:c r="I217" s="14" t="n">
        <x:f>G217+H217</x:f>
        <x:v>8800000</x:v>
      </x:c>
      <x:c r="J217" s="12" t="str">
        <x:v>Đã duyệt</x:v>
      </x:c>
      <x:c r="K217" s="12" t="str">
        <x:v>Trần Hoàng Nam</x:v>
      </x:c>
      <x:c r="L217" s="12" t="str">
        <x:v>DT-MKT-2026-001</x:v>
      </x:c>
    </x:row>
    <x:row r="218">
      <x:c r="A218" s="12" t="str">
        <x:v>DN-MKT-2026-217</x:v>
      </x:c>
      <x:c r="B218" s="20" t="n">
        <x:v>46042</x:v>
      </x:c>
      <x:c r="C218" s="12" t="str">
        <x:v>Q1</x:v>
      </x:c>
      <x:c r="D218" s="12" t="str">
        <x:v>Sự kiện truyền thông</x:v>
      </x:c>
      <x:c r="E218" s="12" t="str">
        <x:v>KOL Network Vietnam</x:v>
      </x:c>
      <x:c r="F218" s="12" t="str">
        <x:v>Thanh toán seo content - đợt 217</x:v>
      </x:c>
      <x:c r="G218" s="14" t="n">
        <x:v>3000000</x:v>
      </x:c>
      <x:c r="H218" s="14" t="n">
        <x:f>G218*10%</x:f>
        <x:v>300000</x:v>
      </x:c>
      <x:c r="I218" s="14" t="n">
        <x:f>G218+H218</x:f>
        <x:v>3300000</x:v>
      </x:c>
      <x:c r="J218" s="12" t="str">
        <x:v>Cần bổ sung chứng từ</x:v>
      </x:c>
      <x:c r="K218" s="12" t="str">
        <x:v>Đỗ Mai Linh</x:v>
      </x:c>
      <x:c r="L218" s="12" t="str">
        <x:v>DT-MKT-2026-098</x:v>
      </x:c>
    </x:row>
    <x:row r="219">
      <x:c r="A219" s="12" t="str">
        <x:v>DN-MKT-2026-218</x:v>
      </x:c>
      <x:c r="B219" s="20" t="n">
        <x:v>46055</x:v>
      </x:c>
      <x:c r="C219" s="12" t="str">
        <x:v>Q1</x:v>
      </x:c>
      <x:c r="D219" s="12" t="str">
        <x:v>Quan hệ báo chí</x:v>
      </x:c>
      <x:c r="E219" s="12" t="str">
        <x:v>KOL Network Vietnam</x:v>
      </x:c>
      <x:c r="F219" s="12" t="str">
        <x:v>Thanh toán tổ chức sự kiện - đợt 218</x:v>
      </x:c>
      <x:c r="G219" s="14" t="n">
        <x:v>10000000</x:v>
      </x:c>
      <x:c r="H219" s="14" t="n">
        <x:f>G219*10%</x:f>
        <x:v>1000000</x:v>
      </x:c>
      <x:c r="I219" s="14" t="n">
        <x:f>G219+H219</x:f>
        <x:v>11000000</x:v>
      </x:c>
      <x:c r="J219" s="12" t="str">
        <x:v>Đã duyệt</x:v>
      </x:c>
      <x:c r="K219" s="12" t="str">
        <x:v>Lê Thu Hà</x:v>
      </x:c>
      <x:c r="L219" s="12" t="str">
        <x:v>DT-MKT-2026-049</x:v>
      </x:c>
    </x:row>
    <x:row r="220">
      <x:c r="A220" s="12" t="str">
        <x:v>DN-MKT-2026-219</x:v>
      </x:c>
      <x:c r="B220" s="20" t="n">
        <x:v>46090</x:v>
      </x:c>
      <x:c r="C220" s="12" t="str">
        <x:v>Q1</x:v>
      </x:c>
      <x:c r="D220" s="12" t="str">
        <x:v>Tuyển sinh &amp; truyền thông thương hiệu</x:v>
      </x:c>
      <x:c r="E220" s="12" t="str">
        <x:v>Công ty Thiết kế BrandLab</x:v>
      </x:c>
      <x:c r="F220" s="12" t="str">
        <x:v>Thanh toán seo content - đợt 219</x:v>
      </x:c>
      <x:c r="G220" s="14" t="n">
        <x:v>5000000</x:v>
      </x:c>
      <x:c r="H220" s="14" t="n">
        <x:f>G220*10%</x:f>
        <x:v>500000</x:v>
      </x:c>
      <x:c r="I220" s="14" t="n">
        <x:f>G220+H220</x:f>
        <x:v>5500000</x:v>
      </x:c>
      <x:c r="J220" s="12" t="str">
        <x:v>Cần bổ sung chứng từ</x:v>
      </x:c>
      <x:c r="K220" s="12" t="str">
        <x:v>Đỗ Mai Linh</x:v>
      </x:c>
      <x:c r="L220" s="12" t="str">
        <x:v>DT-MKT-2026-005</x:v>
      </x:c>
    </x:row>
    <x:row r="221">
      <x:c r="A221" s="12" t="str">
        <x:v>DN-MKT-2026-220</x:v>
      </x:c>
      <x:c r="B221" s="20" t="n">
        <x:v>46128</x:v>
      </x:c>
      <x:c r="C221" s="12" t="str">
        <x:v>Q2</x:v>
      </x:c>
      <x:c r="D221" s="12" t="str">
        <x:v>Quan hệ báo chí</x:v>
      </x:c>
      <x:c r="E221" s="12" t="str">
        <x:v>Google Asia Pacific</x:v>
      </x:c>
      <x:c r="F221" s="12" t="str">
        <x:v>Thanh toán google ads - đợt 220</x:v>
      </x:c>
      <x:c r="G221" s="14" t="n">
        <x:v>10000000</x:v>
      </x:c>
      <x:c r="H221" s="14" t="n">
        <x:f>G221*10%</x:f>
        <x:v>1000000</x:v>
      </x:c>
      <x:c r="I221" s="14" t="n">
        <x:f>G221+H221</x:f>
        <x:v>11000000</x:v>
      </x:c>
      <x:c r="J221" s="12" t="str">
        <x:v>Đã thanh toán</x:v>
      </x:c>
      <x:c r="K221" s="12" t="str">
        <x:v>Phạm Quang Huy</x:v>
      </x:c>
      <x:c r="L221" s="12" t="str">
        <x:v>DT-MKT-2026-013</x:v>
      </x:c>
    </x:row>
    <x:row r="222">
      <x:c r="A222" s="12" t="str">
        <x:v>DN-MKT-2026-221</x:v>
      </x:c>
      <x:c r="B222" s="20" t="n">
        <x:v>46165</x:v>
      </x:c>
      <x:c r="C222" s="12" t="str">
        <x:v>Q2</x:v>
      </x:c>
      <x:c r="D222" s="12" t="str">
        <x:v>Truyền thông nội bộ</x:v>
      </x:c>
      <x:c r="E222" s="12" t="str">
        <x:v>Meta Việt Nam</x:v>
      </x:c>
      <x:c r="F222" s="12" t="str">
        <x:v>Thanh toán kol/influencer - đợt 221</x:v>
      </x:c>
      <x:c r="G222" s="14" t="n">
        <x:v>10000000</x:v>
      </x:c>
      <x:c r="H222" s="14" t="n">
        <x:f>G222*10%</x:f>
        <x:v>1000000</x:v>
      </x:c>
      <x:c r="I222" s="14" t="n">
        <x:f>G222+H222</x:f>
        <x:v>11000000</x:v>
      </x:c>
      <x:c r="J222" s="12" t="str">
        <x:v>Cần bổ sung chứng từ</x:v>
      </x:c>
      <x:c r="K222" s="12" t="str">
        <x:v>Trần Hoàng Nam</x:v>
      </x:c>
      <x:c r="L222" s="12" t="str">
        <x:v>DT-MKT-2026-139</x:v>
      </x:c>
    </x:row>
    <x:row r="223">
      <x:c r="A223" s="12" t="str">
        <x:v>DN-MKT-2026-222</x:v>
      </x:c>
      <x:c r="B223" s="20" t="n">
        <x:v>46178</x:v>
      </x:c>
      <x:c r="C223" s="12" t="str">
        <x:v>Q2</x:v>
      </x:c>
      <x:c r="D223" s="12" t="str">
        <x:v>Tuyển sinh &amp; truyền thông thương hiệu</x:v>
      </x:c>
      <x:c r="E223" s="12" t="str">
        <x:v>Công ty EventPlus</x:v>
      </x:c>
      <x:c r="F223" s="12" t="str">
        <x:v>Thanh toán in ấn posm - đợt 222</x:v>
      </x:c>
      <x:c r="G223" s="14" t="n">
        <x:v>10000000</x:v>
      </x:c>
      <x:c r="H223" s="14" t="n">
        <x:f>G223*10%</x:f>
        <x:v>1000000</x:v>
      </x:c>
      <x:c r="I223" s="14" t="n">
        <x:f>G223+H223</x:f>
        <x:v>11000000</x:v>
      </x:c>
      <x:c r="J223" s="12" t="str">
        <x:v>Chờ duyệt</x:v>
      </x:c>
      <x:c r="K223" s="12" t="str">
        <x:v>Trần Hoàng Nam</x:v>
      </x:c>
      <x:c r="L223" s="12" t="str">
        <x:v>DT-MKT-2026-148</x:v>
      </x:c>
    </x:row>
    <x:row r="224">
      <x:c r="A224" s="12" t="str">
        <x:v>DN-MKT-2026-223</x:v>
      </x:c>
      <x:c r="B224" s="20" t="n">
        <x:v>46215</x:v>
      </x:c>
      <x:c r="C224" s="12" t="str">
        <x:v>Q3</x:v>
      </x:c>
      <x:c r="D224" s="12" t="str">
        <x:v>Nghiên cứu thị trường</x:v>
      </x:c>
      <x:c r="E224" s="12" t="str">
        <x:v>Nền tảng EmailCloud</x:v>
      </x:c>
      <x:c r="F224" s="12" t="str">
        <x:v>Thanh toán email automation - đợt 223</x:v>
      </x:c>
      <x:c r="G224" s="14" t="n">
        <x:v>20000000</x:v>
      </x:c>
      <x:c r="H224" s="14" t="n">
        <x:f>G224*10%</x:f>
        <x:v>2000000</x:v>
      </x:c>
      <x:c r="I224" s="14" t="n">
        <x:f>G224+H224</x:f>
        <x:v>22000000</x:v>
      </x:c>
      <x:c r="J224" s="12" t="str">
        <x:v>Chờ duyệt</x:v>
      </x:c>
      <x:c r="K224" s="12" t="str">
        <x:v>Trần Hoàng Nam</x:v>
      </x:c>
      <x:c r="L224" s="12" t="str">
        <x:v>DT-MKT-2026-078</x:v>
      </x:c>
    </x:row>
    <x:row r="225">
      <x:c r="A225" s="12" t="str">
        <x:v>DN-MKT-2026-224</x:v>
      </x:c>
      <x:c r="B225" s="20" t="n">
        <x:v>46253</x:v>
      </x:c>
      <x:c r="C225" s="12" t="str">
        <x:v>Q3</x:v>
      </x:c>
      <x:c r="D225" s="12" t="str">
        <x:v>Quản trị thương hiệu</x:v>
      </x:c>
      <x:c r="E225" s="12" t="str">
        <x:v>Công ty SEO Pro</x:v>
      </x:c>
      <x:c r="F225" s="12" t="str">
        <x:v>Thanh toán thiết kế ấn phẩm - đợt 224</x:v>
      </x:c>
      <x:c r="G225" s="14" t="n">
        <x:v>8000000</x:v>
      </x:c>
      <x:c r="H225" s="14" t="n">
        <x:f>G225*10%</x:f>
        <x:v>800000</x:v>
      </x:c>
      <x:c r="I225" s="14" t="n">
        <x:f>G225+H225</x:f>
        <x:v>8800000</x:v>
      </x:c>
      <x:c r="J225" s="12" t="str">
        <x:v>Cần bổ sung chứng từ</x:v>
      </x:c>
      <x:c r="K225" s="12" t="str">
        <x:v>Lê Thu Hà</x:v>
      </x:c>
      <x:c r="L225" s="12" t="str">
        <x:v>DT-MKT-2026-071</x:v>
      </x:c>
    </x:row>
    <x:row r="226">
      <x:c r="A226" s="12" t="str">
        <x:v>DN-MKT-2026-225</x:v>
      </x:c>
      <x:c r="B226" s="20" t="n">
        <x:v>46266</x:v>
      </x:c>
      <x:c r="C226" s="12" t="str">
        <x:v>Q3</x:v>
      </x:c>
      <x:c r="D226" s="12" t="str">
        <x:v>Email Marketing</x:v>
      </x:c>
      <x:c r="E226" s="12" t="str">
        <x:v>Nền tảng EmailCloud</x:v>
      </x:c>
      <x:c r="F226" s="12" t="str">
        <x:v>Thanh toán pr agency - đợt 225</x:v>
      </x:c>
      <x:c r="G226" s="14" t="n">
        <x:v>3000000</x:v>
      </x:c>
      <x:c r="H226" s="14" t="n">
        <x:f>G226*10%</x:f>
        <x:v>300000</x:v>
      </x:c>
      <x:c r="I226" s="14" t="n">
        <x:f>G226+H226</x:f>
        <x:v>3300000</x:v>
      </x:c>
      <x:c r="J226" s="12" t="str">
        <x:v>Đã duyệt</x:v>
      </x:c>
      <x:c r="K226" s="12" t="str">
        <x:v>Phạm Quang Huy</x:v>
      </x:c>
      <x:c r="L226" s="12" t="str">
        <x:v>DT-MKT-2026-143</x:v>
      </x:c>
    </x:row>
    <x:row r="227">
      <x:c r="A227" s="12" t="str">
        <x:v>DN-MKT-2026-226</x:v>
      </x:c>
      <x:c r="B227" s="20" t="n">
        <x:v>46303</x:v>
      </x:c>
      <x:c r="C227" s="12" t="str">
        <x:v>Q4</x:v>
      </x:c>
      <x:c r="D227" s="12" t="str">
        <x:v>Tuyển sinh &amp; truyền thông thương hiệu</x:v>
      </x:c>
      <x:c r="E227" s="12" t="str">
        <x:v>Công ty In Ấn Minh Phát</x:v>
      </x:c>
      <x:c r="F227" s="12" t="str">
        <x:v>Thanh toán seo content - đợt 226</x:v>
      </x:c>
      <x:c r="G227" s="14" t="n">
        <x:v>50000000</x:v>
      </x:c>
      <x:c r="H227" s="14" t="n">
        <x:f>G227*10%</x:f>
        <x:v>5000000</x:v>
      </x:c>
      <x:c r="I227" s="14" t="n">
        <x:f>G227+H227</x:f>
        <x:v>55000000</x:v>
      </x:c>
      <x:c r="J227" s="12" t="str">
        <x:v>Cần bổ sung chứng từ</x:v>
      </x:c>
      <x:c r="K227" s="12" t="str">
        <x:v>Đỗ Mai Linh</x:v>
      </x:c>
      <x:c r="L227" s="12" t="str">
        <x:v>DT-MKT-2026-082</x:v>
      </x:c>
    </x:row>
    <x:row r="228">
      <x:c r="A228" s="12" t="str">
        <x:v>DN-MKT-2026-227</x:v>
      </x:c>
      <x:c r="B228" s="20" t="n">
        <x:v>46341</x:v>
      </x:c>
      <x:c r="C228" s="12" t="str">
        <x:v>Q4</x:v>
      </x:c>
      <x:c r="D228" s="12" t="str">
        <x:v>Social Media</x:v>
      </x:c>
      <x:c r="E228" s="12" t="str">
        <x:v>Công ty EventPlus</x:v>
      </x:c>
      <x:c r="F228" s="12" t="str">
        <x:v>Thanh toán booking báo chí - đợt 227</x:v>
      </x:c>
      <x:c r="G228" s="14" t="n">
        <x:v>30000000</x:v>
      </x:c>
      <x:c r="H228" s="14" t="n">
        <x:f>G228*10%</x:f>
        <x:v>3000000</x:v>
      </x:c>
      <x:c r="I228" s="14" t="n">
        <x:f>G228+H228</x:f>
        <x:v>33000000</x:v>
      </x:c>
      <x:c r="J228" s="12" t="str">
        <x:v>Cần bổ sung chứng từ</x:v>
      </x:c>
      <x:c r="K228" s="12" t="str">
        <x:v>Trần Hoàng Nam</x:v>
      </x:c>
      <x:c r="L228" s="12" t="str">
        <x:v>DT-MKT-2026-138</x:v>
      </x:c>
    </x:row>
    <x:row r="229">
      <x:c r="A229" s="12" t="str">
        <x:v>DN-MKT-2026-228</x:v>
      </x:c>
      <x:c r="B229" s="20" t="n">
        <x:v>46378</x:v>
      </x:c>
      <x:c r="C229" s="12" t="str">
        <x:v>Q4</x:v>
      </x:c>
      <x:c r="D229" s="12" t="str">
        <x:v>Quan hệ báo chí</x:v>
      </x:c>
      <x:c r="E229" s="12" t="str">
        <x:v>Đơn vị Livestream MediaPro</x:v>
      </x:c>
      <x:c r="F229" s="12" t="str">
        <x:v>Thanh toán thiết kế ấn phẩm - đợt 228</x:v>
      </x:c>
      <x:c r="G229" s="14" t="n">
        <x:v>50000000</x:v>
      </x:c>
      <x:c r="H229" s="14" t="n">
        <x:f>G229*10%</x:f>
        <x:v>5000000</x:v>
      </x:c>
      <x:c r="I229" s="14" t="n">
        <x:f>G229+H229</x:f>
        <x:v>55000000</x:v>
      </x:c>
      <x:c r="J229" s="12" t="str">
        <x:v>Chờ duyệt</x:v>
      </x:c>
      <x:c r="K229" s="12" t="str">
        <x:v>Trần Hoàng Nam</x:v>
      </x:c>
      <x:c r="L229" s="12" t="str">
        <x:v>DT-MKT-2026-119</x:v>
      </x:c>
    </x:row>
    <x:row r="230">
      <x:c r="A230" s="12" t="str">
        <x:v>DN-MKT-2026-229</x:v>
      </x:c>
      <x:c r="B230" s="20" t="n">
        <x:v>46026</x:v>
      </x:c>
      <x:c r="C230" s="12" t="str">
        <x:v>Q1</x:v>
      </x:c>
      <x:c r="D230" s="12" t="str">
        <x:v>Email Marketing</x:v>
      </x:c>
      <x:c r="E230" s="12" t="str">
        <x:v>Báo điện tử Giáo dục</x:v>
      </x:c>
      <x:c r="F230" s="12" t="str">
        <x:v>Thanh toán kol/influencer - đợt 229</x:v>
      </x:c>
      <x:c r="G230" s="14" t="n">
        <x:v>3000000</x:v>
      </x:c>
      <x:c r="H230" s="14" t="n">
        <x:f>G230*10%</x:f>
        <x:v>300000</x:v>
      </x:c>
      <x:c r="I230" s="14" t="n">
        <x:f>G230+H230</x:f>
        <x:v>3300000</x:v>
      </x:c>
      <x:c r="J230" s="12" t="str">
        <x:v>Đã duyệt</x:v>
      </x:c>
      <x:c r="K230" s="12" t="str">
        <x:v>Phạm Quang Huy</x:v>
      </x:c>
      <x:c r="L230" s="12" t="str">
        <x:v>DT-MKT-2026-063</x:v>
      </x:c>
    </x:row>
    <x:row r="231">
      <x:c r="A231" s="12" t="str">
        <x:v>DN-MKT-2026-230</x:v>
      </x:c>
      <x:c r="B231" s="20" t="n">
        <x:v>46064</x:v>
      </x:c>
      <x:c r="C231" s="12" t="str">
        <x:v>Q1</x:v>
      </x:c>
      <x:c r="D231" s="12" t="str">
        <x:v>Quan hệ báo chí</x:v>
      </x:c>
      <x:c r="E231" s="12" t="str">
        <x:v>Công ty In Ấn Minh Phát</x:v>
      </x:c>
      <x:c r="F231" s="12" t="str">
        <x:v>Thanh toán seo content - đợt 230</x:v>
      </x:c>
      <x:c r="G231" s="14" t="n">
        <x:v>15000000</x:v>
      </x:c>
      <x:c r="H231" s="14" t="n">
        <x:f>G231*10%</x:f>
        <x:v>1500000</x:v>
      </x:c>
      <x:c r="I231" s="14" t="n">
        <x:f>G231+H231</x:f>
        <x:v>16500000</x:v>
      </x:c>
      <x:c r="J231" s="12" t="str">
        <x:v>Đã thanh toán</x:v>
      </x:c>
      <x:c r="K231" s="12" t="str">
        <x:v>Phạm Quang Huy</x:v>
      </x:c>
      <x:c r="L231" s="12" t="str">
        <x:v>DT-MKT-2026-095</x:v>
      </x:c>
    </x:row>
    <x:row r="232">
      <x:c r="A232" s="12" t="str">
        <x:v>DN-MKT-2026-231</x:v>
      </x:c>
      <x:c r="B232" s="20" t="n">
        <x:v>46099</x:v>
      </x:c>
      <x:c r="C232" s="12" t="str">
        <x:v>Q1</x:v>
      </x:c>
      <x:c r="D232" s="12" t="str">
        <x:v>Email Marketing</x:v>
      </x:c>
      <x:c r="E232" s="12" t="str">
        <x:v>Production House Lotus</x:v>
      </x:c>
      <x:c r="F232" s="12" t="str">
        <x:v>Thanh toán khảo sát thị trường - đợt 231</x:v>
      </x:c>
      <x:c r="G232" s="14" t="n">
        <x:v>5000000</x:v>
      </x:c>
      <x:c r="H232" s="14" t="n">
        <x:f>G232*10%</x:f>
        <x:v>500000</x:v>
      </x:c>
      <x:c r="I232" s="14" t="n">
        <x:f>G232+H232</x:f>
        <x:v>5500000</x:v>
      </x:c>
      <x:c r="J232" s="12" t="str">
        <x:v>Đã duyệt</x:v>
      </x:c>
      <x:c r="K232" s="12" t="str">
        <x:v>Nguyễn Minh Anh</x:v>
      </x:c>
      <x:c r="L232" s="12" t="str">
        <x:v>DT-MKT-2026-069</x:v>
      </x:c>
    </x:row>
    <x:row r="233">
      <x:c r="A233" s="12" t="str">
        <x:v>DN-MKT-2026-232</x:v>
      </x:c>
      <x:c r="B233" s="20" t="n">
        <x:v>46137</x:v>
      </x:c>
      <x:c r="C233" s="12" t="str">
        <x:v>Q2</x:v>
      </x:c>
      <x:c r="D233" s="12" t="str">
        <x:v>Quản trị thương hiệu</x:v>
      </x:c>
      <x:c r="E233" s="12" t="str">
        <x:v>Nền tảng EmailCloud</x:v>
      </x:c>
      <x:c r="F233" s="12" t="str">
        <x:v>Thanh toán chụp ảnh - đợt 232</x:v>
      </x:c>
      <x:c r="G233" s="14" t="n">
        <x:v>30000000</x:v>
      </x:c>
      <x:c r="H233" s="14" t="n">
        <x:f>G233*10%</x:f>
        <x:v>3000000</x:v>
      </x:c>
      <x:c r="I233" s="14" t="n">
        <x:f>G233+H233</x:f>
        <x:v>33000000</x:v>
      </x:c>
      <x:c r="J233" s="12" t="str">
        <x:v>Đã thanh toán</x:v>
      </x:c>
      <x:c r="K233" s="12" t="str">
        <x:v>Nguyễn Minh Anh</x:v>
      </x:c>
      <x:c r="L233" s="12" t="str">
        <x:v>DT-MKT-2026-049</x:v>
      </x:c>
    </x:row>
    <x:row r="234">
      <x:c r="A234" s="12" t="str">
        <x:v>DN-MKT-2026-233</x:v>
      </x:c>
      <x:c r="B234" s="20" t="n">
        <x:v>46149</x:v>
      </x:c>
      <x:c r="C234" s="12" t="str">
        <x:v>Q2</x:v>
      </x:c>
      <x:c r="D234" s="12" t="str">
        <x:v>Truyền thông nội bộ</x:v>
      </x:c>
      <x:c r="E234" s="12" t="str">
        <x:v>Công ty Nghiên cứu MarketInsight</x:v>
      </x:c>
      <x:c r="F234" s="12" t="str">
        <x:v>Thanh toán in ấn posm - đợt 233</x:v>
      </x:c>
      <x:c r="G234" s="14" t="n">
        <x:v>120000000</x:v>
      </x:c>
      <x:c r="H234" s="14" t="n">
        <x:f>G234*10%</x:f>
        <x:v>12000000</x:v>
      </x:c>
      <x:c r="I234" s="14" t="n">
        <x:f>G234+H234</x:f>
        <x:v>132000000</x:v>
      </x:c>
      <x:c r="J234" s="12" t="str">
        <x:v>Đã duyệt</x:v>
      </x:c>
      <x:c r="K234" s="12" t="str">
        <x:v>Phạm Quang Huy</x:v>
      </x:c>
      <x:c r="L234" s="12" t="str">
        <x:v>DT-MKT-2026-054</x:v>
      </x:c>
    </x:row>
    <x:row r="235">
      <x:c r="A235" s="12" t="str">
        <x:v>DN-MKT-2026-234</x:v>
      </x:c>
      <x:c r="B235" s="20" t="n">
        <x:v>46187</x:v>
      </x:c>
      <x:c r="C235" s="12" t="str">
        <x:v>Q2</x:v>
      </x:c>
      <x:c r="D235" s="12" t="str">
        <x:v>Sự kiện truyền thông</x:v>
      </x:c>
      <x:c r="E235" s="12" t="str">
        <x:v>Công ty Quà tặng Việt</x:v>
      </x:c>
      <x:c r="F235" s="12" t="str">
        <x:v>Thanh toán facebook/tiktok ads - đợt 234</x:v>
      </x:c>
      <x:c r="G235" s="14" t="n">
        <x:v>20000000</x:v>
      </x:c>
      <x:c r="H235" s="14" t="n">
        <x:f>G235*10%</x:f>
        <x:v>2000000</x:v>
      </x:c>
      <x:c r="I235" s="14" t="n">
        <x:f>G235+H235</x:f>
        <x:v>22000000</x:v>
      </x:c>
      <x:c r="J235" s="12" t="str">
        <x:v>Đã duyệt</x:v>
      </x:c>
      <x:c r="K235" s="12" t="str">
        <x:v>Trần Hoàng Nam</x:v>
      </x:c>
      <x:c r="L235" s="12" t="str">
        <x:v>DT-MKT-2026-031</x:v>
      </x:c>
    </x:row>
    <x:row r="236">
      <x:c r="A236" s="12" t="str">
        <x:v>DN-MKT-2026-235</x:v>
      </x:c>
      <x:c r="B236" s="20" t="n">
        <x:v>46224</x:v>
      </x:c>
      <x:c r="C236" s="12" t="str">
        <x:v>Q3</x:v>
      </x:c>
      <x:c r="D236" s="12" t="str">
        <x:v>Quan hệ báo chí</x:v>
      </x:c>
      <x:c r="E236" s="12" t="str">
        <x:v>Production House Lotus</x:v>
      </x:c>
      <x:c r="F236" s="12" t="str">
        <x:v>Thanh toán chụp ảnh - đợt 235</x:v>
      </x:c>
      <x:c r="G236" s="14" t="n">
        <x:v>50000000</x:v>
      </x:c>
      <x:c r="H236" s="14" t="n">
        <x:f>G236*10%</x:f>
        <x:v>5000000</x:v>
      </x:c>
      <x:c r="I236" s="14" t="n">
        <x:f>G236+H236</x:f>
        <x:v>55000000</x:v>
      </x:c>
      <x:c r="J236" s="12" t="str">
        <x:v>Đã duyệt</x:v>
      </x:c>
      <x:c r="K236" s="12" t="str">
        <x:v>Phạm Quang Huy</x:v>
      </x:c>
      <x:c r="L236" s="12" t="str">
        <x:v>DT-MKT-2026-062</x:v>
      </x:c>
    </x:row>
    <x:row r="237">
      <x:c r="A237" s="12" t="str">
        <x:v>DN-MKT-2026-236</x:v>
      </x:c>
      <x:c r="B237" s="20" t="n">
        <x:v>46237</x:v>
      </x:c>
      <x:c r="C237" s="12" t="str">
        <x:v>Q3</x:v>
      </x:c>
      <x:c r="D237" s="12" t="str">
        <x:v>Website &amp; SEO</x:v>
      </x:c>
      <x:c r="E237" s="12" t="str">
        <x:v>Công ty Thiết kế BrandLab</x:v>
      </x:c>
      <x:c r="F237" s="12" t="str">
        <x:v>Thanh toán booking báo chí - đợt 236</x:v>
      </x:c>
      <x:c r="G237" s="14" t="n">
        <x:v>80000000</x:v>
      </x:c>
      <x:c r="H237" s="14" t="n">
        <x:f>G237*10%</x:f>
        <x:v>8000000</x:v>
      </x:c>
      <x:c r="I237" s="14" t="n">
        <x:f>G237+H237</x:f>
        <x:v>88000000</x:v>
      </x:c>
      <x:c r="J237" s="12" t="str">
        <x:v>Cần bổ sung chứng từ</x:v>
      </x:c>
      <x:c r="K237" s="12" t="str">
        <x:v>Phạm Quang Huy</x:v>
      </x:c>
      <x:c r="L237" s="12" t="str">
        <x:v>DT-MKT-2026-137</x:v>
      </x:c>
    </x:row>
    <x:row r="238">
      <x:c r="A238" s="12" t="str">
        <x:v>DN-MKT-2026-237</x:v>
      </x:c>
      <x:c r="B238" s="20" t="n">
        <x:v>46275</x:v>
      </x:c>
      <x:c r="C238" s="12" t="str">
        <x:v>Q3</x:v>
      </x:c>
      <x:c r="D238" s="12" t="str">
        <x:v>Sự kiện truyền thông</x:v>
      </x:c>
      <x:c r="E238" s="12" t="str">
        <x:v>Studio Sáng Tạo</x:v>
      </x:c>
      <x:c r="F238" s="12" t="str">
        <x:v>Thanh toán tổ chức sự kiện - đợt 237</x:v>
      </x:c>
      <x:c r="G238" s="14" t="n">
        <x:v>20000000</x:v>
      </x:c>
      <x:c r="H238" s="14" t="n">
        <x:f>G238*10%</x:f>
        <x:v>2000000</x:v>
      </x:c>
      <x:c r="I238" s="14" t="n">
        <x:f>G238+H238</x:f>
        <x:v>22000000</x:v>
      </x:c>
      <x:c r="J238" s="12" t="str">
        <x:v>Cần bổ sung chứng từ</x:v>
      </x:c>
      <x:c r="K238" s="12" t="str">
        <x:v>Phạm Quang Huy</x:v>
      </x:c>
      <x:c r="L238" s="12" t="str">
        <x:v>DT-MKT-2026-026</x:v>
      </x:c>
    </x:row>
    <x:row r="239">
      <x:c r="A239" s="12" t="str">
        <x:v>DN-MKT-2026-238</x:v>
      </x:c>
      <x:c r="B239" s="20" t="n">
        <x:v>46312</x:v>
      </x:c>
      <x:c r="C239" s="12" t="str">
        <x:v>Q4</x:v>
      </x:c>
      <x:c r="D239" s="12" t="str">
        <x:v>Website &amp; SEO</x:v>
      </x:c>
      <x:c r="E239" s="12" t="str">
        <x:v>Công ty Quà tặng Việt</x:v>
      </x:c>
      <x:c r="F239" s="12" t="str">
        <x:v>Thanh toán thiết kế ấn phẩm - đợt 238</x:v>
      </x:c>
      <x:c r="G239" s="14" t="n">
        <x:v>50000000</x:v>
      </x:c>
      <x:c r="H239" s="14" t="n">
        <x:f>G239*10%</x:f>
        <x:v>5000000</x:v>
      </x:c>
      <x:c r="I239" s="14" t="n">
        <x:f>G239+H239</x:f>
        <x:v>55000000</x:v>
      </x:c>
      <x:c r="J239" s="12" t="str">
        <x:v>Chờ duyệt</x:v>
      </x:c>
      <x:c r="K239" s="12" t="str">
        <x:v>Lê Thu Hà</x:v>
      </x:c>
      <x:c r="L239" s="12" t="str">
        <x:v>DT-MKT-2026-106</x:v>
      </x:c>
    </x:row>
    <x:row r="240">
      <x:c r="A240" s="12" t="str">
        <x:v>DN-MKT-2026-239</x:v>
      </x:c>
      <x:c r="B240" s="20" t="n">
        <x:v>46350</x:v>
      </x:c>
      <x:c r="C240" s="12" t="str">
        <x:v>Q4</x:v>
      </x:c>
      <x:c r="D240" s="12" t="str">
        <x:v>Nghiên cứu thị trường</x:v>
      </x:c>
      <x:c r="E240" s="12" t="str">
        <x:v>Đơn vị Livestream MediaPro</x:v>
      </x:c>
      <x:c r="F240" s="12" t="str">
        <x:v>Thanh toán thiết kế ấn phẩm - đợt 239</x:v>
      </x:c>
      <x:c r="G240" s="14" t="n">
        <x:v>3000000</x:v>
      </x:c>
      <x:c r="H240" s="14" t="n">
        <x:f>G240*10%</x:f>
        <x:v>300000</x:v>
      </x:c>
      <x:c r="I240" s="14" t="n">
        <x:f>G240+H240</x:f>
        <x:v>3300000</x:v>
      </x:c>
      <x:c r="J240" s="12" t="str">
        <x:v>Đã duyệt</x:v>
      </x:c>
      <x:c r="K240" s="12" t="str">
        <x:v>Nguyễn Minh Anh</x:v>
      </x:c>
      <x:c r="L240" s="12" t="str">
        <x:v>DT-MKT-2026-067</x:v>
      </x:c>
    </x:row>
    <x:row r="241">
      <x:c r="A241" s="12" t="str">
        <x:v>DN-MKT-2026-240</x:v>
      </x:c>
      <x:c r="B241" s="20" t="n">
        <x:v>46362</x:v>
      </x:c>
      <x:c r="C241" s="12" t="str">
        <x:v>Q4</x:v>
      </x:c>
      <x:c r="D241" s="12" t="str">
        <x:v>Nghiên cứu thị trường</x:v>
      </x:c>
      <x:c r="E241" s="12" t="str">
        <x:v>Nền tảng EmailCloud</x:v>
      </x:c>
      <x:c r="F241" s="12" t="str">
        <x:v>Thanh toán livestream - đợt 240</x:v>
      </x:c>
      <x:c r="G241" s="14" t="n">
        <x:v>80000000</x:v>
      </x:c>
      <x:c r="H241" s="14" t="n">
        <x:f>G241*10%</x:f>
        <x:v>8000000</x:v>
      </x:c>
      <x:c r="I241" s="14" t="n">
        <x:f>G241+H241</x:f>
        <x:v>88000000</x:v>
      </x:c>
      <x:c r="J241" s="12" t="str">
        <x:v>Cần bổ sung chứng từ</x:v>
      </x:c>
      <x:c r="K241" s="12" t="str">
        <x:v>Lê Thu Hà</x:v>
      </x:c>
      <x:c r="L241" s="12" t="str">
        <x:v>DT-MKT-2026-040</x:v>
      </x:c>
    </x:row>
    <x:row r="242">
      <x:c r="A242" s="12" t="str">
        <x:v>DN-MKT-2026-241</x:v>
      </x:c>
      <x:c r="B242" s="20" t="n">
        <x:v>46035</x:v>
      </x:c>
      <x:c r="C242" s="12" t="str">
        <x:v>Q1</x:v>
      </x:c>
      <x:c r="D242" s="12" t="str">
        <x:v>Website &amp; SEO</x:v>
      </x:c>
      <x:c r="E242" s="12" t="str">
        <x:v>Agency Truyền thông ABC</x:v>
      </x:c>
      <x:c r="F242" s="12" t="str">
        <x:v>Thanh toán kol/influencer - đợt 241</x:v>
      </x:c>
      <x:c r="G242" s="14" t="n">
        <x:v>10000000</x:v>
      </x:c>
      <x:c r="H242" s="14" t="n">
        <x:f>G242*10%</x:f>
        <x:v>1000000</x:v>
      </x:c>
      <x:c r="I242" s="14" t="n">
        <x:f>G242+H242</x:f>
        <x:v>11000000</x:v>
      </x:c>
      <x:c r="J242" s="12" t="str">
        <x:v>Đã duyệt</x:v>
      </x:c>
      <x:c r="K242" s="12" t="str">
        <x:v>Phạm Quang Huy</x:v>
      </x:c>
      <x:c r="L242" s="12" t="str">
        <x:v>DT-MKT-2026-141</x:v>
      </x:c>
    </x:row>
    <x:row r="243">
      <x:c r="A243" s="12" t="str">
        <x:v>DN-MKT-2026-242</x:v>
      </x:c>
      <x:c r="B243" s="20" t="n">
        <x:v>46073</x:v>
      </x:c>
      <x:c r="C243" s="12" t="str">
        <x:v>Q1</x:v>
      </x:c>
      <x:c r="D243" s="12" t="str">
        <x:v>Sự kiện truyền thông</x:v>
      </x:c>
      <x:c r="E243" s="12" t="str">
        <x:v>Công ty Thiết kế BrandLab</x:v>
      </x:c>
      <x:c r="F243" s="12" t="str">
        <x:v>Thanh toán khảo sát thị trường - đợt 242</x:v>
      </x:c>
      <x:c r="G243" s="14" t="n">
        <x:v>20000000</x:v>
      </x:c>
      <x:c r="H243" s="14" t="n">
        <x:f>G243*10%</x:f>
        <x:v>2000000</x:v>
      </x:c>
      <x:c r="I243" s="14" t="n">
        <x:f>G243+H243</x:f>
        <x:v>22000000</x:v>
      </x:c>
      <x:c r="J243" s="12" t="str">
        <x:v>Cần bổ sung chứng từ</x:v>
      </x:c>
      <x:c r="K243" s="12" t="str">
        <x:v>Phạm Quang Huy</x:v>
      </x:c>
      <x:c r="L243" s="12" t="str">
        <x:v>DT-MKT-2026-118</x:v>
      </x:c>
    </x:row>
    <x:row r="244">
      <x:c r="A244" s="12" t="str">
        <x:v>DN-MKT-2026-243</x:v>
      </x:c>
      <x:c r="B244" s="20" t="n">
        <x:v>46083</x:v>
      </x:c>
      <x:c r="C244" s="12" t="str">
        <x:v>Q1</x:v>
      </x:c>
      <x:c r="D244" s="12" t="str">
        <x:v>Truyền thông nội bộ</x:v>
      </x:c>
      <x:c r="E244" s="12" t="str">
        <x:v>Công ty Thiết kế BrandLab</x:v>
      </x:c>
      <x:c r="F244" s="12" t="str">
        <x:v>Thanh toán tổ chức sự kiện - đợt 243</x:v>
      </x:c>
      <x:c r="G244" s="14" t="n">
        <x:v>8000000</x:v>
      </x:c>
      <x:c r="H244" s="14" t="n">
        <x:f>G244*10%</x:f>
        <x:v>800000</x:v>
      </x:c>
      <x:c r="I244" s="14" t="n">
        <x:f>G244+H244</x:f>
        <x:v>8800000</x:v>
      </x:c>
      <x:c r="J244" s="12" t="str">
        <x:v>Đã duyệt</x:v>
      </x:c>
      <x:c r="K244" s="12" t="str">
        <x:v>Trần Hoàng Nam</x:v>
      </x:c>
      <x:c r="L244" s="12" t="str">
        <x:v>DT-MKT-2026-140</x:v>
      </x:c>
    </x:row>
    <x:row r="245">
      <x:c r="A245" s="12" t="str">
        <x:v>DN-MKT-2026-244</x:v>
      </x:c>
      <x:c r="B245" s="20" t="n">
        <x:v>46121</x:v>
      </x:c>
      <x:c r="C245" s="12" t="str">
        <x:v>Q2</x:v>
      </x:c>
      <x:c r="D245" s="12" t="str">
        <x:v>Sản xuất nội dung</x:v>
      </x:c>
      <x:c r="E245" s="12" t="str">
        <x:v>Công ty Quà tặng Việt</x:v>
      </x:c>
      <x:c r="F245" s="12" t="str">
        <x:v>Thanh toán pr agency - đợt 244</x:v>
      </x:c>
      <x:c r="G245" s="14" t="n">
        <x:v>50000000</x:v>
      </x:c>
      <x:c r="H245" s="14" t="n">
        <x:f>G245*10%</x:f>
        <x:v>5000000</x:v>
      </x:c>
      <x:c r="I245" s="14" t="n">
        <x:f>G245+H245</x:f>
        <x:v>55000000</x:v>
      </x:c>
      <x:c r="J245" s="12" t="str">
        <x:v>Đã thanh toán</x:v>
      </x:c>
      <x:c r="K245" s="12" t="str">
        <x:v>Đỗ Mai Linh</x:v>
      </x:c>
      <x:c r="L245" s="12" t="str">
        <x:v>DT-MKT-2026-009</x:v>
      </x:c>
    </x:row>
    <x:row r="246">
      <x:c r="A246" s="12" t="str">
        <x:v>DN-MKT-2026-245</x:v>
      </x:c>
      <x:c r="B246" s="20" t="n">
        <x:v>46158</x:v>
      </x:c>
      <x:c r="C246" s="12" t="str">
        <x:v>Q2</x:v>
      </x:c>
      <x:c r="D246" s="12" t="str">
        <x:v>Quản trị thương hiệu</x:v>
      </x:c>
      <x:c r="E246" s="12" t="str">
        <x:v>Meta Việt Nam</x:v>
      </x:c>
      <x:c r="F246" s="12" t="str">
        <x:v>Thanh toán email automation - đợt 245</x:v>
      </x:c>
      <x:c r="G246" s="14" t="n">
        <x:v>5000000</x:v>
      </x:c>
      <x:c r="H246" s="14" t="n">
        <x:f>G246*10%</x:f>
        <x:v>500000</x:v>
      </x:c>
      <x:c r="I246" s="14" t="n">
        <x:f>G246+H246</x:f>
        <x:v>5500000</x:v>
      </x:c>
      <x:c r="J246" s="12" t="str">
        <x:v>Đã thanh toán</x:v>
      </x:c>
      <x:c r="K246" s="12" t="str">
        <x:v>Phạm Quang Huy</x:v>
      </x:c>
      <x:c r="L246" s="12" t="str">
        <x:v>DT-MKT-2026-036</x:v>
      </x:c>
    </x:row>
    <x:row r="247">
      <x:c r="A247" s="12" t="str">
        <x:v>DN-MKT-2026-246</x:v>
      </x:c>
      <x:c r="B247" s="20" t="n">
        <x:v>46196</x:v>
      </x:c>
      <x:c r="C247" s="12" t="str">
        <x:v>Q2</x:v>
      </x:c>
      <x:c r="D247" s="12" t="str">
        <x:v>Digital Marketing</x:v>
      </x:c>
      <x:c r="E247" s="12" t="str">
        <x:v>Production House Lotus</x:v>
      </x:c>
      <x:c r="F247" s="12" t="str">
        <x:v>Thanh toán sản xuất video - đợt 246</x:v>
      </x:c>
      <x:c r="G247" s="14" t="n">
        <x:v>10000000</x:v>
      </x:c>
      <x:c r="H247" s="14" t="n">
        <x:f>G247*10%</x:f>
        <x:v>1000000</x:v>
      </x:c>
      <x:c r="I247" s="14" t="n">
        <x:f>G247+H247</x:f>
        <x:v>11000000</x:v>
      </x:c>
      <x:c r="J247" s="12" t="str">
        <x:v>Đã thanh toán</x:v>
      </x:c>
      <x:c r="K247" s="12" t="str">
        <x:v>Trần Hoàng Nam</x:v>
      </x:c>
      <x:c r="L247" s="12" t="str">
        <x:v>DT-MKT-2026-130</x:v>
      </x:c>
    </x:row>
    <x:row r="248">
      <x:c r="A248" s="12" t="str">
        <x:v>DN-MKT-2026-247</x:v>
      </x:c>
      <x:c r="B248" s="20" t="n">
        <x:v>46208</x:v>
      </x:c>
      <x:c r="C248" s="12" t="str">
        <x:v>Q3</x:v>
      </x:c>
      <x:c r="D248" s="12" t="str">
        <x:v>Website &amp; SEO</x:v>
      </x:c>
      <x:c r="E248" s="12" t="str">
        <x:v>Meta Việt Nam</x:v>
      </x:c>
      <x:c r="F248" s="12" t="str">
        <x:v>Thanh toán chụp ảnh - đợt 247</x:v>
      </x:c>
      <x:c r="G248" s="14" t="n">
        <x:v>50000000</x:v>
      </x:c>
      <x:c r="H248" s="14" t="n">
        <x:f>G248*10%</x:f>
        <x:v>5000000</x:v>
      </x:c>
      <x:c r="I248" s="14" t="n">
        <x:f>G248+H248</x:f>
        <x:v>55000000</x:v>
      </x:c>
      <x:c r="J248" s="12" t="str">
        <x:v>Cần bổ sung chứng từ</x:v>
      </x:c>
      <x:c r="K248" s="12" t="str">
        <x:v>Phạm Quang Huy</x:v>
      </x:c>
      <x:c r="L248" s="12" t="str">
        <x:v>DT-MKT-2026-005</x:v>
      </x:c>
    </x:row>
    <x:row r="249">
      <x:c r="A249" s="12" t="str">
        <x:v>DN-MKT-2026-248</x:v>
      </x:c>
      <x:c r="B249" s="20" t="n">
        <x:v>46246</x:v>
      </x:c>
      <x:c r="C249" s="12" t="str">
        <x:v>Q3</x:v>
      </x:c>
      <x:c r="D249" s="12" t="str">
        <x:v>Email Marketing</x:v>
      </x:c>
      <x:c r="E249" s="12" t="str">
        <x:v>Công ty SEO Pro</x:v>
      </x:c>
      <x:c r="F249" s="12" t="str">
        <x:v>Thanh toán kol/influencer - đợt 248</x:v>
      </x:c>
      <x:c r="G249" s="14" t="n">
        <x:v>3000000</x:v>
      </x:c>
      <x:c r="H249" s="14" t="n">
        <x:f>G249*10%</x:f>
        <x:v>300000</x:v>
      </x:c>
      <x:c r="I249" s="14" t="n">
        <x:f>G249+H249</x:f>
        <x:v>3300000</x:v>
      </x:c>
      <x:c r="J249" s="12" t="str">
        <x:v>Đã thanh toán</x:v>
      </x:c>
      <x:c r="K249" s="12" t="str">
        <x:v>Nguyễn Minh Anh</x:v>
      </x:c>
      <x:c r="L249" s="12" t="str">
        <x:v>DT-MKT-2026-136</x:v>
      </x:c>
    </x:row>
    <x:row r="250">
      <x:c r="A250" s="12" t="str">
        <x:v>DN-MKT-2026-249</x:v>
      </x:c>
      <x:c r="B250" s="20" t="n">
        <x:v>46284</x:v>
      </x:c>
      <x:c r="C250" s="12" t="str">
        <x:v>Q3</x:v>
      </x:c>
      <x:c r="D250" s="12" t="str">
        <x:v>Email Marketing</x:v>
      </x:c>
      <x:c r="E250" s="12" t="str">
        <x:v>Studio Sáng Tạo</x:v>
      </x:c>
      <x:c r="F250" s="12" t="str">
        <x:v>Thanh toán facebook/tiktok ads - đợt 249</x:v>
      </x:c>
      <x:c r="G250" s="14" t="n">
        <x:v>15000000</x:v>
      </x:c>
      <x:c r="H250" s="14" t="n">
        <x:f>G250*10%</x:f>
        <x:v>1500000</x:v>
      </x:c>
      <x:c r="I250" s="14" t="n">
        <x:f>G250+H250</x:f>
        <x:v>16500000</x:v>
      </x:c>
      <x:c r="J250" s="12" t="str">
        <x:v>Cần bổ sung chứng từ</x:v>
      </x:c>
      <x:c r="K250" s="12" t="str">
        <x:v>Trần Hoàng Nam</x:v>
      </x:c>
      <x:c r="L250" s="12" t="str">
        <x:v>DT-MKT-2026-028</x:v>
      </x:c>
    </x:row>
    <x:row r="251">
      <x:c r="A251" s="12" t="str">
        <x:v>DN-MKT-2026-250</x:v>
      </x:c>
      <x:c r="B251" s="20" t="n">
        <x:v>46296</x:v>
      </x:c>
      <x:c r="C251" s="12" t="str">
        <x:v>Q4</x:v>
      </x:c>
      <x:c r="D251" s="12" t="str">
        <x:v>Email Marketing</x:v>
      </x:c>
      <x:c r="E251" s="12" t="str">
        <x:v>Công ty EventPlus</x:v>
      </x:c>
      <x:c r="F251" s="12" t="str">
        <x:v>Thanh toán thiết kế ấn phẩm - đợt 250</x:v>
      </x:c>
      <x:c r="G251" s="14" t="n">
        <x:v>5000000</x:v>
      </x:c>
      <x:c r="H251" s="14" t="n">
        <x:f>G251*10%</x:f>
        <x:v>500000</x:v>
      </x:c>
      <x:c r="I251" s="14" t="n">
        <x:f>G251+H251</x:f>
        <x:v>5500000</x:v>
      </x:c>
      <x:c r="J251" s="12" t="str">
        <x:v>Đã duyệt</x:v>
      </x:c>
      <x:c r="K251" s="12" t="str">
        <x:v>Đỗ Mai Linh</x:v>
      </x:c>
      <x:c r="L251" s="12" t="str">
        <x:v>DT-MKT-2026-135</x:v>
      </x:c>
    </x:row>
  </x:sheetData>
  <x:dataValidations count="2">
    <x:dataValidation type="list" sqref="D2:D251">
      <x:formula1>Danh_muc!$A$2:$A$13</x:formula1>
    </x:dataValidation>
    <x:dataValidation type="list" sqref="J2:J251">
      <x:formula1>Danh_muc!$B$2:$B$5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6a1a1c9f5b4e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>
      <x:c r="A1" s="25" t="str">
        <x:v>DASHBOARD QUẢN TRỊ NGÂN SÁCH - PHÒNG MARKETING TRUYỀN THÔNG 2026</x:v>
      </x:c>
      <x:c r="B1"/>
      <x:c r="C1"/>
      <x:c r="D1"/>
      <x:c r="E1"/>
      <x:c r="F1"/>
      <x:c r="G1"/>
      <x:c r="H1"/>
    </x:row>
    <x:row r="3">
      <x:c r="A3" s="6" t="str">
        <x:v>Chỉ số</x:v>
      </x:c>
      <x:c r="B3" s="6" t="str">
        <x:v>Giá trị</x:v>
      </x:c>
      <x:c r="C3" s="12"/>
      <x:c r="D3" s="6" t="str">
        <x:v>Quý</x:v>
      </x:c>
      <x:c r="E3" s="6" t="str">
        <x:v>Dự toán</x:v>
      </x:c>
      <x:c r="F3" s="6" t="str">
        <x:v>Thực chi</x:v>
      </x:c>
      <x:c r="G3" s="6" t="str">
        <x:v>Tỷ lệ sử dụng</x:v>
      </x:c>
      <x:c r="H3" s="12"/>
    </x:row>
    <x:row r="4">
      <x:c r="A4" s="12" t="str">
        <x:v>Tổng dự toán</x:v>
      </x:c>
      <x:c r="B4" s="14" t="n">
        <x:f>SUM(Du_toan_ngan_sach!J2:J151)</x:f>
        <x:v>126734000000</x:v>
      </x:c>
      <x:c r="C4" s="12"/>
      <x:c r="D4" s="12" t="str">
        <x:v>Q1</x:v>
      </x:c>
      <x:c r="E4" s="14" t="n">
        <x:f>SUMIF(Du_toan_ngan_sach!C:C,D4,Du_toan_ngan_sach!J:J)</x:f>
        <x:v>27651000000</x:v>
      </x:c>
      <x:c r="F4" s="14" t="n">
        <x:f>SUMIF(Ke_hoach_chi_tieu!B:B,D4,Ke_hoach_chi_tieu!E:E)</x:f>
        <x:v>5291598733</x:v>
      </x:c>
      <x:c r="G4" s="18" t="n">
        <x:f>F4/E4</x:f>
        <x:v>0.19137097150193483</x:v>
      </x:c>
      <x:c r="H4" s="12"/>
    </x:row>
    <x:row r="5">
      <x:c r="A5" s="12" t="str">
        <x:v>Tổng kế hoạch chi tiêu</x:v>
      </x:c>
      <x:c r="B5" s="14" t="n">
        <x:f>SUM(Ke_hoach_chi_tieu!D2:D121)</x:f>
        <x:v>21650000000</x:v>
      </x:c>
      <x:c r="C5" s="12"/>
      <x:c r="D5" s="12" t="str">
        <x:v>Q2</x:v>
      </x:c>
      <x:c r="E5" s="14" t="n">
        <x:f>SUMIF(Du_toan_ngan_sach!C:C,D5,Du_toan_ngan_sach!J:J)</x:f>
        <x:v>27223000000</x:v>
      </x:c>
      <x:c r="F5" s="14" t="n">
        <x:f>SUMIF(Ke_hoach_chi_tieu!B:B,D5,Ke_hoach_chi_tieu!E:E)</x:f>
        <x:v>4770044894</x:v>
      </x:c>
      <x:c r="G5" s="18" t="n">
        <x:f>F5/E5</x:f>
        <x:v>0.17522113264518974</x:v>
      </x:c>
      <x:c r="H5" s="12"/>
    </x:row>
    <x:row r="6">
      <x:c r="A6" s="12" t="str">
        <x:v>Tổng thực chi</x:v>
      </x:c>
      <x:c r="B6" s="14" t="n">
        <x:f>SUM(Ke_hoach_chi_tieu!E2:E121)</x:f>
        <x:v>20845260118</x:v>
      </x:c>
      <x:c r="C6" s="12"/>
      <x:c r="D6" s="12" t="str">
        <x:v>Q3</x:v>
      </x:c>
      <x:c r="E6" s="14" t="n">
        <x:f>SUMIF(Du_toan_ngan_sach!C:C,D6,Du_toan_ngan_sach!J:J)</x:f>
        <x:v>34053000000</x:v>
      </x:c>
      <x:c r="F6" s="14" t="n">
        <x:f>SUMIF(Ke_hoach_chi_tieu!B:B,D6,Ke_hoach_chi_tieu!E:E)</x:f>
        <x:v>5096185089</x:v>
      </x:c>
      <x:c r="G6" s="18" t="n">
        <x:f>F6/E6</x:f>
        <x:v>0.14965451176107833</x:v>
      </x:c>
      <x:c r="H6" s="12"/>
    </x:row>
    <x:row r="7">
      <x:c r="A7" s="12" t="str">
        <x:v>Tổng đề nghị thanh toán</x:v>
      </x:c>
      <x:c r="B7" s="14" t="n">
        <x:f>SUM(De_nghi_thanh_toan!I2:I251)</x:f>
        <x:v>9040900000</x:v>
      </x:c>
      <x:c r="C7" s="12"/>
      <x:c r="D7" s="12" t="str">
        <x:v>Q4</x:v>
      </x:c>
      <x:c r="E7" s="14" t="n">
        <x:f>SUMIF(Du_toan_ngan_sach!C:C,D7,Du_toan_ngan_sach!J:J)</x:f>
        <x:v>37807000000</x:v>
      </x:c>
      <x:c r="F7" s="14" t="n">
        <x:f>SUMIF(Ke_hoach_chi_tieu!B:B,D7,Ke_hoach_chi_tieu!E:E)</x:f>
        <x:v>5687431402</x:v>
      </x:c>
      <x:c r="G7" s="18" t="n">
        <x:f>F7/E7</x:f>
        <x:v>0.1504332901843574</x:v>
      </x:c>
      <x:c r="H7" s="12"/>
    </x:row>
    <x:row r="8">
      <x:c r="A8" s="12" t="str">
        <x:v>Tỷ lệ sử dụng ngân sách</x:v>
      </x:c>
      <x:c r="B8" s="18" t="n">
        <x:f>B6/B5</x:f>
        <x:v>0.9628295666512702</x:v>
      </x:c>
      <x:c r="C8" s="12"/>
      <x:c r="D8" s="12"/>
      <x:c r="E8" s="12"/>
      <x:c r="F8" s="12"/>
      <x:c r="G8" s="12"/>
      <x:c r="H8" s="12"/>
    </x:row>
    <x:row r="9">
      <x:c r="A9" s="12"/>
      <x:c r="B9" s="12"/>
      <x:c r="C9" s="12"/>
      <x:c r="D9" s="12"/>
      <x:c r="E9" s="12"/>
      <x:c r="F9" s="12"/>
      <x:c r="G9" s="12"/>
      <x:c r="H9" s="12"/>
    </x:row>
    <x:row r="10">
      <x:c r="A10" s="12"/>
      <x:c r="B10" s="12"/>
      <x:c r="C10" s="12"/>
      <x:c r="D10" s="12"/>
      <x:c r="E10" s="12"/>
      <x:c r="F10" s="12"/>
      <x:c r="G10" s="12"/>
      <x:c r="H10" s="12"/>
    </x:row>
    <x:row r="11">
      <x:c r="A11" s="6" t="str">
        <x:v>Chương trình</x:v>
      </x:c>
      <x:c r="B11" s="6" t="str">
        <x:v>Dự toán</x:v>
      </x:c>
      <x:c r="C11" s="6" t="str">
        <x:v>Thực chi</x:v>
      </x:c>
      <x:c r="D11" s="6" t="str">
        <x:v>Tỷ lệ sử dụng</x:v>
      </x:c>
      <x:c r="E11" s="12"/>
      <x:c r="F11" s="6" t="str">
        <x:v>Trạng thái thanh toán</x:v>
      </x:c>
      <x:c r="G11" s="6" t="str">
        <x:v>Tổng giá trị</x:v>
      </x:c>
      <x:c r="H11" s="12"/>
    </x:row>
    <x:row r="12">
      <x:c r="A12" s="12" t="str">
        <x:v>Tuyển sinh &amp; truyền thông thương hiệu</x:v>
      </x:c>
      <x:c r="B12" s="14" t="n">
        <x:f>SUMIF(Du_toan_ngan_sach!D:D,A12,Du_toan_ngan_sach!J:J)</x:f>
        <x:v>8636000000</x:v>
      </x:c>
      <x:c r="C12" s="14" t="n">
        <x:f>SUMIF(Ke_hoach_chi_tieu!C:C,A12,Ke_hoach_chi_tieu!E:E)</x:f>
        <x:v>1609769952</x:v>
      </x:c>
      <x:c r="D12" s="18" t="n">
        <x:f>C12/B12</x:f>
        <x:v>0.18640226401111626</x:v>
      </x:c>
      <x:c r="E12" s="12"/>
      <x:c r="F12" s="12" t="str">
        <x:v>Đã thanh toán</x:v>
      </x:c>
      <x:c r="G12" s="14" t="n">
        <x:f>SUMIF(De_nghi_thanh_toan!J:J,F12,De_nghi_thanh_toan!I:I)</x:f>
        <x:v>2134000000</x:v>
      </x:c>
      <x:c r="H12" s="12"/>
    </x:row>
    <x:row r="13">
      <x:c r="A13" s="12" t="str">
        <x:v>Digital Marketing</x:v>
      </x:c>
      <x:c r="B13" s="14" t="n">
        <x:f>SUMIF(Du_toan_ngan_sach!D:D,A13,Du_toan_ngan_sach!J:J)</x:f>
        <x:v>11660000000</x:v>
      </x:c>
      <x:c r="C13" s="14" t="n">
        <x:f>SUMIF(Ke_hoach_chi_tieu!C:C,A13,Ke_hoach_chi_tieu!E:E)</x:f>
        <x:v>2367631707</x:v>
      </x:c>
      <x:c r="D13" s="18" t="n">
        <x:f>C13/B13</x:f>
        <x:v>0.2030558925385935</x:v>
      </x:c>
      <x:c r="E13" s="12"/>
      <x:c r="F13" s="12" t="str">
        <x:v>Đã duyệt</x:v>
      </x:c>
      <x:c r="G13" s="14" t="n">
        <x:f>SUMIF(De_nghi_thanh_toan!J:J,F13,De_nghi_thanh_toan!I:I)</x:f>
        <x:v>2656500000</x:v>
      </x:c>
      <x:c r="H13" s="12"/>
    </x:row>
    <x:row r="14">
      <x:c r="A14" s="12" t="str">
        <x:v>Sản xuất nội dung</x:v>
      </x:c>
      <x:c r="B14" s="14" t="n">
        <x:f>SUMIF(Du_toan_ngan_sach!D:D,A14,Du_toan_ngan_sach!J:J)</x:f>
        <x:v>15149000000</x:v>
      </x:c>
      <x:c r="C14" s="14" t="n">
        <x:f>SUMIF(Ke_hoach_chi_tieu!C:C,A14,Ke_hoach_chi_tieu!E:E)</x:f>
        <x:v>2046170376</x:v>
      </x:c>
      <x:c r="D14" s="18" t="n">
        <x:f>C14/B14</x:f>
        <x:v>0.13506966638061918</x:v>
      </x:c>
      <x:c r="E14" s="12"/>
      <x:c r="F14" s="12" t="str">
        <x:v>Chờ duyệt</x:v>
      </x:c>
      <x:c r="G14" s="14" t="n">
        <x:f>SUMIF(De_nghi_thanh_toan!J:J,F14,De_nghi_thanh_toan!I:I)</x:f>
        <x:v>1779800000</x:v>
      </x:c>
      <x:c r="H14" s="12"/>
    </x:row>
    <x:row r="15">
      <x:c r="A15" s="12" t="str">
        <x:v>Quan hệ báo chí</x:v>
      </x:c>
      <x:c r="B15" s="14" t="n">
        <x:f>SUMIF(Du_toan_ngan_sach!D:D,A15,Du_toan_ngan_sach!J:J)</x:f>
        <x:v>15047000000</x:v>
      </x:c>
      <x:c r="C15" s="14" t="n">
        <x:f>SUMIF(Ke_hoach_chi_tieu!C:C,A15,Ke_hoach_chi_tieu!E:E)</x:f>
        <x:v>2319773204</x:v>
      </x:c>
      <x:c r="D15" s="18" t="n">
        <x:f>C15/B15</x:f>
        <x:v>0.1541684856782083</x:v>
      </x:c>
      <x:c r="E15" s="12"/>
      <x:c r="F15" s="12" t="str">
        <x:v>Cần bổ sung chứng từ</x:v>
      </x:c>
      <x:c r="G15" s="14" t="n">
        <x:f>SUMIF(De_nghi_thanh_toan!J:J,F15,De_nghi_thanh_toan!I:I)</x:f>
        <x:v>2470600000</x:v>
      </x:c>
      <x:c r="H15" s="12"/>
    </x:row>
    <x:row r="16">
      <x:c r="A16" s="12" t="str">
        <x:v>Sự kiện truyền thông</x:v>
      </x:c>
      <x:c r="B16" s="14" t="n">
        <x:f>SUMIF(Du_toan_ngan_sach!D:D,A16,Du_toan_ngan_sach!J:J)</x:f>
        <x:v>3880000000</x:v>
      </x:c>
      <x:c r="C16" s="14" t="n">
        <x:f>SUMIF(Ke_hoach_chi_tieu!C:C,A16,Ke_hoach_chi_tieu!E:E)</x:f>
        <x:v>2116174337</x:v>
      </x:c>
      <x:c r="D16" s="18" t="n">
        <x:f>C16/B16</x:f>
        <x:v>0.5454057569587629</x:v>
      </x:c>
      <x:c r="E16" s="12"/>
      <x:c r="F16" s="12"/>
      <x:c r="G16" s="12"/>
      <x:c r="H16" s="12"/>
    </x:row>
    <x:row r="17">
      <x:c r="A17" s="12" t="str">
        <x:v>Website &amp; SEO</x:v>
      </x:c>
      <x:c r="B17" s="14" t="n">
        <x:f>SUMIF(Du_toan_ngan_sach!D:D,A17,Du_toan_ngan_sach!J:J)</x:f>
        <x:v>10365000000</x:v>
      </x:c>
      <x:c r="C17" s="14" t="n">
        <x:f>SUMIF(Ke_hoach_chi_tieu!C:C,A17,Ke_hoach_chi_tieu!E:E)</x:f>
        <x:v>1873503121</x:v>
      </x:c>
      <x:c r="D17" s="18" t="n">
        <x:f>C17/B17</x:f>
        <x:v>0.1807528336710082</x:v>
      </x:c>
      <x:c r="E17" s="12"/>
      <x:c r="F17" s="12"/>
      <x:c r="G17" s="12"/>
      <x:c r="H17" s="12"/>
    </x:row>
    <x:row r="18">
      <x:c r="A18" s="12" t="str">
        <x:v>Social Media</x:v>
      </x:c>
      <x:c r="B18" s="14" t="n">
        <x:f>SUMIF(Du_toan_ngan_sach!D:D,A18,Du_toan_ngan_sach!J:J)</x:f>
        <x:v>11878000000</x:v>
      </x:c>
      <x:c r="C18" s="14" t="n">
        <x:f>SUMIF(Ke_hoach_chi_tieu!C:C,A18,Ke_hoach_chi_tieu!E:E)</x:f>
        <x:v>1863361042</x:v>
      </x:c>
      <x:c r="D18" s="18" t="n">
        <x:f>C18/B18</x:f>
        <x:v>0.15687498248863446</x:v>
      </x:c>
      <x:c r="E18" s="12"/>
      <x:c r="F18" s="12"/>
      <x:c r="G18" s="12"/>
      <x:c r="H18" s="12"/>
    </x:row>
    <x:row r="19">
      <x:c r="A19" s="12" t="str">
        <x:v>Video/Photo Production</x:v>
      </x:c>
      <x:c r="B19" s="14" t="n">
        <x:f>SUMIF(Du_toan_ngan_sach!D:D,A19,Du_toan_ngan_sach!J:J)</x:f>
        <x:v>4490000000</x:v>
      </x:c>
      <x:c r="C19" s="14" t="n">
        <x:f>SUMIF(Ke_hoach_chi_tieu!C:C,A19,Ke_hoach_chi_tieu!E:E)</x:f>
        <x:v>2272692967</x:v>
      </x:c>
      <x:c r="D19" s="18" t="n">
        <x:f>C19/B19</x:f>
        <x:v>0.5061676986636972</x:v>
      </x:c>
      <x:c r="E19" s="12"/>
      <x:c r="F19" s="12"/>
      <x:c r="G19" s="12"/>
      <x:c r="H19" s="12"/>
    </x:row>
    <x:row r="20">
      <x:c r="A20" s="12" t="str">
        <x:v>Email Marketing</x:v>
      </x:c>
      <x:c r="B20" s="14" t="n">
        <x:f>SUMIF(Du_toan_ngan_sach!D:D,A20,Du_toan_ngan_sach!J:J)</x:f>
        <x:v>7795000000</x:v>
      </x:c>
      <x:c r="C20" s="14" t="n">
        <x:f>SUMIF(Ke_hoach_chi_tieu!C:C,A20,Ke_hoach_chi_tieu!E:E)</x:f>
        <x:v>2029688723</x:v>
      </x:c>
      <x:c r="D20" s="18" t="n">
        <x:f>C20/B20</x:f>
        <x:v>0.2603834153944836</x:v>
      </x:c>
      <x:c r="E20" s="12"/>
      <x:c r="F20" s="12"/>
      <x:c r="G20" s="12"/>
      <x:c r="H20" s="12"/>
    </x:row>
    <x:row r="21">
      <x:c r="A21" s="12" t="str">
        <x:v>Nghiên cứu thị trường</x:v>
      </x:c>
      <x:c r="B21" s="14" t="n">
        <x:f>SUMIF(Du_toan_ngan_sach!D:D,A21,Du_toan_ngan_sach!J:J)</x:f>
        <x:v>10511000000</x:v>
      </x:c>
      <x:c r="C21" s="14" t="n">
        <x:f>SUMIF(Ke_hoach_chi_tieu!C:C,A21,Ke_hoach_chi_tieu!E:E)</x:f>
        <x:v>2346494689</x:v>
      </x:c>
      <x:c r="D21" s="18" t="n">
        <x:f>C21/B21</x:f>
        <x:v>0.2232418122918847</x:v>
      </x:c>
      <x:c r="E21" s="12"/>
      <x:c r="F21" s="12"/>
      <x:c r="G21" s="12"/>
      <x:c r="H21" s="12"/>
    </x:row>
    <x:row r="22">
      <x:c r="A22" s="12"/>
      <x:c r="B22" s="12"/>
      <x:c r="C22" s="12"/>
      <x:c r="D22" s="12"/>
      <x:c r="E22" s="12"/>
      <x:c r="F22" s="12"/>
      <x:c r="G22" s="12"/>
      <x:c r="H22" s="12"/>
    </x:row>
    <x:row r="23">
      <x:c r="A23" s="12"/>
      <x:c r="B23" s="12"/>
      <x:c r="C23" s="12"/>
      <x:c r="D23" s="12"/>
      <x:c r="E23" s="12"/>
      <x:c r="F23" s="12"/>
      <x:c r="G23" s="12"/>
      <x:c r="H23" s="12"/>
    </x:row>
    <x:row r="24">
      <x:c r="A24" s="12"/>
      <x:c r="B24" s="12"/>
      <x:c r="C24" s="12"/>
      <x:c r="D24" s="12"/>
      <x:c r="E24" s="12"/>
      <x:c r="F24" s="12"/>
      <x:c r="G24" s="12"/>
      <x:c r="H24" s="12"/>
    </x:row>
    <x:row r="25">
      <x:c r="A25" s="12"/>
      <x:c r="B25" s="12"/>
      <x:c r="C25" s="12"/>
      <x:c r="D25" s="12"/>
      <x:c r="E25" s="12"/>
      <x:c r="F25" s="12"/>
      <x:c r="G25" s="12"/>
      <x:c r="H25" s="12"/>
    </x:row>
  </x:sheetData>
  <x:mergeCells>
    <x:mergeCell ref="A1:H1"/>
  </x:mergeCells>
  <x:conditionalFormatting sqref="G4:G7">
    <x:cfRule type="dataBar" priority="1">
      <x:dataBar>
        <x:cfvo type="min"/>
        <x:cfvo type="max"/>
        <x:color rgb="4472C4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conditionalFormatting sqref="D12:D21">
    <x:cfRule type="dataBar" priority="2">
      <x:dataBar>
        <x:cfvo type="min"/>
        <x:cfvo type="max"/>
        <x:color rgb="4472C4"/>
      </x:dataBar>
      <x:extLst>
        <x:ext xmlns:x14="http://schemas.microsoft.com/office/spreadsheetml/2009/9/main" uri="{B025F937-C7B1-47D3-B67F-A62EFF666E3E}">
          <x14:id>{169BE573-5479-287D-BE93-74B15E11EBFA}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6aa1b1c2d46e4368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4472C4"/>
            </x14:dataBar>
          </x14:cfRule>
          <xm:sqref>G4:G7</xm:sqref>
        </x14:conditionalFormatting>
        <x14:conditionalFormatting>
          <x14:cfRule type="dataBar" priority="2" id="{169BE573-5479-287D-BE93-74B15E11EBFA}">
            <x14:dataBar gradient="1">
              <x14:cfvo type="min"/>
              <x14:cfvo type="max"/>
              <x14:fillColor rgb="4472C4"/>
            </x14:dataBar>
          </x14:cfRule>
          <xm:sqref>D12:D21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</x:cols>
  <x:sheetData>
    <x:row r="1">
      <x:c r="A1" s="6" t="str">
        <x:v>Chương trình</x:v>
      </x:c>
      <x:c r="B1" s="6" t="str">
        <x:v>Trạng thái</x:v>
      </x:c>
      <x:c r="C1" s="6" t="str">
        <x:v>Ưu tiên</x:v>
      </x:c>
      <x:c r="D1" s="6" t="str">
        <x:v>Nhà cung cấp</x:v>
      </x:c>
    </x:row>
    <x:row r="2">
      <x:c r="A2" s="12" t="str">
        <x:v>Tuyển sinh &amp; truyền thông thương hiệu</x:v>
      </x:c>
      <x:c r="B2" s="12" t="str">
        <x:v>Đã thanh toán</x:v>
      </x:c>
      <x:c r="C2" s="12" t="str">
        <x:v>Cao</x:v>
      </x:c>
      <x:c r="D2" s="12" t="str">
        <x:v>Meta Việt Nam</x:v>
      </x:c>
    </x:row>
    <x:row r="3">
      <x:c r="A3" s="12" t="str">
        <x:v>Digital Marketing</x:v>
      </x:c>
      <x:c r="B3" s="12" t="str">
        <x:v>Đã duyệt</x:v>
      </x:c>
      <x:c r="C3" s="12" t="str">
        <x:v>Trung bình</x:v>
      </x:c>
      <x:c r="D3" s="12" t="str">
        <x:v>Google Asia Pacific</x:v>
      </x:c>
    </x:row>
    <x:row r="4">
      <x:c r="A4" s="12" t="str">
        <x:v>Sản xuất nội dung</x:v>
      </x:c>
      <x:c r="B4" s="12" t="str">
        <x:v>Chờ duyệt</x:v>
      </x:c>
      <x:c r="C4" s="12" t="str">
        <x:v>Thấp</x:v>
      </x:c>
      <x:c r="D4" s="12" t="str">
        <x:v>Công ty EventPlus</x:v>
      </x:c>
    </x:row>
    <x:row r="5">
      <x:c r="A5" s="12" t="str">
        <x:v>Quan hệ báo chí</x:v>
      </x:c>
      <x:c r="B5" s="12" t="str">
        <x:v>Cần bổ sung chứng từ</x:v>
      </x:c>
      <x:c r="C5" s="12"/>
      <x:c r="D5" s="12" t="str">
        <x:v>Agency Truyền thông ABC</x:v>
      </x:c>
    </x:row>
    <x:row r="6">
      <x:c r="A6" s="12" t="str">
        <x:v>Sự kiện truyền thông</x:v>
      </x:c>
      <x:c r="B6" s="12"/>
      <x:c r="C6" s="12"/>
      <x:c r="D6" s="12" t="str">
        <x:v>Studio Sáng Tạo</x:v>
      </x:c>
    </x:row>
    <x:row r="7">
      <x:c r="A7" s="12" t="str">
        <x:v>Website &amp; SEO</x:v>
      </x:c>
      <x:c r="B7" s="12"/>
      <x:c r="C7" s="12"/>
      <x:c r="D7" s="12" t="str">
        <x:v>Công ty In Ấn Minh Phát</x:v>
      </x:c>
    </x:row>
    <x:row r="8">
      <x:c r="A8" s="12" t="str">
        <x:v>Social Media</x:v>
      </x:c>
      <x:c r="B8" s="12"/>
      <x:c r="C8" s="12"/>
      <x:c r="D8" s="12" t="str">
        <x:v>Báo điện tử Giáo dục</x:v>
      </x:c>
    </x:row>
    <x:row r="9">
      <x:c r="A9" s="12" t="str">
        <x:v>Video/Photo Production</x:v>
      </x:c>
      <x:c r="B9" s="12"/>
      <x:c r="C9" s="12"/>
      <x:c r="D9" s="12" t="str">
        <x:v>KOL Network Vietnam</x:v>
      </x:c>
    </x:row>
    <x:row r="10">
      <x:c r="A10" s="12" t="str">
        <x:v>Email Marketing</x:v>
      </x:c>
      <x:c r="B10" s="12"/>
      <x:c r="C10" s="12"/>
      <x:c r="D10" s="12" t="str">
        <x:v>Công ty SEO Pro</x:v>
      </x:c>
    </x:row>
    <x:row r="11">
      <x:c r="A11" s="12" t="str">
        <x:v>Nghiên cứu thị trường</x:v>
      </x:c>
      <x:c r="B11" s="12"/>
      <x:c r="C11" s="12"/>
      <x:c r="D11" s="12" t="str">
        <x:v>Nền tảng EmailCloud</x:v>
      </x:c>
    </x:row>
    <x:row r="12">
      <x:c r="A12" s="12" t="str">
        <x:v>Quản trị thương hiệu</x:v>
      </x:c>
      <x:c r="B12" s="12"/>
      <x:c r="C12" s="12"/>
      <x:c r="D12" s="12" t="str">
        <x:v>Công ty Nghiên cứu MarketInsight</x:v>
      </x:c>
    </x:row>
    <x:row r="13">
      <x:c r="A13" s="12" t="str">
        <x:v>Truyền thông nội bộ</x:v>
      </x:c>
      <x:c r="B13" s="12"/>
      <x:c r="C13" s="12"/>
      <x:c r="D13" s="12" t="str">
        <x:v>Production House Lotus</x:v>
      </x:c>
    </x:row>
    <x:row r="14">
      <x:c r="A14" s="12"/>
      <x:c r="B14" s="12"/>
      <x:c r="C14" s="12"/>
      <x:c r="D14" s="12" t="str">
        <x:v>Công ty Thiết kế BrandLab</x:v>
      </x:c>
    </x:row>
    <x:row r="15">
      <x:c r="A15" s="12"/>
      <x:c r="B15" s="12"/>
      <x:c r="C15" s="12"/>
      <x:c r="D15" s="12" t="str">
        <x:v>Đơn vị Livestream MediaPro</x:v>
      </x:c>
    </x:row>
    <x:row r="16">
      <x:c r="A16" s="12"/>
      <x:c r="B16" s="12"/>
      <x:c r="C16" s="12"/>
      <x:c r="D16" s="12" t="str">
        <x:v>Công ty Quà tặng Việt</x:v>
      </x:c>
    </x:row>
  </x:sheetData>
  <x:pageMargins left="0.7" right="0.7" top="0.75" bottom="0.75" header="0.3" footer="0.3"/>
  <x:tableParts count="1">
    <x:tablePart xmlns:r="http://schemas.openxmlformats.org/officeDocument/2006/relationships" r:id="R52e2667e5d4e4b17"/>
  </x:tableParts>
</x:worksheet>
</file>