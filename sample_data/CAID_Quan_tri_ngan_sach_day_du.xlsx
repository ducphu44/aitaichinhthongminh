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9785715e1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toan_ngan_sach" sheetId="1" r:id="R8a45364bac1c44b6"/>
    <x:sheet xmlns:r="http://schemas.openxmlformats.org/officeDocument/2006/relationships" name="Ke_hoach_chi_tieu" sheetId="2" r:id="Raf51ffebfa994407"/>
    <x:sheet xmlns:r="http://schemas.openxmlformats.org/officeDocument/2006/relationships" name="De_nghi_thanh_toan" sheetId="3" r:id="Rba560b50e17b46e1"/>
    <x:sheet xmlns:r="http://schemas.openxmlformats.org/officeDocument/2006/relationships" name="Tong_hop" sheetId="4" r:id="R233da357048945a5"/>
    <x:sheet xmlns:r="http://schemas.openxmlformats.org/officeDocument/2006/relationships" name="Dashboard" sheetId="5" r:id="R59feae7453f441ef"/>
    <x:sheet xmlns:r="http://schemas.openxmlformats.org/officeDocument/2006/relationships" name="Danh_muc" sheetId="6" r:id="Rb51368c6cd90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VND&quot;"/>
    <x:numFmt numFmtId="201" formatCode="0.0%"/>
    <x:numFmt numFmtId="202" formatCode="yyyy-mm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  <x:font>
      <x:b/>
      <x:sz val="12"/>
      <x:color rgb="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4">
    <x:dxf>
      <x:font>
        <x:color rgb="990000"/>
      </x:font>
      <x:fill>
        <x:patternFill patternType="solid">
          <x:bgColor rgb="F4CC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2f8d053c14081" /><Relationship Type="http://schemas.openxmlformats.org/officeDocument/2006/relationships/theme" Target="/xl/theme/theme1.xml" Id="R906281c0aeb04f3f" /><Relationship Type="http://schemas.openxmlformats.org/officeDocument/2006/relationships/sharedStrings" Target="/xl/sharedStrings.xml" Id="R8b489d5f6c3b492b" /><Relationship Type="http://schemas.openxmlformats.org/officeDocument/2006/relationships/worksheet" Target="/xl/worksheets/sheet1.xml" Id="R8a45364bac1c44b6" /><Relationship Type="http://schemas.openxmlformats.org/officeDocument/2006/relationships/worksheet" Target="/xl/worksheets/sheet2.xml" Id="Raf51ffebfa994407" /><Relationship Type="http://schemas.openxmlformats.org/officeDocument/2006/relationships/worksheet" Target="/xl/worksheets/sheet3.xml" Id="Rba560b50e17b46e1" /><Relationship Type="http://schemas.openxmlformats.org/officeDocument/2006/relationships/worksheet" Target="/xl/worksheets/sheet4.xml" Id="R233da357048945a5" /><Relationship Type="http://schemas.openxmlformats.org/officeDocument/2006/relationships/worksheet" Target="/xl/worksheets/sheet5.xml" Id="R59feae7453f441ef" /><Relationship Type="http://schemas.openxmlformats.org/officeDocument/2006/relationships/worksheet" Target="/xl/worksheets/sheet6.xml" Id="Rb51368c6cd904b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d2a60320084576" /><Relationship Type="http://schemas.openxmlformats.org/officeDocument/2006/relationships/chart" Target="/xl/drawings/charts/chart2.xml" Id="Ra8b5120ae18d48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chương trình theo dự toán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Dự toán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Kế hoạch và thực chi theo tháng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Kế hoạch</c:v>
          </c:tx>
          <c:cat>
            <c:strRef>
              <c:f>'Dashboard'!$E$11:$E$22</c:f>
              <c:strCache>
                <c:ptCount val="0"/>
              </c:strCache>
            </c:strRef>
          </c:cat>
          <c:val>
            <c:numRef>
              <c:f>'Dashboard'!$F$11:$F$22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Thực chi</c:v>
          </c:tx>
          <c:cat>
            <c:strRef>
              <c:f>'Dashboard'!$E$11:$E$22</c:f>
              <c:strCache>
                <c:ptCount val="0"/>
              </c:strCache>
            </c:strRef>
          </c:cat>
          <c:val>
            <c:numRef>
              <c:f>'Dashboard'!$G$11:$G$22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4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d2a60320084576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b5120ae18d48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Table" displayName="BudgetTable" ref="A1:N151" headerRowCount="1">
  <x:tableColumns count="14">
    <x:tableColumn id="1" name="Ma_du_toan"/>
    <x:tableColumn id="2" name="Don_vi"/>
    <x:tableColumn id="3" name="Nam_tai_chinh"/>
    <x:tableColumn id="4" name="Quy"/>
    <x:tableColumn id="5" name="Chuong_trinh"/>
    <x:tableColumn id="6" name="Hang_muc"/>
    <x:tableColumn id="7" name="Mo_ta"/>
    <x:tableColumn id="8" name="Nguoi_phu_trach"/>
    <x:tableColumn id="9" name="So_luong"/>
    <x:tableColumn id="10" name="Don_gia_VND"/>
    <x:tableColumn id="11" name="Thanh_tien_VND"/>
    <x:tableColumn id="12" name="Muc_do_uu_tien"/>
    <x:tableColumn id="13" name="Trang_thai"/>
    <x:tableColumn id="14" name="Ghi_chu"/>
  </x:tableColumns>
  <x:tableStyleInfo name="TableStyleMedium2" showRowStripes="1"/>
</x:table>
</file>

<file path=xl/tables/table2.xml><?xml version="1.0" encoding="utf-8"?>
<x:table xmlns:x="http://schemas.openxmlformats.org/spreadsheetml/2006/main" id="2" name="MonthlyPlanTable" displayName="MonthlyPlanTable" ref="A1:I121" headerRowCount="1">
  <x:tableColumns count="9">
    <x:tableColumn id="1" name="Thang"/>
    <x:tableColumn id="2" name="Quy"/>
    <x:tableColumn id="3" name="Chuong_trinh"/>
    <x:tableColumn id="4" name="Ngan_sach_ke_hoach_VND"/>
    <x:tableColumn id="5" name="Thuc_chi_VND"/>
    <x:tableColumn id="6" name="Chen_lech_VND"/>
    <x:tableColumn id="7" name="Ty_le_su_dung"/>
    <x:tableColumn id="8" name="Canh_bao"/>
    <x:tableColumn id="9" name="Ghi_chu"/>
  </x:tableColumns>
  <x:tableStyleInfo name="TableStyleMedium2" showRowStripes="1"/>
</x:table>
</file>

<file path=xl/tables/table3.xml><?xml version="1.0" encoding="utf-8"?>
<x:table xmlns:x="http://schemas.openxmlformats.org/spreadsheetml/2006/main" id="3" name="PaymentRequestTable" displayName="PaymentRequestTable" ref="A1:O251" headerRowCount="1">
  <x:tableColumns count="15">
    <x:tableColumn id="1" name="Ma_de_nghi"/>
    <x:tableColumn id="2" name="Ngay_de_nghi"/>
    <x:tableColumn id="3" name="Chuong_trinh"/>
    <x:tableColumn id="4" name="Hang_muc"/>
    <x:tableColumn id="5" name="Nha_cung_cap"/>
    <x:tableColumn id="6" name="Noi_dung_thanh_toan"/>
    <x:tableColumn id="7" name="Gia_tri_truoc_VAT_VND"/>
    <x:tableColumn id="8" name="VAT_10_VND"/>
    <x:tableColumn id="9" name="Tong_thanh_toan_VND"/>
    <x:tableColumn id="10" name="Trang_thai"/>
    <x:tableColumn id="11" name="Nguoi_de_nghi"/>
    <x:tableColumn id="12" name="Ma_du_toan_lien_quan"/>
    <x:tableColumn id="13" name="Can_hop_dong"/>
    <x:tableColumn id="14" name="Can_hoa_don"/>
    <x:tableColumn id="15" name="Ghi_chu"/>
  </x:tableColumns>
  <x:tableStyleInfo name="TableStyleMedium2" showRowStripes="1"/>
</x:table>
</file>

<file path=xl/tables/table4.xml><?xml version="1.0" encoding="utf-8"?>
<x:table xmlns:x="http://schemas.openxmlformats.org/spreadsheetml/2006/main" id="4" name="ProgramSummaryTable" displayName="ProgramSummaryTable" ref="A1:F16" headerRowCount="1">
  <x:tableColumns count="6">
    <x:tableColumn id="1" name="Chuong_trinh"/>
    <x:tableColumn id="2" name="Tong_du_toan_VND"/>
    <x:tableColumn id="3" name="Tong_ke_hoach_VND"/>
    <x:tableColumn id="4" name="Tong_thuc_chi_VND"/>
    <x:tableColumn id="5" name="Tong_de_nghi_thanh_toan_VND"/>
    <x:tableColumn id="6" name="Ty_le_thuc_chi_vs_ke_hoach"/>
  </x:tableColumns>
  <x:tableStyleInfo name="TableStyleMedium2" showRowStripes="1"/>
</x:table>
</file>

<file path=xl/tables/table5.xml><?xml version="1.0" encoding="utf-8"?>
<x:table xmlns:x="http://schemas.openxmlformats.org/spreadsheetml/2006/main" id="5" name="MonthlySummaryTable" displayName="MonthlySummaryTable" ref="A20:E32" headerRowCount="1">
  <x:tableColumns count="5">
    <x:tableColumn id="1" name="Thang"/>
    <x:tableColumn id="2" name="Ke_hoach_VND"/>
    <x:tableColumn id="3" name="Thuc_chi_VND"/>
    <x:tableColumn id="4" name="Thanh_toan_VND"/>
    <x:tableColumn id="5" name="Ty_le_su_du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05211e8fe543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2f57e60e1440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9564ae1e3a45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e5117ea1bc4848" /><Relationship Type="http://schemas.openxmlformats.org/officeDocument/2006/relationships/table" Target="/xl/tables/table5.xml" Id="Rfe302698433649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ba3acdaa077492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8" hidden="0" customWidth="1"/>
    <x:col min="5" max="5" width="24" hidden="0" customWidth="1"/>
    <x:col min="6" max="6" width="22" hidden="0" customWidth="1"/>
    <x:col min="7" max="7" width="42" hidden="0" customWidth="1"/>
    <x:col min="8" max="8" width="22" hidden="0" customWidth="1"/>
    <x:col min="9" max="9" width="10" hidden="0" customWidth="1"/>
    <x:col min="10" max="10" width="16" hidden="0" customWidth="1"/>
    <x:col min="11" max="11" width="18" hidden="0" customWidth="1"/>
    <x:col min="12" max="12" width="14" hidden="0" customWidth="1"/>
    <x:col min="13" max="13" width="18" hidden="0" customWidth="1"/>
    <x:col min="14" max="14" width="34" hidden="0" customWidth="1"/>
  </x:cols>
  <x:sheetData>
    <x:row r="1">
      <x:c r="A1" s="10" t="str">
        <x:v>Ma_du_toan</x:v>
      </x:c>
      <x:c r="B1" s="10" t="str">
        <x:v>Don_vi</x:v>
      </x:c>
      <x:c r="C1" s="10" t="str">
        <x:v>Nam_tai_chinh</x:v>
      </x:c>
      <x:c r="D1" s="10" t="str">
        <x:v>Quy</x:v>
      </x:c>
      <x:c r="E1" s="10" t="str">
        <x:v>Chuong_trinh</x:v>
      </x:c>
      <x:c r="F1" s="10" t="str">
        <x:v>Hang_muc</x:v>
      </x:c>
      <x:c r="G1" s="10" t="str">
        <x:v>Mo_ta</x:v>
      </x:c>
      <x:c r="H1" s="10" t="str">
        <x:v>Nguoi_phu_trach</x:v>
      </x:c>
      <x:c r="I1" s="10" t="str">
        <x:v>So_luong</x:v>
      </x:c>
      <x:c r="J1" s="20" t="str">
        <x:v>Don_gia_VND</x:v>
      </x:c>
      <x:c r="K1" s="20" t="str">
        <x:v>Thanh_tien_VND</x:v>
      </x:c>
      <x:c r="L1" s="10" t="str">
        <x:v>Muc_do_uu_tien</x:v>
      </x:c>
      <x:c r="M1" s="10" t="str">
        <x:v>Trang_thai</x:v>
      </x:c>
      <x:c r="N1" s="10" t="str">
        <x:v>Ghi_chu</x:v>
      </x:c>
    </x:row>
    <x:row r="2">
      <x:c r="A2" t="str">
        <x:v>DT-CAID-2026-001</x:v>
      </x:c>
      <x:c r="B2" t="str">
        <x:v>Phòng CAID</x:v>
      </x:c>
      <x:c r="C2" t="n">
        <x:v>2026</x:v>
      </x:c>
      <x:c r="D2" t="str">
        <x:v>Q1</x:v>
      </x:c>
      <x:c r="E2" t="str">
        <x:v>Mentorship Program</x:v>
      </x:c>
      <x:c r="F2" t="str">
        <x:v>Tiếp khách doanh nghiệp</x:v>
      </x:c>
      <x:c r="G2" t="str">
        <x:v>Tiếp khách doanh nghiệp phục vụ chương trình Mentorship Program năm 2026</x:v>
      </x:c>
      <x:c r="H2" t="str">
        <x:v>CAID - Development</x:v>
      </x:c>
      <x:c r="I2" t="n">
        <x:v>1</x:v>
      </x:c>
      <x:c r="J2" t="n">
        <x:v>250000000</x:v>
      </x:c>
      <x:c r="K2" t="n">
        <x:f>I2*J2</x:f>
        <x:v>250000000</x:v>
      </x:c>
      <x:c r="L2" t="str">
        <x:v>Cao</x:v>
      </x:c>
      <x:c r="M2" t="str">
        <x:v>Nháp</x:v>
      </x:c>
      <x:c r="N2" t="str">
        <x:v>Dữ liệu mẫu phục vụ demo quản trị ngân sách</x:v>
      </x:c>
    </x:row>
    <x:row r="3">
      <x:c r="A3" t="str">
        <x:v>DT-CAID-2026-002</x:v>
      </x:c>
      <x:c r="B3" t="str">
        <x:v>Phòng CAID</x:v>
      </x:c>
      <x:c r="C3" t="n">
        <x:v>2026</x:v>
      </x:c>
      <x:c r="D3" t="str">
        <x:v>Q2</x:v>
      </x:c>
      <x:c r="E3" t="str">
        <x:v>Career Fair</x:v>
      </x:c>
      <x:c r="F3" t="str">
        <x:v>Hội thảo doanh nghiệp</x:v>
      </x:c>
      <x:c r="G3" t="str">
        <x:v>Hội thảo doanh nghiệp phục vụ chương trình Career Fair năm 2026</x:v>
      </x:c>
      <x:c r="H3" t="str">
        <x:v>CAID - Partnership</x:v>
      </x:c>
      <x:c r="I3" t="n">
        <x:v>200</x:v>
      </x:c>
      <x:c r="J3" t="n">
        <x:v>75000000</x:v>
      </x:c>
      <x:c r="K3" t="n">
        <x:f>I3*J3</x:f>
        <x:v>15000000000</x:v>
      </x:c>
      <x:c r="L3" t="str">
        <x:v>Trung bình</x:v>
      </x:c>
      <x:c r="M3" t="str">
        <x:v>Nháp</x:v>
      </x:c>
      <x:c r="N3" t="str">
        <x:v>Dữ liệu mẫu phục vụ demo quản trị ngân sách</x:v>
      </x:c>
    </x:row>
    <x:row r="4">
      <x:c r="A4" t="str">
        <x:v>DT-CAID-2026-003</x:v>
      </x:c>
      <x:c r="B4" t="str">
        <x:v>Phòng CAID</x:v>
      </x:c>
      <x:c r="C4" t="n">
        <x:v>2026</x:v>
      </x:c>
      <x:c r="D4" t="str">
        <x:v>Q3</x:v>
      </x:c>
      <x:c r="E4" t="str">
        <x:v>Career Fair</x:v>
      </x:c>
      <x:c r="F4" t="str">
        <x:v>Thuê địa điểm</x:v>
      </x:c>
      <x:c r="G4" t="str">
        <x:v>Thuê địa điểm phục vụ chương trình Career Fair năm 2026</x:v>
      </x:c>
      <x:c r="H4" t="str">
        <x:v>CAID - Partnership</x:v>
      </x:c>
      <x:c r="I4" t="n">
        <x:v>2</x:v>
      </x:c>
      <x:c r="J4" t="n">
        <x:v>75000000</x:v>
      </x:c>
      <x:c r="K4" t="n">
        <x:f>I4*J4</x:f>
        <x:v>150000000</x:v>
      </x:c>
      <x:c r="L4" t="str">
        <x:v>Trung bình</x:v>
      </x:c>
      <x:c r="M4" t="str">
        <x:v>Đã duyệt</x:v>
      </x:c>
      <x:c r="N4" t="str">
        <x:v>Dữ liệu mẫu phục vụ demo quản trị ngân sách</x:v>
      </x:c>
    </x:row>
    <x:row r="5">
      <x:c r="A5" t="str">
        <x:v>DT-CAID-2026-004</x:v>
      </x:c>
      <x:c r="B5" t="str">
        <x:v>Phòng CAID</x:v>
      </x:c>
      <x:c r="C5" t="n">
        <x:v>2026</x:v>
      </x:c>
      <x:c r="D5" t="str">
        <x:v>Q4</x:v>
      </x:c>
      <x:c r="E5" t="str">
        <x:v>Corporate Training</x:v>
      </x:c>
      <x:c r="F5" t="str">
        <x:v>Phần mềm CRM</x:v>
      </x:c>
      <x:c r="G5" t="str">
        <x:v>Phần mềm CRM phục vụ chương trình Corporate Training năm 2026</x:v>
      </x:c>
      <x:c r="H5" t="str">
        <x:v>CAID - Development</x:v>
      </x:c>
      <x:c r="I5" t="n">
        <x:v>1</x:v>
      </x:c>
      <x:c r="J5" t="n">
        <x:v>180000000</x:v>
      </x:c>
      <x:c r="K5" t="n">
        <x:f>I5*J5</x:f>
        <x:v>180000000</x:v>
      </x:c>
      <x:c r="L5" t="str">
        <x:v>Trung bình</x:v>
      </x:c>
      <x:c r="M5" t="str">
        <x:v>Nháp</x:v>
      </x:c>
      <x:c r="N5" t="str">
        <x:v>Dữ liệu mẫu phục vụ demo quản trị ngân sách</x:v>
      </x:c>
    </x:row>
    <x:row r="6">
      <x:c r="A6" t="str">
        <x:v>DT-CAID-2026-005</x:v>
      </x:c>
      <x:c r="B6" t="str">
        <x:v>Phòng CAID</x:v>
      </x:c>
      <x:c r="C6" t="n">
        <x:v>2026</x:v>
      </x:c>
      <x:c r="D6" t="str">
        <x:v>Q1</x:v>
      </x:c>
      <x:c r="E6" t="str">
        <x:v>Development Event</x:v>
      </x:c>
      <x:c r="F6" t="str">
        <x:v>Truyền thông &amp; thiết kế</x:v>
      </x:c>
      <x:c r="G6" t="str">
        <x:v>Truyền thông &amp; thiết kế phục vụ chương trình Development Event năm 2026</x:v>
      </x:c>
      <x:c r="H6" t="str">
        <x:v>CAID - Development</x:v>
      </x:c>
      <x:c r="I6" t="n">
        <x:v>200</x:v>
      </x:c>
      <x:c r="J6" t="n">
        <x:v>30000000</x:v>
      </x:c>
      <x:c r="K6" t="n">
        <x:f>I6*J6</x:f>
        <x:v>6000000000</x:v>
      </x:c>
      <x:c r="L6" t="str">
        <x:v>Cao</x:v>
      </x:c>
      <x:c r="M6" t="str">
        <x:v>Đã gửi duyệt</x:v>
      </x:c>
      <x:c r="N6" t="str">
        <x:v>Dữ liệu mẫu phục vụ demo quản trị ngân sách</x:v>
      </x:c>
    </x:row>
    <x:row r="7">
      <x:c r="A7" t="str">
        <x:v>DT-CAID-2026-006</x:v>
      </x:c>
      <x:c r="B7" t="str">
        <x:v>Phòng CAID</x:v>
      </x:c>
      <x:c r="C7" t="n">
        <x:v>2026</x:v>
      </x:c>
      <x:c r="D7" t="str">
        <x:v>Q2</x:v>
      </x:c>
      <x:c r="E7" t="str">
        <x:v>Development Event</x:v>
      </x:c>
      <x:c r="F7" t="str">
        <x:v>Diễn giả/chuyên gia</x:v>
      </x:c>
      <x:c r="G7" t="str">
        <x:v>Diễn giả/chuyên gia phục vụ chương trình Development Event năm 2026</x:v>
      </x:c>
      <x:c r="H7" t="str">
        <x:v>CAID - Alumni Relations</x:v>
      </x:c>
      <x:c r="I7" t="n">
        <x:v>1</x:v>
      </x:c>
      <x:c r="J7" t="n">
        <x:v>5000000</x:v>
      </x:c>
      <x:c r="K7" t="n">
        <x:f>I7*J7</x:f>
        <x:v>5000000</x:v>
      </x:c>
      <x:c r="L7" t="str">
        <x:v>Cao</x:v>
      </x:c>
      <x:c r="M7" t="str">
        <x:v>Đã thanh toán</x:v>
      </x:c>
      <x:c r="N7" t="str">
        <x:v>Dữ liệu mẫu phục vụ demo quản trị ngân sách</x:v>
      </x:c>
    </x:row>
    <x:row r="8">
      <x:c r="A8" t="str">
        <x:v>DT-CAID-2026-007</x:v>
      </x:c>
      <x:c r="B8" t="str">
        <x:v>Phòng CAID</x:v>
      </x:c>
      <x:c r="C8" t="n">
        <x:v>2026</x:v>
      </x:c>
      <x:c r="D8" t="str">
        <x:v>Q3</x:v>
      </x:c>
      <x:c r="E8" t="str">
        <x:v>Industry Advisory Board</x:v>
      </x:c>
      <x:c r="F8" t="str">
        <x:v>Quà tặng đối tác</x:v>
      </x:c>
      <x:c r="G8" t="str">
        <x:v>Quà tặng đối tác phục vụ chương trình Industry Advisory Board năm 2026</x:v>
      </x:c>
      <x:c r="H8" t="str">
        <x:v>CAID - Alumni Relations</x:v>
      </x:c>
      <x:c r="I8" t="n">
        <x:v>1</x:v>
      </x:c>
      <x:c r="J8" t="n">
        <x:v>250000000</x:v>
      </x:c>
      <x:c r="K8" t="n">
        <x:f>I8*J8</x:f>
        <x:v>250000000</x:v>
      </x:c>
      <x:c r="L8" t="str">
        <x:v>Trung bình</x:v>
      </x:c>
      <x:c r="M8" t="str">
        <x:v>Đã thanh toán</x:v>
      </x:c>
      <x:c r="N8" t="str">
        <x:v>Dữ liệu mẫu phục vụ demo quản trị ngân sách</x:v>
      </x:c>
    </x:row>
    <x:row r="9">
      <x:c r="A9" t="str">
        <x:v>DT-CAID-2026-008</x:v>
      </x:c>
      <x:c r="B9" t="str">
        <x:v>Phòng CAID</x:v>
      </x:c>
      <x:c r="C9" t="n">
        <x:v>2026</x:v>
      </x:c>
      <x:c r="D9" t="str">
        <x:v>Q4</x:v>
      </x:c>
      <x:c r="E9" t="str">
        <x:v>Scholarship Donor Program</x:v>
      </x:c>
      <x:c r="F9" t="str">
        <x:v>Tiếp khách doanh nghiệp</x:v>
      </x:c>
      <x:c r="G9" t="str">
        <x:v>Tiếp khách doanh nghiệp phục vụ chương trình Scholarship Donor Program năm 2026</x:v>
      </x:c>
      <x:c r="H9" t="str">
        <x:v>CAID - Career Services</x:v>
      </x:c>
      <x:c r="I9" t="n">
        <x:v>3</x:v>
      </x:c>
      <x:c r="J9" t="n">
        <x:v>300000000</x:v>
      </x:c>
      <x:c r="K9" t="n">
        <x:f>I9*J9</x:f>
        <x:v>900000000</x:v>
      </x:c>
      <x:c r="L9" t="str">
        <x:v>Trung bình</x:v>
      </x:c>
      <x:c r="M9" t="str">
        <x:v>Nháp</x:v>
      </x:c>
      <x:c r="N9" t="str">
        <x:v>Dữ liệu mẫu phục vụ demo quản trị ngân sách</x:v>
      </x:c>
    </x:row>
    <x:row r="10">
      <x:c r="A10" t="str">
        <x:v>DT-CAID-2026-009</x:v>
      </x:c>
      <x:c r="B10" t="str">
        <x:v>Phòng CAID</x:v>
      </x:c>
      <x:c r="C10" t="n">
        <x:v>2026</x:v>
      </x:c>
      <x:c r="D10" t="str">
        <x:v>Q1</x:v>
      </x:c>
      <x:c r="E10" t="str">
        <x:v>Employer Branding</x:v>
      </x:c>
      <x:c r="F10" t="str">
        <x:v>Quà tặng đối tác</x:v>
      </x:c>
      <x:c r="G10" t="str">
        <x:v>Quà tặng đối tác phục vụ chương trình Employer Branding năm 2026</x:v>
      </x:c>
      <x:c r="H10" t="str">
        <x:v>CAID - Partnership</x:v>
      </x:c>
      <x:c r="I10" t="n">
        <x:v>1</x:v>
      </x:c>
      <x:c r="J10" t="n">
        <x:v>12000000</x:v>
      </x:c>
      <x:c r="K10" t="n">
        <x:f>I10*J10</x:f>
        <x:v>12000000</x:v>
      </x:c>
      <x:c r="L10" t="str">
        <x:v>Cao</x:v>
      </x:c>
      <x:c r="M10" t="str">
        <x:v>Đã duyệt</x:v>
      </x:c>
      <x:c r="N10" t="str">
        <x:v>Dữ liệu mẫu phục vụ demo quản trị ngân sách</x:v>
      </x:c>
    </x:row>
    <x:row r="11">
      <x:c r="A11" t="str">
        <x:v>DT-CAID-2026-010</x:v>
      </x:c>
      <x:c r="B11" t="str">
        <x:v>Phòng CAID</x:v>
      </x:c>
      <x:c r="C11" t="n">
        <x:v>2026</x:v>
      </x:c>
      <x:c r="D11" t="str">
        <x:v>Q2</x:v>
      </x:c>
      <x:c r="E11" t="str">
        <x:v>Donor Stewardship</x:v>
      </x:c>
      <x:c r="F11" t="str">
        <x:v>Diễn giả/chuyên gia</x:v>
      </x:c>
      <x:c r="G11" t="str">
        <x:v>Diễn giả/chuyên gia phục vụ chương trình Donor Stewardship năm 2026</x:v>
      </x:c>
      <x:c r="H11" t="str">
        <x:v>CAID - Development</x:v>
      </x:c>
      <x:c r="I11" t="n">
        <x:v>1</x:v>
      </x:c>
      <x:c r="J11" t="n">
        <x:v>20000000</x:v>
      </x:c>
      <x:c r="K11" t="n">
        <x:f>I11*J11</x:f>
        <x:v>20000000</x:v>
      </x:c>
      <x:c r="L11" t="str">
        <x:v>Cao</x:v>
      </x:c>
      <x:c r="M11" t="str">
        <x:v>Đã gửi duyệt</x:v>
      </x:c>
      <x:c r="N11" t="str">
        <x:v>Dữ liệu mẫu phục vụ demo quản trị ngân sách</x:v>
      </x:c>
    </x:row>
    <x:row r="12">
      <x:c r="A12" t="str">
        <x:v>DT-CAID-2026-011</x:v>
      </x:c>
      <x:c r="B12" t="str">
        <x:v>Phòng CAID</x:v>
      </x:c>
      <x:c r="C12" t="n">
        <x:v>2026</x:v>
      </x:c>
      <x:c r="D12" t="str">
        <x:v>Q3</x:v>
      </x:c>
      <x:c r="E12" t="str">
        <x:v>Innovation Challenge</x:v>
      </x:c>
      <x:c r="F12" t="str">
        <x:v>Hội thảo doanh nghiệp</x:v>
      </x:c>
      <x:c r="G12" t="str">
        <x:v>Hội thảo doanh nghiệp phục vụ chương trình Innovation Challenge năm 2026</x:v>
      </x:c>
      <x:c r="H12" t="str">
        <x:v>CAID - Career Services</x:v>
      </x:c>
      <x:c r="I12" t="n">
        <x:v>100</x:v>
      </x:c>
      <x:c r="J12" t="n">
        <x:v>5000000</x:v>
      </x:c>
      <x:c r="K12" t="n">
        <x:f>I12*J12</x:f>
        <x:v>500000000</x:v>
      </x:c>
      <x:c r="L12" t="str">
        <x:v>Trung bình</x:v>
      </x:c>
      <x:c r="M12" t="str">
        <x:v>Đã gửi duyệt</x:v>
      </x:c>
      <x:c r="N12" t="str">
        <x:v>Dữ liệu mẫu phục vụ demo quản trị ngân sách</x:v>
      </x:c>
    </x:row>
    <x:row r="13">
      <x:c r="A13" t="str">
        <x:v>DT-CAID-2026-012</x:v>
      </x:c>
      <x:c r="B13" t="str">
        <x:v>Phòng CAID</x:v>
      </x:c>
      <x:c r="C13" t="n">
        <x:v>2026</x:v>
      </x:c>
      <x:c r="D13" t="str">
        <x:v>Q4</x:v>
      </x:c>
      <x:c r="E13" t="str">
        <x:v>MoU Signing</x:v>
      </x:c>
      <x:c r="F13" t="str">
        <x:v>Di chuyển công tác</x:v>
      </x:c>
      <x:c r="G13" t="str">
        <x:v>Di chuyển công tác phục vụ chương trình MoU Signing năm 2026</x:v>
      </x:c>
      <x:c r="H13" t="str">
        <x:v>CAID - Career Services</x:v>
      </x:c>
      <x:c r="I13" t="n">
        <x:v>3</x:v>
      </x:c>
      <x:c r="J13" t="n">
        <x:v>150000000</x:v>
      </x:c>
      <x:c r="K13" t="n">
        <x:f>I13*J13</x:f>
        <x:v>450000000</x:v>
      </x:c>
      <x:c r="L13" t="str">
        <x:v>Trung bình</x:v>
      </x:c>
      <x:c r="M13" t="str">
        <x:v>Đã thanh toán</x:v>
      </x:c>
      <x:c r="N13" t="str">
        <x:v>Dữ liệu mẫu phục vụ demo quản trị ngân sách</x:v>
      </x:c>
    </x:row>
    <x:row r="14">
      <x:c r="A14" t="str">
        <x:v>DT-CAID-2026-013</x:v>
      </x:c>
      <x:c r="B14" t="str">
        <x:v>Phòng CAID</x:v>
      </x:c>
      <x:c r="C14" t="n">
        <x:v>2026</x:v>
      </x:c>
      <x:c r="D14" t="str">
        <x:v>Q1</x:v>
      </x:c>
      <x:c r="E14" t="str">
        <x:v>Development Event</x:v>
      </x:c>
      <x:c r="F14" t="str">
        <x:v>Tổ chức sự kiện</x:v>
      </x:c>
      <x:c r="G14" t="str">
        <x:v>Tổ chức sự kiện phục vụ chương trình Development Event năm 2026</x:v>
      </x:c>
      <x:c r="H14" t="str">
        <x:v>CAID - Development</x:v>
      </x:c>
      <x:c r="I14" t="n">
        <x:v>2</x:v>
      </x:c>
      <x:c r="J14" t="n">
        <x:v>3000000</x:v>
      </x:c>
      <x:c r="K14" t="n">
        <x:f>I14*J14</x:f>
        <x:v>6000000</x:v>
      </x:c>
      <x:c r="L14" t="str">
        <x:v>Cao</x:v>
      </x:c>
      <x:c r="M14" t="str">
        <x:v>Nháp</x:v>
      </x:c>
      <x:c r="N14" t="str">
        <x:v>Dữ liệu mẫu phục vụ demo quản trị ngân sách</x:v>
      </x:c>
    </x:row>
    <x:row r="15">
      <x:c r="A15" t="str">
        <x:v>DT-CAID-2026-014</x:v>
      </x:c>
      <x:c r="B15" t="str">
        <x:v>Phòng CAID</x:v>
      </x:c>
      <x:c r="C15" t="n">
        <x:v>2026</x:v>
      </x:c>
      <x:c r="D15" t="str">
        <x:v>Q2</x:v>
      </x:c>
      <x:c r="E15" t="str">
        <x:v>Innovation Challenge</x:v>
      </x:c>
      <x:c r="F15" t="str">
        <x:v>Tài trợ sinh viên</x:v>
      </x:c>
      <x:c r="G15" t="str">
        <x:v>Tài trợ sinh viên phục vụ chương trình Innovation Challenge năm 2026</x:v>
      </x:c>
      <x:c r="H15" t="str">
        <x:v>CAID - Career Services</x:v>
      </x:c>
      <x:c r="I15" t="n">
        <x:v>200</x:v>
      </x:c>
      <x:c r="J15" t="n">
        <x:v>20000000</x:v>
      </x:c>
      <x:c r="K15" t="n">
        <x:f>I15*J15</x:f>
        <x:v>4000000000</x:v>
      </x:c>
      <x:c r="L15" t="str">
        <x:v>Trung bình</x:v>
      </x:c>
      <x:c r="M15" t="str">
        <x:v>Đã gửi duyệt</x:v>
      </x:c>
      <x:c r="N15" t="str">
        <x:v>Dữ liệu mẫu phục vụ demo quản trị ngân sách</x:v>
      </x:c>
    </x:row>
    <x:row r="16">
      <x:c r="A16" t="str">
        <x:v>DT-CAID-2026-015</x:v>
      </x:c>
      <x:c r="B16" t="str">
        <x:v>Phòng CAID</x:v>
      </x:c>
      <x:c r="C16" t="n">
        <x:v>2026</x:v>
      </x:c>
      <x:c r="D16" t="str">
        <x:v>Q3</x:v>
      </x:c>
      <x:c r="E16" t="str">
        <x:v>Innovation Challenge</x:v>
      </x:c>
      <x:c r="F16" t="str">
        <x:v>Hội thảo doanh nghiệp</x:v>
      </x:c>
      <x:c r="G16" t="str">
        <x:v>Hội thảo doanh nghiệp phục vụ chương trình Innovation Challenge năm 2026</x:v>
      </x:c>
      <x:c r="H16" t="str">
        <x:v>CAID - Development</x:v>
      </x:c>
      <x:c r="I16" t="n">
        <x:v>10</x:v>
      </x:c>
      <x:c r="J16" t="n">
        <x:v>8000000</x:v>
      </x:c>
      <x:c r="K16" t="n">
        <x:f>I16*J16</x:f>
        <x:v>80000000</x:v>
      </x:c>
      <x:c r="L16" t="str">
        <x:v>Cao</x:v>
      </x:c>
      <x:c r="M16" t="str">
        <x:v>Đã duyệt</x:v>
      </x:c>
      <x:c r="N16" t="str">
        <x:v>Dữ liệu mẫu phục vụ demo quản trị ngân sách</x:v>
      </x:c>
    </x:row>
    <x:row r="17">
      <x:c r="A17" t="str">
        <x:v>DT-CAID-2026-016</x:v>
      </x:c>
      <x:c r="B17" t="str">
        <x:v>Phòng CAID</x:v>
      </x:c>
      <x:c r="C17" t="n">
        <x:v>2026</x:v>
      </x:c>
      <x:c r="D17" t="str">
        <x:v>Q4</x:v>
      </x:c>
      <x:c r="E17" t="str">
        <x:v>Company Visit</x:v>
      </x:c>
      <x:c r="F17" t="str">
        <x:v>Quà tặng đối tác</x:v>
      </x:c>
      <x:c r="G17" t="str">
        <x:v>Quà tặng đối tác phục vụ chương trình Company Visit năm 2026</x:v>
      </x:c>
      <x:c r="H17" t="str">
        <x:v>CAID - Alumni Relations</x:v>
      </x:c>
      <x:c r="I17" t="n">
        <x:v>200</x:v>
      </x:c>
      <x:c r="J17" t="n">
        <x:v>100000000</x:v>
      </x:c>
      <x:c r="K17" t="n">
        <x:f>I17*J17</x:f>
        <x:v>20000000000</x:v>
      </x:c>
      <x:c r="L17" t="str">
        <x:v>Thấp</x:v>
      </x:c>
      <x:c r="M17" t="str">
        <x:v>Đã gửi duyệt</x:v>
      </x:c>
      <x:c r="N17" t="str">
        <x:v>Dữ liệu mẫu phục vụ demo quản trị ngân sách</x:v>
      </x:c>
    </x:row>
    <x:row r="18">
      <x:c r="A18" t="str">
        <x:v>DT-CAID-2026-017</x:v>
      </x:c>
      <x:c r="B18" t="str">
        <x:v>Phòng CAID</x:v>
      </x:c>
      <x:c r="C18" t="n">
        <x:v>2026</x:v>
      </x:c>
      <x:c r="D18" t="str">
        <x:v>Q1</x:v>
      </x:c>
      <x:c r="E18" t="str">
        <x:v>Employer Branding</x:v>
      </x:c>
      <x:c r="F18" t="str">
        <x:v>Truyền thông &amp; thiết kế</x:v>
      </x:c>
      <x:c r="G18" t="str">
        <x:v>Truyền thông &amp; thiết kế phục vụ chương trình Employer Branding năm 2026</x:v>
      </x:c>
      <x:c r="H18" t="str">
        <x:v>CAID - Partnership</x:v>
      </x:c>
      <x:c r="I18" t="n">
        <x:v>20</x:v>
      </x:c>
      <x:c r="J18" t="n">
        <x:v>50000000</x:v>
      </x:c>
      <x:c r="K18" t="n">
        <x:f>I18*J18</x:f>
        <x:v>1000000000</x:v>
      </x:c>
      <x:c r="L18" t="str">
        <x:v>Trung bình</x:v>
      </x:c>
      <x:c r="M18" t="str">
        <x:v>Đã thanh toán</x:v>
      </x:c>
      <x:c r="N18" t="str">
        <x:v>Dữ liệu mẫu phục vụ demo quản trị ngân sách</x:v>
      </x:c>
    </x:row>
    <x:row r="19">
      <x:c r="A19" t="str">
        <x:v>DT-CAID-2026-018</x:v>
      </x:c>
      <x:c r="B19" t="str">
        <x:v>Phòng CAID</x:v>
      </x:c>
      <x:c r="C19" t="n">
        <x:v>2026</x:v>
      </x:c>
      <x:c r="D19" t="str">
        <x:v>Q2</x:v>
      </x:c>
      <x:c r="E19" t="str">
        <x:v>Internship Program</x:v>
      </x:c>
      <x:c r="F19" t="str">
        <x:v>Hội thảo doanh nghiệp</x:v>
      </x:c>
      <x:c r="G19" t="str">
        <x:v>Hội thảo doanh nghiệp phục vụ chương trình Internship Program năm 2026</x:v>
      </x:c>
      <x:c r="H19" t="str">
        <x:v>CAID - Alumni Relations</x:v>
      </x:c>
      <x:c r="I19" t="n">
        <x:v>1</x:v>
      </x:c>
      <x:c r="J19" t="n">
        <x:v>150000000</x:v>
      </x:c>
      <x:c r="K19" t="n">
        <x:f>I19*J19</x:f>
        <x:v>150000000</x:v>
      </x:c>
      <x:c r="L19" t="str">
        <x:v>Trung bình</x:v>
      </x:c>
      <x:c r="M19" t="str">
        <x:v>Đã gửi duyệt</x:v>
      </x:c>
      <x:c r="N19" t="str">
        <x:v>Dữ liệu mẫu phục vụ demo quản trị ngân sách</x:v>
      </x:c>
    </x:row>
    <x:row r="20">
      <x:c r="A20" t="str">
        <x:v>DT-CAID-2026-019</x:v>
      </x:c>
      <x:c r="B20" t="str">
        <x:v>Phòng CAID</x:v>
      </x:c>
      <x:c r="C20" t="n">
        <x:v>2026</x:v>
      </x:c>
      <x:c r="D20" t="str">
        <x:v>Q3</x:v>
      </x:c>
      <x:c r="E20" t="str">
        <x:v>Industry Advisory Board</x:v>
      </x:c>
      <x:c r="F20" t="str">
        <x:v>In ấn tài liệu</x:v>
      </x:c>
      <x:c r="G20" t="str">
        <x:v>In ấn tài liệu phục vụ chương trình Industry Advisory Board năm 2026</x:v>
      </x:c>
      <x:c r="H20" t="str">
        <x:v>CAID - Partnership</x:v>
      </x:c>
      <x:c r="I20" t="n">
        <x:v>20</x:v>
      </x:c>
      <x:c r="J20" t="n">
        <x:v>15000000</x:v>
      </x:c>
      <x:c r="K20" t="n">
        <x:f>I20*J20</x:f>
        <x:v>300000000</x:v>
      </x:c>
      <x:c r="L20" t="str">
        <x:v>Trung bình</x:v>
      </x:c>
      <x:c r="M20" t="str">
        <x:v>Nháp</x:v>
      </x:c>
      <x:c r="N20" t="str">
        <x:v>Dữ liệu mẫu phục vụ demo quản trị ngân sách</x:v>
      </x:c>
    </x:row>
    <x:row r="21">
      <x:c r="A21" t="str">
        <x:v>DT-CAID-2026-020</x:v>
      </x:c>
      <x:c r="B21" t="str">
        <x:v>Phòng CAID</x:v>
      </x:c>
      <x:c r="C21" t="n">
        <x:v>2026</x:v>
      </x:c>
      <x:c r="D21" t="str">
        <x:v>Q4</x:v>
      </x:c>
      <x:c r="E21" t="str">
        <x:v>Innovation Challenge</x:v>
      </x:c>
      <x:c r="F21" t="str">
        <x:v>Phần mềm CRM</x:v>
      </x:c>
      <x:c r="G21" t="str">
        <x:v>Phần mềm CRM phục vụ chương trình Innovation Challenge năm 2026</x:v>
      </x:c>
      <x:c r="H21" t="str">
        <x:v>CAID - Partnership</x:v>
      </x:c>
      <x:c r="I21" t="n">
        <x:v>1</x:v>
      </x:c>
      <x:c r="J21" t="n">
        <x:v>180000000</x:v>
      </x:c>
      <x:c r="K21" t="n">
        <x:f>I21*J21</x:f>
        <x:v>180000000</x:v>
      </x:c>
      <x:c r="L21" t="str">
        <x:v>Cao</x:v>
      </x:c>
      <x:c r="M21" t="str">
        <x:v>Đã gửi duyệt</x:v>
      </x:c>
      <x:c r="N21" t="str">
        <x:v>Dữ liệu mẫu phục vụ demo quản trị ngân sách</x:v>
      </x:c>
    </x:row>
    <x:row r="22">
      <x:c r="A22" t="str">
        <x:v>DT-CAID-2026-021</x:v>
      </x:c>
      <x:c r="B22" t="str">
        <x:v>Phòng CAID</x:v>
      </x:c>
      <x:c r="C22" t="n">
        <x:v>2026</x:v>
      </x:c>
      <x:c r="D22" t="str">
        <x:v>Q1</x:v>
      </x:c>
      <x:c r="E22" t="str">
        <x:v>Corporate Partnership</x:v>
      </x:c>
      <x:c r="F22" t="str">
        <x:v>Chăm sóc nhà tài trợ</x:v>
      </x:c>
      <x:c r="G22" t="str">
        <x:v>Chăm sóc nhà tài trợ phục vụ chương trình Corporate Partnership năm 2026</x:v>
      </x:c>
      <x:c r="H22" t="str">
        <x:v>CAID - Career Services</x:v>
      </x:c>
      <x:c r="I22" t="n">
        <x:v>200</x:v>
      </x:c>
      <x:c r="J22" t="n">
        <x:v>15000000</x:v>
      </x:c>
      <x:c r="K22" t="n">
        <x:f>I22*J22</x:f>
        <x:v>3000000000</x:v>
      </x:c>
      <x:c r="L22" t="str">
        <x:v>Trung bình</x:v>
      </x:c>
      <x:c r="M22" t="str">
        <x:v>Nháp</x:v>
      </x:c>
      <x:c r="N22" t="str">
        <x:v>Dữ liệu mẫu phục vụ demo quản trị ngân sách</x:v>
      </x:c>
    </x:row>
    <x:row r="23">
      <x:c r="A23" t="str">
        <x:v>DT-CAID-2026-022</x:v>
      </x:c>
      <x:c r="B23" t="str">
        <x:v>Phòng CAID</x:v>
      </x:c>
      <x:c r="C23" t="n">
        <x:v>2026</x:v>
      </x:c>
      <x:c r="D23" t="str">
        <x:v>Q2</x:v>
      </x:c>
      <x:c r="E23" t="str">
        <x:v>Mentorship Program</x:v>
      </x:c>
      <x:c r="F23" t="str">
        <x:v>Quà tặng đối tác</x:v>
      </x:c>
      <x:c r="G23" t="str">
        <x:v>Quà tặng đối tác phục vụ chương trình Mentorship Program năm 2026</x:v>
      </x:c>
      <x:c r="H23" t="str">
        <x:v>CAID - Career Services</x:v>
      </x:c>
      <x:c r="I23" t="n">
        <x:v>100</x:v>
      </x:c>
      <x:c r="J23" t="n">
        <x:v>75000000</x:v>
      </x:c>
      <x:c r="K23" t="n">
        <x:f>I23*J23</x:f>
        <x:v>7500000000</x:v>
      </x:c>
      <x:c r="L23" t="str">
        <x:v>Cao</x:v>
      </x:c>
      <x:c r="M23" t="str">
        <x:v>Đã thanh toán</x:v>
      </x:c>
      <x:c r="N23" t="str">
        <x:v>Dữ liệu mẫu phục vụ demo quản trị ngân sách</x:v>
      </x:c>
    </x:row>
    <x:row r="24">
      <x:c r="A24" t="str">
        <x:v>DT-CAID-2026-023</x:v>
      </x:c>
      <x:c r="B24" t="str">
        <x:v>Phòng CAID</x:v>
      </x:c>
      <x:c r="C24" t="n">
        <x:v>2026</x:v>
      </x:c>
      <x:c r="D24" t="str">
        <x:v>Q3</x:v>
      </x:c>
      <x:c r="E24" t="str">
        <x:v>Company Visit</x:v>
      </x:c>
      <x:c r="F24" t="str">
        <x:v>Phần mềm CRM</x:v>
      </x:c>
      <x:c r="G24" t="str">
        <x:v>Phần mềm CRM phục vụ chương trình Company Visit năm 2026</x:v>
      </x:c>
      <x:c r="H24" t="str">
        <x:v>CAID - Alumni Relations</x:v>
      </x:c>
      <x:c r="I24" t="n">
        <x:v>1</x:v>
      </x:c>
      <x:c r="J24" t="n">
        <x:v>180000000</x:v>
      </x:c>
      <x:c r="K24" t="n">
        <x:f>I24*J24</x:f>
        <x:v>180000000</x:v>
      </x:c>
      <x:c r="L24" t="str">
        <x:v>Cao</x:v>
      </x:c>
      <x:c r="M24" t="str">
        <x:v>Đã thanh toán</x:v>
      </x:c>
      <x:c r="N24" t="str">
        <x:v>Dữ liệu mẫu phục vụ demo quản trị ngân sách</x:v>
      </x:c>
    </x:row>
    <x:row r="25">
      <x:c r="A25" t="str">
        <x:v>DT-CAID-2026-024</x:v>
      </x:c>
      <x:c r="B25" t="str">
        <x:v>Phòng CAID</x:v>
      </x:c>
      <x:c r="C25" t="n">
        <x:v>2026</x:v>
      </x:c>
      <x:c r="D25" t="str">
        <x:v>Q4</x:v>
      </x:c>
      <x:c r="E25" t="str">
        <x:v>Innovation Challenge</x:v>
      </x:c>
      <x:c r="F25" t="str">
        <x:v>Quà tặng đối tác</x:v>
      </x:c>
      <x:c r="G25" t="str">
        <x:v>Quà tặng đối tác phục vụ chương trình Innovation Challenge năm 2026</x:v>
      </x:c>
      <x:c r="H25" t="str">
        <x:v>CAID - Career Services</x:v>
      </x:c>
      <x:c r="I25" t="n">
        <x:v>2</x:v>
      </x:c>
      <x:c r="J25" t="n">
        <x:v>3000000</x:v>
      </x:c>
      <x:c r="K25" t="n">
        <x:f>I25*J25</x:f>
        <x:v>6000000</x:v>
      </x:c>
      <x:c r="L25" t="str">
        <x:v>Thấp</x:v>
      </x:c>
      <x:c r="M25" t="str">
        <x:v>Đã thanh toán</x:v>
      </x:c>
      <x:c r="N25" t="str">
        <x:v>Dữ liệu mẫu phục vụ demo quản trị ngân sách</x:v>
      </x:c>
    </x:row>
    <x:row r="26">
      <x:c r="A26" t="str">
        <x:v>DT-CAID-2026-025</x:v>
      </x:c>
      <x:c r="B26" t="str">
        <x:v>Phòng CAID</x:v>
      </x:c>
      <x:c r="C26" t="n">
        <x:v>2026</x:v>
      </x:c>
      <x:c r="D26" t="str">
        <x:v>Q1</x:v>
      </x:c>
      <x:c r="E26" t="str">
        <x:v>Career Fair</x:v>
      </x:c>
      <x:c r="F26" t="str">
        <x:v>Chăm sóc nhà tài trợ</x:v>
      </x:c>
      <x:c r="G26" t="str">
        <x:v>Chăm sóc nhà tài trợ phục vụ chương trình Career Fair năm 2026</x:v>
      </x:c>
      <x:c r="H26" t="str">
        <x:v>CAID - Career Services</x:v>
      </x:c>
      <x:c r="I26" t="n">
        <x:v>10</x:v>
      </x:c>
      <x:c r="J26" t="n">
        <x:v>5000000</x:v>
      </x:c>
      <x:c r="K26" t="n">
        <x:f>I26*J26</x:f>
        <x:v>50000000</x:v>
      </x:c>
      <x:c r="L26" t="str">
        <x:v>Cao</x:v>
      </x:c>
      <x:c r="M26" t="str">
        <x:v>Đã duyệt</x:v>
      </x:c>
      <x:c r="N26" t="str">
        <x:v>Dữ liệu mẫu phục vụ demo quản trị ngân sách</x:v>
      </x:c>
    </x:row>
    <x:row r="27">
      <x:c r="A27" t="str">
        <x:v>DT-CAID-2026-026</x:v>
      </x:c>
      <x:c r="B27" t="str">
        <x:v>Phòng CAID</x:v>
      </x:c>
      <x:c r="C27" t="n">
        <x:v>2026</x:v>
      </x:c>
      <x:c r="D27" t="str">
        <x:v>Q2</x:v>
      </x:c>
      <x:c r="E27" t="str">
        <x:v>Company Visit</x:v>
      </x:c>
      <x:c r="F27" t="str">
        <x:v>Truyền thông &amp; thiết kế</x:v>
      </x:c>
      <x:c r="G27" t="str">
        <x:v>Truyền thông &amp; thiết kế phục vụ chương trình Company Visit năm 2026</x:v>
      </x:c>
      <x:c r="H27" t="str">
        <x:v>CAID - Alumni Relations</x:v>
      </x:c>
      <x:c r="I27" t="n">
        <x:v>3</x:v>
      </x:c>
      <x:c r="J27" t="n">
        <x:v>75000000</x:v>
      </x:c>
      <x:c r="K27" t="n">
        <x:f>I27*J27</x:f>
        <x:v>225000000</x:v>
      </x:c>
      <x:c r="L27" t="str">
        <x:v>Thấp</x:v>
      </x:c>
      <x:c r="M27" t="str">
        <x:v>Đã thanh toán</x:v>
      </x:c>
      <x:c r="N27" t="str">
        <x:v>Dữ liệu mẫu phục vụ demo quản trị ngân sách</x:v>
      </x:c>
    </x:row>
    <x:row r="28">
      <x:c r="A28" t="str">
        <x:v>DT-CAID-2026-027</x:v>
      </x:c>
      <x:c r="B28" t="str">
        <x:v>Phòng CAID</x:v>
      </x:c>
      <x:c r="C28" t="n">
        <x:v>2026</x:v>
      </x:c>
      <x:c r="D28" t="str">
        <x:v>Q3</x:v>
      </x:c>
      <x:c r="E28" t="str">
        <x:v>Development Event</x:v>
      </x:c>
      <x:c r="F28" t="str">
        <x:v>Chăm sóc nhà tài trợ</x:v>
      </x:c>
      <x:c r="G28" t="str">
        <x:v>Chăm sóc nhà tài trợ phục vụ chương trình Development Event năm 2026</x:v>
      </x:c>
      <x:c r="H28" t="str">
        <x:v>CAID - Development</x:v>
      </x:c>
      <x:c r="I28" t="n">
        <x:v>200</x:v>
      </x:c>
      <x:c r="J28" t="n">
        <x:v>12000000</x:v>
      </x:c>
      <x:c r="K28" t="n">
        <x:f>I28*J28</x:f>
        <x:v>2400000000</x:v>
      </x:c>
      <x:c r="L28" t="str">
        <x:v>Cao</x:v>
      </x:c>
      <x:c r="M28" t="str">
        <x:v>Đã duyệt</x:v>
      </x:c>
      <x:c r="N28" t="str">
        <x:v>Dữ liệu mẫu phục vụ demo quản trị ngân sách</x:v>
      </x:c>
    </x:row>
    <x:row r="29">
      <x:c r="A29" t="str">
        <x:v>DT-CAID-2026-028</x:v>
      </x:c>
      <x:c r="B29" t="str">
        <x:v>Phòng CAID</x:v>
      </x:c>
      <x:c r="C29" t="n">
        <x:v>2026</x:v>
      </x:c>
      <x:c r="D29" t="str">
        <x:v>Q4</x:v>
      </x:c>
      <x:c r="E29" t="str">
        <x:v>Fundraising Campaign</x:v>
      </x:c>
      <x:c r="F29" t="str">
        <x:v>In ấn tài liệu</x:v>
      </x:c>
      <x:c r="G29" t="str">
        <x:v>In ấn tài liệu phục vụ chương trình Fundraising Campaign năm 2026</x:v>
      </x:c>
      <x:c r="H29" t="str">
        <x:v>CAID - Career Services</x:v>
      </x:c>
      <x:c r="I29" t="n">
        <x:v>2</x:v>
      </x:c>
      <x:c r="J29" t="n">
        <x:v>50000000</x:v>
      </x:c>
      <x:c r="K29" t="n">
        <x:f>I29*J29</x:f>
        <x:v>100000000</x:v>
      </x:c>
      <x:c r="L29" t="str">
        <x:v>Cao</x:v>
      </x:c>
      <x:c r="M29" t="str">
        <x:v>Nháp</x:v>
      </x:c>
      <x:c r="N29" t="str">
        <x:v>Dữ liệu mẫu phục vụ demo quản trị ngân sách</x:v>
      </x:c>
    </x:row>
    <x:row r="30">
      <x:c r="A30" t="str">
        <x:v>DT-CAID-2026-029</x:v>
      </x:c>
      <x:c r="B30" t="str">
        <x:v>Phòng CAID</x:v>
      </x:c>
      <x:c r="C30" t="n">
        <x:v>2026</x:v>
      </x:c>
      <x:c r="D30" t="str">
        <x:v>Q1</x:v>
      </x:c>
      <x:c r="E30" t="str">
        <x:v>Company Visit</x:v>
      </x:c>
      <x:c r="F30" t="str">
        <x:v>Thuê địa điểm</x:v>
      </x:c>
      <x:c r="G30" t="str">
        <x:v>Thuê địa điểm phục vụ chương trình Company Visit năm 2026</x:v>
      </x:c>
      <x:c r="H30" t="str">
        <x:v>CAID - Partnership</x:v>
      </x:c>
      <x:c r="I30" t="n">
        <x:v>50</x:v>
      </x:c>
      <x:c r="J30" t="n">
        <x:v>12000000</x:v>
      </x:c>
      <x:c r="K30" t="n">
        <x:f>I30*J30</x:f>
        <x:v>600000000</x:v>
      </x:c>
      <x:c r="L30" t="str">
        <x:v>Cao</x:v>
      </x:c>
      <x:c r="M30" t="str">
        <x:v>Đã duyệt</x:v>
      </x:c>
      <x:c r="N30" t="str">
        <x:v>Dữ liệu mẫu phục vụ demo quản trị ngân sách</x:v>
      </x:c>
    </x:row>
    <x:row r="31">
      <x:c r="A31" t="str">
        <x:v>DT-CAID-2026-030</x:v>
      </x:c>
      <x:c r="B31" t="str">
        <x:v>Phòng CAID</x:v>
      </x:c>
      <x:c r="C31" t="n">
        <x:v>2026</x:v>
      </x:c>
      <x:c r="D31" t="str">
        <x:v>Q2</x:v>
      </x:c>
      <x:c r="E31" t="str">
        <x:v>Employer Branding</x:v>
      </x:c>
      <x:c r="F31" t="str">
        <x:v>Tiếp khách doanh nghiệp</x:v>
      </x:c>
      <x:c r="G31" t="str">
        <x:v>Tiếp khách doanh nghiệp phục vụ chương trình Employer Branding năm 2026</x:v>
      </x:c>
      <x:c r="H31" t="str">
        <x:v>CAID - Partnership</x:v>
      </x:c>
      <x:c r="I31" t="n">
        <x:v>1</x:v>
      </x:c>
      <x:c r="J31" t="n">
        <x:v>20000000</x:v>
      </x:c>
      <x:c r="K31" t="n">
        <x:f>I31*J31</x:f>
        <x:v>20000000</x:v>
      </x:c>
      <x:c r="L31" t="str">
        <x:v>Trung bình</x:v>
      </x:c>
      <x:c r="M31" t="str">
        <x:v>Đã gửi duyệt</x:v>
      </x:c>
      <x:c r="N31" t="str">
        <x:v>Dữ liệu mẫu phục vụ demo quản trị ngân sách</x:v>
      </x:c>
    </x:row>
    <x:row r="32">
      <x:c r="A32" t="str">
        <x:v>DT-CAID-2026-031</x:v>
      </x:c>
      <x:c r="B32" t="str">
        <x:v>Phòng CAID</x:v>
      </x:c>
      <x:c r="C32" t="n">
        <x:v>2026</x:v>
      </x:c>
      <x:c r="D32" t="str">
        <x:v>Q3</x:v>
      </x:c>
      <x:c r="E32" t="str">
        <x:v>MoU Signing</x:v>
      </x:c>
      <x:c r="F32" t="str">
        <x:v>Thuê địa điểm</x:v>
      </x:c>
      <x:c r="G32" t="str">
        <x:v>Thuê địa điểm phục vụ chương trình MoU Signing năm 2026</x:v>
      </x:c>
      <x:c r="H32" t="str">
        <x:v>CAID - Alumni Relations</x:v>
      </x:c>
      <x:c r="I32" t="n">
        <x:v>20</x:v>
      </x:c>
      <x:c r="J32" t="n">
        <x:v>8000000</x:v>
      </x:c>
      <x:c r="K32" t="n">
        <x:f>I32*J32</x:f>
        <x:v>160000000</x:v>
      </x:c>
      <x:c r="L32" t="str">
        <x:v>Cao</x:v>
      </x:c>
      <x:c r="M32" t="str">
        <x:v>Đã duyệt</x:v>
      </x:c>
      <x:c r="N32" t="str">
        <x:v>Dữ liệu mẫu phục vụ demo quản trị ngân sách</x:v>
      </x:c>
    </x:row>
    <x:row r="33">
      <x:c r="A33" t="str">
        <x:v>DT-CAID-2026-032</x:v>
      </x:c>
      <x:c r="B33" t="str">
        <x:v>Phòng CAID</x:v>
      </x:c>
      <x:c r="C33" t="n">
        <x:v>2026</x:v>
      </x:c>
      <x:c r="D33" t="str">
        <x:v>Q4</x:v>
      </x:c>
      <x:c r="E33" t="str">
        <x:v>Scholarship Donor Program</x:v>
      </x:c>
      <x:c r="F33" t="str">
        <x:v>Thuê địa điểm</x:v>
      </x:c>
      <x:c r="G33" t="str">
        <x:v>Thuê địa điểm phục vụ chương trình Scholarship Donor Program năm 2026</x:v>
      </x:c>
      <x:c r="H33" t="str">
        <x:v>CAID - Alumni Relations</x:v>
      </x:c>
      <x:c r="I33" t="n">
        <x:v>3</x:v>
      </x:c>
      <x:c r="J33" t="n">
        <x:v>200000000</x:v>
      </x:c>
      <x:c r="K33" t="n">
        <x:f>I33*J33</x:f>
        <x:v>600000000</x:v>
      </x:c>
      <x:c r="L33" t="str">
        <x:v>Cao</x:v>
      </x:c>
      <x:c r="M33" t="str">
        <x:v>Đã thanh toán</x:v>
      </x:c>
      <x:c r="N33" t="str">
        <x:v>Dữ liệu mẫu phục vụ demo quản trị ngân sách</x:v>
      </x:c>
    </x:row>
    <x:row r="34">
      <x:c r="A34" t="str">
        <x:v>DT-CAID-2026-033</x:v>
      </x:c>
      <x:c r="B34" t="str">
        <x:v>Phòng CAID</x:v>
      </x:c>
      <x:c r="C34" t="n">
        <x:v>2026</x:v>
      </x:c>
      <x:c r="D34" t="str">
        <x:v>Q1</x:v>
      </x:c>
      <x:c r="E34" t="str">
        <x:v>Corporate Partnership</x:v>
      </x:c>
      <x:c r="F34" t="str">
        <x:v>Hội thảo doanh nghiệp</x:v>
      </x:c>
      <x:c r="G34" t="str">
        <x:v>Hội thảo doanh nghiệp phục vụ chương trình Corporate Partnership năm 2026</x:v>
      </x:c>
      <x:c r="H34" t="str">
        <x:v>CAID - Partnership</x:v>
      </x:c>
      <x:c r="I34" t="n">
        <x:v>100</x:v>
      </x:c>
      <x:c r="J34" t="n">
        <x:v>150000000</x:v>
      </x:c>
      <x:c r="K34" t="n">
        <x:f>I34*J34</x:f>
        <x:v>15000000000</x:v>
      </x:c>
      <x:c r="L34" t="str">
        <x:v>Cao</x:v>
      </x:c>
      <x:c r="M34" t="str">
        <x:v>Đã duyệt</x:v>
      </x:c>
      <x:c r="N34" t="str">
        <x:v>Dữ liệu mẫu phục vụ demo quản trị ngân sách</x:v>
      </x:c>
    </x:row>
    <x:row r="35">
      <x:c r="A35" t="str">
        <x:v>DT-CAID-2026-034</x:v>
      </x:c>
      <x:c r="B35" t="str">
        <x:v>Phòng CAID</x:v>
      </x:c>
      <x:c r="C35" t="n">
        <x:v>2026</x:v>
      </x:c>
      <x:c r="D35" t="str">
        <x:v>Q2</x:v>
      </x:c>
      <x:c r="E35" t="str">
        <x:v>Development Event</x:v>
      </x:c>
      <x:c r="F35" t="str">
        <x:v>Tiếp khách doanh nghiệp</x:v>
      </x:c>
      <x:c r="G35" t="str">
        <x:v>Tiếp khách doanh nghiệp phục vụ chương trình Development Event năm 2026</x:v>
      </x:c>
      <x:c r="H35" t="str">
        <x:v>CAID - Career Services</x:v>
      </x:c>
      <x:c r="I35" t="n">
        <x:v>2</x:v>
      </x:c>
      <x:c r="J35" t="n">
        <x:v>12000000</x:v>
      </x:c>
      <x:c r="K35" t="n">
        <x:f>I35*J35</x:f>
        <x:v>24000000</x:v>
      </x:c>
      <x:c r="L35" t="str">
        <x:v>Trung bình</x:v>
      </x:c>
      <x:c r="M35" t="str">
        <x:v>Nháp</x:v>
      </x:c>
      <x:c r="N35" t="str">
        <x:v>Dữ liệu mẫu phục vụ demo quản trị ngân sách</x:v>
      </x:c>
    </x:row>
    <x:row r="36">
      <x:c r="A36" t="str">
        <x:v>DT-CAID-2026-035</x:v>
      </x:c>
      <x:c r="B36" t="str">
        <x:v>Phòng CAID</x:v>
      </x:c>
      <x:c r="C36" t="n">
        <x:v>2026</x:v>
      </x:c>
      <x:c r="D36" t="str">
        <x:v>Q3</x:v>
      </x:c>
      <x:c r="E36" t="str">
        <x:v>Internship Program</x:v>
      </x:c>
      <x:c r="F36" t="str">
        <x:v>Quà tặng đối tác</x:v>
      </x:c>
      <x:c r="G36" t="str">
        <x:v>Quà tặng đối tác phục vụ chương trình Internship Program năm 2026</x:v>
      </x:c>
      <x:c r="H36" t="str">
        <x:v>CAID - Partnership</x:v>
      </x:c>
      <x:c r="I36" t="n">
        <x:v>10</x:v>
      </x:c>
      <x:c r="J36" t="n">
        <x:v>12000000</x:v>
      </x:c>
      <x:c r="K36" t="n">
        <x:f>I36*J36</x:f>
        <x:v>120000000</x:v>
      </x:c>
      <x:c r="L36" t="str">
        <x:v>Cao</x:v>
      </x:c>
      <x:c r="M36" t="str">
        <x:v>Đã thanh toán</x:v>
      </x:c>
      <x:c r="N36" t="str">
        <x:v>Dữ liệu mẫu phục vụ demo quản trị ngân sách</x:v>
      </x:c>
    </x:row>
    <x:row r="37">
      <x:c r="A37" t="str">
        <x:v>DT-CAID-2026-036</x:v>
      </x:c>
      <x:c r="B37" t="str">
        <x:v>Phòng CAID</x:v>
      </x:c>
      <x:c r="C37" t="n">
        <x:v>2026</x:v>
      </x:c>
      <x:c r="D37" t="str">
        <x:v>Q4</x:v>
      </x:c>
      <x:c r="E37" t="str">
        <x:v>Company Visit</x:v>
      </x:c>
      <x:c r="F37" t="str">
        <x:v>Tiếp khách doanh nghiệp</x:v>
      </x:c>
      <x:c r="G37" t="str">
        <x:v>Tiếp khách doanh nghiệp phục vụ chương trình Company Visit năm 2026</x:v>
      </x:c>
      <x:c r="H37" t="str">
        <x:v>CAID - Partnership</x:v>
      </x:c>
      <x:c r="I37" t="n">
        <x:v>1</x:v>
      </x:c>
      <x:c r="J37" t="n">
        <x:v>150000000</x:v>
      </x:c>
      <x:c r="K37" t="n">
        <x:f>I37*J37</x:f>
        <x:v>150000000</x:v>
      </x:c>
      <x:c r="L37" t="str">
        <x:v>Thấp</x:v>
      </x:c>
      <x:c r="M37" t="str">
        <x:v>Đã thanh toán</x:v>
      </x:c>
      <x:c r="N37" t="str">
        <x:v>Dữ liệu mẫu phục vụ demo quản trị ngân sách</x:v>
      </x:c>
    </x:row>
    <x:row r="38">
      <x:c r="A38" t="str">
        <x:v>DT-CAID-2026-037</x:v>
      </x:c>
      <x:c r="B38" t="str">
        <x:v>Phòng CAID</x:v>
      </x:c>
      <x:c r="C38" t="n">
        <x:v>2026</x:v>
      </x:c>
      <x:c r="D38" t="str">
        <x:v>Q1</x:v>
      </x:c>
      <x:c r="E38" t="str">
        <x:v>Donor Stewardship</x:v>
      </x:c>
      <x:c r="F38" t="str">
        <x:v>Thuê địa điểm</x:v>
      </x:c>
      <x:c r="G38" t="str">
        <x:v>Thuê địa điểm phục vụ chương trình Donor Stewardship năm 2026</x:v>
      </x:c>
      <x:c r="H38" t="str">
        <x:v>CAID - Alumni Relations</x:v>
      </x:c>
      <x:c r="I38" t="n">
        <x:v>1</x:v>
      </x:c>
      <x:c r="J38" t="n">
        <x:v>30000000</x:v>
      </x:c>
      <x:c r="K38" t="n">
        <x:f>I38*J38</x:f>
        <x:v>30000000</x:v>
      </x:c>
      <x:c r="L38" t="str">
        <x:v>Trung bình</x:v>
      </x:c>
      <x:c r="M38" t="str">
        <x:v>Đã thanh toán</x:v>
      </x:c>
      <x:c r="N38" t="str">
        <x:v>Dữ liệu mẫu phục vụ demo quản trị ngân sách</x:v>
      </x:c>
    </x:row>
    <x:row r="39">
      <x:c r="A39" t="str">
        <x:v>DT-CAID-2026-038</x:v>
      </x:c>
      <x:c r="B39" t="str">
        <x:v>Phòng CAID</x:v>
      </x:c>
      <x:c r="C39" t="n">
        <x:v>2026</x:v>
      </x:c>
      <x:c r="D39" t="str">
        <x:v>Q2</x:v>
      </x:c>
      <x:c r="E39" t="str">
        <x:v>Innovation Challenge</x:v>
      </x:c>
      <x:c r="F39" t="str">
        <x:v>Tổ chức sự kiện</x:v>
      </x:c>
      <x:c r="G39" t="str">
        <x:v>Tổ chức sự kiện phục vụ chương trình Innovation Challenge năm 2026</x:v>
      </x:c>
      <x:c r="H39" t="str">
        <x:v>CAID - Partnership</x:v>
      </x:c>
      <x:c r="I39" t="n">
        <x:v>1</x:v>
      </x:c>
      <x:c r="J39" t="n">
        <x:v>30000000</x:v>
      </x:c>
      <x:c r="K39" t="n">
        <x:f>I39*J39</x:f>
        <x:v>30000000</x:v>
      </x:c>
      <x:c r="L39" t="str">
        <x:v>Thấp</x:v>
      </x:c>
      <x:c r="M39" t="str">
        <x:v>Đã gửi duyệt</x:v>
      </x:c>
      <x:c r="N39" t="str">
        <x:v>Dữ liệu mẫu phục vụ demo quản trị ngân sách</x:v>
      </x:c>
    </x:row>
    <x:row r="40">
      <x:c r="A40" t="str">
        <x:v>DT-CAID-2026-039</x:v>
      </x:c>
      <x:c r="B40" t="str">
        <x:v>Phòng CAID</x:v>
      </x:c>
      <x:c r="C40" t="n">
        <x:v>2026</x:v>
      </x:c>
      <x:c r="D40" t="str">
        <x:v>Q3</x:v>
      </x:c>
      <x:c r="E40" t="str">
        <x:v>Development Event</x:v>
      </x:c>
      <x:c r="F40" t="str">
        <x:v>In ấn tài liệu</x:v>
      </x:c>
      <x:c r="G40" t="str">
        <x:v>In ấn tài liệu phục vụ chương trình Development Event năm 2026</x:v>
      </x:c>
      <x:c r="H40" t="str">
        <x:v>CAID - Alumni Relations</x:v>
      </x:c>
      <x:c r="I40" t="n">
        <x:v>3</x:v>
      </x:c>
      <x:c r="J40" t="n">
        <x:v>30000000</x:v>
      </x:c>
      <x:c r="K40" t="n">
        <x:f>I40*J40</x:f>
        <x:v>90000000</x:v>
      </x:c>
      <x:c r="L40" t="str">
        <x:v>Cao</x:v>
      </x:c>
      <x:c r="M40" t="str">
        <x:v>Đã gửi duyệt</x:v>
      </x:c>
      <x:c r="N40" t="str">
        <x:v>Dữ liệu mẫu phục vụ demo quản trị ngân sách</x:v>
      </x:c>
    </x:row>
    <x:row r="41">
      <x:c r="A41" t="str">
        <x:v>DT-CAID-2026-040</x:v>
      </x:c>
      <x:c r="B41" t="str">
        <x:v>Phòng CAID</x:v>
      </x:c>
      <x:c r="C41" t="n">
        <x:v>2026</x:v>
      </x:c>
      <x:c r="D41" t="str">
        <x:v>Q4</x:v>
      </x:c>
      <x:c r="E41" t="str">
        <x:v>Corporate Partnership</x:v>
      </x:c>
      <x:c r="F41" t="str">
        <x:v>Tài trợ sinh viên</x:v>
      </x:c>
      <x:c r="G41" t="str">
        <x:v>Tài trợ sinh viên phục vụ chương trình Corporate Partnership năm 2026</x:v>
      </x:c>
      <x:c r="H41" t="str">
        <x:v>CAID - Partnership</x:v>
      </x:c>
      <x:c r="I41" t="n">
        <x:v>200</x:v>
      </x:c>
      <x:c r="J41" t="n">
        <x:v>75000000</x:v>
      </x:c>
      <x:c r="K41" t="n">
        <x:f>I41*J41</x:f>
        <x:v>15000000000</x:v>
      </x:c>
      <x:c r="L41" t="str">
        <x:v>Trung bình</x:v>
      </x:c>
      <x:c r="M41" t="str">
        <x:v>Nháp</x:v>
      </x:c>
      <x:c r="N41" t="str">
        <x:v>Dữ liệu mẫu phục vụ demo quản trị ngân sách</x:v>
      </x:c>
    </x:row>
    <x:row r="42">
      <x:c r="A42" t="str">
        <x:v>DT-CAID-2026-041</x:v>
      </x:c>
      <x:c r="B42" t="str">
        <x:v>Phòng CAID</x:v>
      </x:c>
      <x:c r="C42" t="n">
        <x:v>2026</x:v>
      </x:c>
      <x:c r="D42" t="str">
        <x:v>Q1</x:v>
      </x:c>
      <x:c r="E42" t="str">
        <x:v>Industry Advisory Board</x:v>
      </x:c>
      <x:c r="F42" t="str">
        <x:v>In ấn tài liệu</x:v>
      </x:c>
      <x:c r="G42" t="str">
        <x:v>In ấn tài liệu phục vụ chương trình Industry Advisory Board năm 2026</x:v>
      </x:c>
      <x:c r="H42" t="str">
        <x:v>CAID - Career Services</x:v>
      </x:c>
      <x:c r="I42" t="n">
        <x:v>20</x:v>
      </x:c>
      <x:c r="J42" t="n">
        <x:v>75000000</x:v>
      </x:c>
      <x:c r="K42" t="n">
        <x:f>I42*J42</x:f>
        <x:v>1500000000</x:v>
      </x:c>
      <x:c r="L42" t="str">
        <x:v>Cao</x:v>
      </x:c>
      <x:c r="M42" t="str">
        <x:v>Đã duyệt</x:v>
      </x:c>
      <x:c r="N42" t="str">
        <x:v>Dữ liệu mẫu phục vụ demo quản trị ngân sách</x:v>
      </x:c>
    </x:row>
    <x:row r="43">
      <x:c r="A43" t="str">
        <x:v>DT-CAID-2026-042</x:v>
      </x:c>
      <x:c r="B43" t="str">
        <x:v>Phòng CAID</x:v>
      </x:c>
      <x:c r="C43" t="n">
        <x:v>2026</x:v>
      </x:c>
      <x:c r="D43" t="str">
        <x:v>Q2</x:v>
      </x:c>
      <x:c r="E43" t="str">
        <x:v>Donor Stewardship</x:v>
      </x:c>
      <x:c r="F43" t="str">
        <x:v>Truyền thông &amp; thiết kế</x:v>
      </x:c>
      <x:c r="G43" t="str">
        <x:v>Truyền thông &amp; thiết kế phục vụ chương trình Donor Stewardship năm 2026</x:v>
      </x:c>
      <x:c r="H43" t="str">
        <x:v>CAID - Partnership</x:v>
      </x:c>
      <x:c r="I43" t="n">
        <x:v>1</x:v>
      </x:c>
      <x:c r="J43" t="n">
        <x:v>100000000</x:v>
      </x:c>
      <x:c r="K43" t="n">
        <x:f>I43*J43</x:f>
        <x:v>100000000</x:v>
      </x:c>
      <x:c r="L43" t="str">
        <x:v>Trung bình</x:v>
      </x:c>
      <x:c r="M43" t="str">
        <x:v>Đã gửi duyệt</x:v>
      </x:c>
      <x:c r="N43" t="str">
        <x:v>Dữ liệu mẫu phục vụ demo quản trị ngân sách</x:v>
      </x:c>
    </x:row>
    <x:row r="44">
      <x:c r="A44" t="str">
        <x:v>DT-CAID-2026-043</x:v>
      </x:c>
      <x:c r="B44" t="str">
        <x:v>Phòng CAID</x:v>
      </x:c>
      <x:c r="C44" t="n">
        <x:v>2026</x:v>
      </x:c>
      <x:c r="D44" t="str">
        <x:v>Q3</x:v>
      </x:c>
      <x:c r="E44" t="str">
        <x:v>Career Fair</x:v>
      </x:c>
      <x:c r="F44" t="str">
        <x:v>Tài trợ sinh viên</x:v>
      </x:c>
      <x:c r="G44" t="str">
        <x:v>Tài trợ sinh viên phục vụ chương trình Career Fair năm 2026</x:v>
      </x:c>
      <x:c r="H44" t="str">
        <x:v>CAID - Partnership</x:v>
      </x:c>
      <x:c r="I44" t="n">
        <x:v>2</x:v>
      </x:c>
      <x:c r="J44" t="n">
        <x:v>100000000</x:v>
      </x:c>
      <x:c r="K44" t="n">
        <x:f>I44*J44</x:f>
        <x:v>200000000</x:v>
      </x:c>
      <x:c r="L44" t="str">
        <x:v>Trung bình</x:v>
      </x:c>
      <x:c r="M44" t="str">
        <x:v>Đã duyệt</x:v>
      </x:c>
      <x:c r="N44" t="str">
        <x:v>Dữ liệu mẫu phục vụ demo quản trị ngân sách</x:v>
      </x:c>
    </x:row>
    <x:row r="45">
      <x:c r="A45" t="str">
        <x:v>DT-CAID-2026-044</x:v>
      </x:c>
      <x:c r="B45" t="str">
        <x:v>Phòng CAID</x:v>
      </x:c>
      <x:c r="C45" t="n">
        <x:v>2026</x:v>
      </x:c>
      <x:c r="D45" t="str">
        <x:v>Q4</x:v>
      </x:c>
      <x:c r="E45" t="str">
        <x:v>Industry Advisory Board</x:v>
      </x:c>
      <x:c r="F45" t="str">
        <x:v>Tài trợ sinh viên</x:v>
      </x:c>
      <x:c r="G45" t="str">
        <x:v>Tài trợ sinh viên phục vụ chương trình Industry Advisory Board năm 2026</x:v>
      </x:c>
      <x:c r="H45" t="str">
        <x:v>CAID - Development</x:v>
      </x:c>
      <x:c r="I45" t="n">
        <x:v>20</x:v>
      </x:c>
      <x:c r="J45" t="n">
        <x:v>20000000</x:v>
      </x:c>
      <x:c r="K45" t="n">
        <x:f>I45*J45</x:f>
        <x:v>400000000</x:v>
      </x:c>
      <x:c r="L45" t="str">
        <x:v>Cao</x:v>
      </x:c>
      <x:c r="M45" t="str">
        <x:v>Đã duyệt</x:v>
      </x:c>
      <x:c r="N45" t="str">
        <x:v>Dữ liệu mẫu phục vụ demo quản trị ngân sách</x:v>
      </x:c>
    </x:row>
    <x:row r="46">
      <x:c r="A46" t="str">
        <x:v>DT-CAID-2026-045</x:v>
      </x:c>
      <x:c r="B46" t="str">
        <x:v>Phòng CAID</x:v>
      </x:c>
      <x:c r="C46" t="n">
        <x:v>2026</x:v>
      </x:c>
      <x:c r="D46" t="str">
        <x:v>Q1</x:v>
      </x:c>
      <x:c r="E46" t="str">
        <x:v>Employer Branding</x:v>
      </x:c>
      <x:c r="F46" t="str">
        <x:v>Quà tặng đối tác</x:v>
      </x:c>
      <x:c r="G46" t="str">
        <x:v>Quà tặng đối tác phục vụ chương trình Employer Branding năm 2026</x:v>
      </x:c>
      <x:c r="H46" t="str">
        <x:v>CAID - Development</x:v>
      </x:c>
      <x:c r="I46" t="n">
        <x:v>5</x:v>
      </x:c>
      <x:c r="J46" t="n">
        <x:v>8000000</x:v>
      </x:c>
      <x:c r="K46" t="n">
        <x:f>I46*J46</x:f>
        <x:v>40000000</x:v>
      </x:c>
      <x:c r="L46" t="str">
        <x:v>Trung bình</x:v>
      </x:c>
      <x:c r="M46" t="str">
        <x:v>Đã thanh toán</x:v>
      </x:c>
      <x:c r="N46" t="str">
        <x:v>Dữ liệu mẫu phục vụ demo quản trị ngân sách</x:v>
      </x:c>
    </x:row>
    <x:row r="47">
      <x:c r="A47" t="str">
        <x:v>DT-CAID-2026-046</x:v>
      </x:c>
      <x:c r="B47" t="str">
        <x:v>Phòng CAID</x:v>
      </x:c>
      <x:c r="C47" t="n">
        <x:v>2026</x:v>
      </x:c>
      <x:c r="D47" t="str">
        <x:v>Q2</x:v>
      </x:c>
      <x:c r="E47" t="str">
        <x:v>Innovation Challenge</x:v>
      </x:c>
      <x:c r="F47" t="str">
        <x:v>Tiếp khách doanh nghiệp</x:v>
      </x:c>
      <x:c r="G47" t="str">
        <x:v>Tiếp khách doanh nghiệp phục vụ chương trình Innovation Challenge năm 2026</x:v>
      </x:c>
      <x:c r="H47" t="str">
        <x:v>CAID - Partnership</x:v>
      </x:c>
      <x:c r="I47" t="n">
        <x:v>1</x:v>
      </x:c>
      <x:c r="J47" t="n">
        <x:v>50000000</x:v>
      </x:c>
      <x:c r="K47" t="n">
        <x:f>I47*J47</x:f>
        <x:v>50000000</x:v>
      </x:c>
      <x:c r="L47" t="str">
        <x:v>Cao</x:v>
      </x:c>
      <x:c r="M47" t="str">
        <x:v>Đã gửi duyệt</x:v>
      </x:c>
      <x:c r="N47" t="str">
        <x:v>Dữ liệu mẫu phục vụ demo quản trị ngân sách</x:v>
      </x:c>
    </x:row>
    <x:row r="48">
      <x:c r="A48" t="str">
        <x:v>DT-CAID-2026-047</x:v>
      </x:c>
      <x:c r="B48" t="str">
        <x:v>Phòng CAID</x:v>
      </x:c>
      <x:c r="C48" t="n">
        <x:v>2026</x:v>
      </x:c>
      <x:c r="D48" t="str">
        <x:v>Q3</x:v>
      </x:c>
      <x:c r="E48" t="str">
        <x:v>Alumni Engagement</x:v>
      </x:c>
      <x:c r="F48" t="str">
        <x:v>Truyền thông &amp; thiết kế</x:v>
      </x:c>
      <x:c r="G48" t="str">
        <x:v>Truyền thông &amp; thiết kế phục vụ chương trình Alumni Engagement năm 2026</x:v>
      </x:c>
      <x:c r="H48" t="str">
        <x:v>CAID - Career Services</x:v>
      </x:c>
      <x:c r="I48" t="n">
        <x:v>4</x:v>
      </x:c>
      <x:c r="J48" t="n">
        <x:v>5000000</x:v>
      </x:c>
      <x:c r="K48" t="n">
        <x:f>I48*J48</x:f>
        <x:v>20000000</x:v>
      </x:c>
      <x:c r="L48" t="str">
        <x:v>Cao</x:v>
      </x:c>
      <x:c r="M48" t="str">
        <x:v>Đã gửi duyệt</x:v>
      </x:c>
      <x:c r="N48" t="str">
        <x:v>Dữ liệu mẫu phục vụ demo quản trị ngân sách</x:v>
      </x:c>
    </x:row>
    <x:row r="49">
      <x:c r="A49" t="str">
        <x:v>DT-CAID-2026-048</x:v>
      </x:c>
      <x:c r="B49" t="str">
        <x:v>Phòng CAID</x:v>
      </x:c>
      <x:c r="C49" t="n">
        <x:v>2026</x:v>
      </x:c>
      <x:c r="D49" t="str">
        <x:v>Q4</x:v>
      </x:c>
      <x:c r="E49" t="str">
        <x:v>Donor Stewardship</x:v>
      </x:c>
      <x:c r="F49" t="str">
        <x:v>Phần mềm CRM</x:v>
      </x:c>
      <x:c r="G49" t="str">
        <x:v>Phần mềm CRM phục vụ chương trình Donor Stewardship năm 2026</x:v>
      </x:c>
      <x:c r="H49" t="str">
        <x:v>CAID - Partnership</x:v>
      </x:c>
      <x:c r="I49" t="n">
        <x:v>1</x:v>
      </x:c>
      <x:c r="J49" t="n">
        <x:v>250000000</x:v>
      </x:c>
      <x:c r="K49" t="n">
        <x:f>I49*J49</x:f>
        <x:v>250000000</x:v>
      </x:c>
      <x:c r="L49" t="str">
        <x:v>Trung bình</x:v>
      </x:c>
      <x:c r="M49" t="str">
        <x:v>Đã duyệt</x:v>
      </x:c>
      <x:c r="N49" t="str">
        <x:v>Dữ liệu mẫu phục vụ demo quản trị ngân sách</x:v>
      </x:c>
    </x:row>
    <x:row r="50">
      <x:c r="A50" t="str">
        <x:v>DT-CAID-2026-049</x:v>
      </x:c>
      <x:c r="B50" t="str">
        <x:v>Phòng CAID</x:v>
      </x:c>
      <x:c r="C50" t="n">
        <x:v>2026</x:v>
      </x:c>
      <x:c r="D50" t="str">
        <x:v>Q1</x:v>
      </x:c>
      <x:c r="E50" t="str">
        <x:v>Innovation Challenge</x:v>
      </x:c>
      <x:c r="F50" t="str">
        <x:v>Hội thảo doanh nghiệp</x:v>
      </x:c>
      <x:c r="G50" t="str">
        <x:v>Hội thảo doanh nghiệp phục vụ chương trình Innovation Challenge năm 2026</x:v>
      </x:c>
      <x:c r="H50" t="str">
        <x:v>CAID - Development</x:v>
      </x:c>
      <x:c r="I50" t="n">
        <x:v>1</x:v>
      </x:c>
      <x:c r="J50" t="n">
        <x:v>8000000</x:v>
      </x:c>
      <x:c r="K50" t="n">
        <x:f>I50*J50</x:f>
        <x:v>8000000</x:v>
      </x:c>
      <x:c r="L50" t="str">
        <x:v>Cao</x:v>
      </x:c>
      <x:c r="M50" t="str">
        <x:v>Nháp</x:v>
      </x:c>
      <x:c r="N50" t="str">
        <x:v>Dữ liệu mẫu phục vụ demo quản trị ngân sách</x:v>
      </x:c>
    </x:row>
    <x:row r="51">
      <x:c r="A51" t="str">
        <x:v>DT-CAID-2026-050</x:v>
      </x:c>
      <x:c r="B51" t="str">
        <x:v>Phòng CAID</x:v>
      </x:c>
      <x:c r="C51" t="n">
        <x:v>2026</x:v>
      </x:c>
      <x:c r="D51" t="str">
        <x:v>Q2</x:v>
      </x:c>
      <x:c r="E51" t="str">
        <x:v>Company Visit</x:v>
      </x:c>
      <x:c r="F51" t="str">
        <x:v>Truyền thông &amp; thiết kế</x:v>
      </x:c>
      <x:c r="G51" t="str">
        <x:v>Truyền thông &amp; thiết kế phục vụ chương trình Company Visit năm 2026</x:v>
      </x:c>
      <x:c r="H51" t="str">
        <x:v>CAID - Career Services</x:v>
      </x:c>
      <x:c r="I51" t="n">
        <x:v>3</x:v>
      </x:c>
      <x:c r="J51" t="n">
        <x:v>15000000</x:v>
      </x:c>
      <x:c r="K51" t="n">
        <x:f>I51*J51</x:f>
        <x:v>45000000</x:v>
      </x:c>
      <x:c r="L51" t="str">
        <x:v>Trung bình</x:v>
      </x:c>
      <x:c r="M51" t="str">
        <x:v>Đã gửi duyệt</x:v>
      </x:c>
      <x:c r="N51" t="str">
        <x:v>Dữ liệu mẫu phục vụ demo quản trị ngân sách</x:v>
      </x:c>
    </x:row>
    <x:row r="52">
      <x:c r="A52" t="str">
        <x:v>DT-CAID-2026-051</x:v>
      </x:c>
      <x:c r="B52" t="str">
        <x:v>Phòng CAID</x:v>
      </x:c>
      <x:c r="C52" t="n">
        <x:v>2026</x:v>
      </x:c>
      <x:c r="D52" t="str">
        <x:v>Q3</x:v>
      </x:c>
      <x:c r="E52" t="str">
        <x:v>Mentorship Program</x:v>
      </x:c>
      <x:c r="F52" t="str">
        <x:v>Quà tặng đối tác</x:v>
      </x:c>
      <x:c r="G52" t="str">
        <x:v>Quà tặng đối tác phục vụ chương trình Mentorship Program năm 2026</x:v>
      </x:c>
      <x:c r="H52" t="str">
        <x:v>CAID - Development</x:v>
      </x:c>
      <x:c r="I52" t="n">
        <x:v>20</x:v>
      </x:c>
      <x:c r="J52" t="n">
        <x:v>50000000</x:v>
      </x:c>
      <x:c r="K52" t="n">
        <x:f>I52*J52</x:f>
        <x:v>1000000000</x:v>
      </x:c>
      <x:c r="L52" t="str">
        <x:v>Thấp</x:v>
      </x:c>
      <x:c r="M52" t="str">
        <x:v>Đã thanh toán</x:v>
      </x:c>
      <x:c r="N52" t="str">
        <x:v>Dữ liệu mẫu phục vụ demo quản trị ngân sách</x:v>
      </x:c>
    </x:row>
    <x:row r="53">
      <x:c r="A53" t="str">
        <x:v>DT-CAID-2026-052</x:v>
      </x:c>
      <x:c r="B53" t="str">
        <x:v>Phòng CAID</x:v>
      </x:c>
      <x:c r="C53" t="n">
        <x:v>2026</x:v>
      </x:c>
      <x:c r="D53" t="str">
        <x:v>Q4</x:v>
      </x:c>
      <x:c r="E53" t="str">
        <x:v>Career Fair</x:v>
      </x:c>
      <x:c r="F53" t="str">
        <x:v>Hội thảo doanh nghiệp</x:v>
      </x:c>
      <x:c r="G53" t="str">
        <x:v>Hội thảo doanh nghiệp phục vụ chương trình Career Fair năm 2026</x:v>
      </x:c>
      <x:c r="H53" t="str">
        <x:v>CAID - Partnership</x:v>
      </x:c>
      <x:c r="I53" t="n">
        <x:v>5</x:v>
      </x:c>
      <x:c r="J53" t="n">
        <x:v>15000000</x:v>
      </x:c>
      <x:c r="K53" t="n">
        <x:f>I53*J53</x:f>
        <x:v>75000000</x:v>
      </x:c>
      <x:c r="L53" t="str">
        <x:v>Cao</x:v>
      </x:c>
      <x:c r="M53" t="str">
        <x:v>Đã thanh toán</x:v>
      </x:c>
      <x:c r="N53" t="str">
        <x:v>Dữ liệu mẫu phục vụ demo quản trị ngân sách</x:v>
      </x:c>
    </x:row>
    <x:row r="54">
      <x:c r="A54" t="str">
        <x:v>DT-CAID-2026-053</x:v>
      </x:c>
      <x:c r="B54" t="str">
        <x:v>Phòng CAID</x:v>
      </x:c>
      <x:c r="C54" t="n">
        <x:v>2026</x:v>
      </x:c>
      <x:c r="D54" t="str">
        <x:v>Q1</x:v>
      </x:c>
      <x:c r="E54" t="str">
        <x:v>Mentorship Program</x:v>
      </x:c>
      <x:c r="F54" t="str">
        <x:v>Quà tặng đối tác</x:v>
      </x:c>
      <x:c r="G54" t="str">
        <x:v>Quà tặng đối tác phục vụ chương trình Mentorship Program năm 2026</x:v>
      </x:c>
      <x:c r="H54" t="str">
        <x:v>CAID - Alumni Relations</x:v>
      </x:c>
      <x:c r="I54" t="n">
        <x:v>1</x:v>
      </x:c>
      <x:c r="J54" t="n">
        <x:v>250000000</x:v>
      </x:c>
      <x:c r="K54" t="n">
        <x:f>I54*J54</x:f>
        <x:v>250000000</x:v>
      </x:c>
      <x:c r="L54" t="str">
        <x:v>Trung bình</x:v>
      </x:c>
      <x:c r="M54" t="str">
        <x:v>Đã duyệt</x:v>
      </x:c>
      <x:c r="N54" t="str">
        <x:v>Dữ liệu mẫu phục vụ demo quản trị ngân sách</x:v>
      </x:c>
    </x:row>
    <x:row r="55">
      <x:c r="A55" t="str">
        <x:v>DT-CAID-2026-054</x:v>
      </x:c>
      <x:c r="B55" t="str">
        <x:v>Phòng CAID</x:v>
      </x:c>
      <x:c r="C55" t="n">
        <x:v>2026</x:v>
      </x:c>
      <x:c r="D55" t="str">
        <x:v>Q2</x:v>
      </x:c>
      <x:c r="E55" t="str">
        <x:v>Corporate Partnership</x:v>
      </x:c>
      <x:c r="F55" t="str">
        <x:v>Tiếp khách doanh nghiệp</x:v>
      </x:c>
      <x:c r="G55" t="str">
        <x:v>Tiếp khách doanh nghiệp phục vụ chương trình Corporate Partnership năm 2026</x:v>
      </x:c>
      <x:c r="H55" t="str">
        <x:v>CAID - Career Services</x:v>
      </x:c>
      <x:c r="I55" t="n">
        <x:v>1</x:v>
      </x:c>
      <x:c r="J55" t="n">
        <x:v>250000000</x:v>
      </x:c>
      <x:c r="K55" t="n">
        <x:f>I55*J55</x:f>
        <x:v>250000000</x:v>
      </x:c>
      <x:c r="L55" t="str">
        <x:v>Trung bình</x:v>
      </x:c>
      <x:c r="M55" t="str">
        <x:v>Đã thanh toán</x:v>
      </x:c>
      <x:c r="N55" t="str">
        <x:v>Dữ liệu mẫu phục vụ demo quản trị ngân sách</x:v>
      </x:c>
    </x:row>
    <x:row r="56">
      <x:c r="A56" t="str">
        <x:v>DT-CAID-2026-055</x:v>
      </x:c>
      <x:c r="B56" t="str">
        <x:v>Phòng CAID</x:v>
      </x:c>
      <x:c r="C56" t="n">
        <x:v>2026</x:v>
      </x:c>
      <x:c r="D56" t="str">
        <x:v>Q3</x:v>
      </x:c>
      <x:c r="E56" t="str">
        <x:v>Industry Advisory Board</x:v>
      </x:c>
      <x:c r="F56" t="str">
        <x:v>Phần mềm CRM</x:v>
      </x:c>
      <x:c r="G56" t="str">
        <x:v>Phần mềm CRM phục vụ chương trình Industry Advisory Board năm 2026</x:v>
      </x:c>
      <x:c r="H56" t="str">
        <x:v>CAID - Partnership</x:v>
      </x:c>
      <x:c r="I56" t="n">
        <x:v>1</x:v>
      </x:c>
      <x:c r="J56" t="n">
        <x:v>120000000</x:v>
      </x:c>
      <x:c r="K56" t="n">
        <x:f>I56*J56</x:f>
        <x:v>120000000</x:v>
      </x:c>
      <x:c r="L56" t="str">
        <x:v>Cao</x:v>
      </x:c>
      <x:c r="M56" t="str">
        <x:v>Đã thanh toán</x:v>
      </x:c>
      <x:c r="N56" t="str">
        <x:v>Dữ liệu mẫu phục vụ demo quản trị ngân sách</x:v>
      </x:c>
    </x:row>
    <x:row r="57">
      <x:c r="A57" t="str">
        <x:v>DT-CAID-2026-056</x:v>
      </x:c>
      <x:c r="B57" t="str">
        <x:v>Phòng CAID</x:v>
      </x:c>
      <x:c r="C57" t="n">
        <x:v>2026</x:v>
      </x:c>
      <x:c r="D57" t="str">
        <x:v>Q4</x:v>
      </x:c>
      <x:c r="E57" t="str">
        <x:v>Development Event</x:v>
      </x:c>
      <x:c r="F57" t="str">
        <x:v>Tổ chức sự kiện</x:v>
      </x:c>
      <x:c r="G57" t="str">
        <x:v>Tổ chức sự kiện phục vụ chương trình Development Event năm 2026</x:v>
      </x:c>
      <x:c r="H57" t="str">
        <x:v>CAID - Career Services</x:v>
      </x:c>
      <x:c r="I57" t="n">
        <x:v>4</x:v>
      </x:c>
      <x:c r="J57" t="n">
        <x:v>12000000</x:v>
      </x:c>
      <x:c r="K57" t="n">
        <x:f>I57*J57</x:f>
        <x:v>48000000</x:v>
      </x:c>
      <x:c r="L57" t="str">
        <x:v>Trung bình</x:v>
      </x:c>
      <x:c r="M57" t="str">
        <x:v>Đã gửi duyệt</x:v>
      </x:c>
      <x:c r="N57" t="str">
        <x:v>Dữ liệu mẫu phục vụ demo quản trị ngân sách</x:v>
      </x:c>
    </x:row>
    <x:row r="58">
      <x:c r="A58" t="str">
        <x:v>DT-CAID-2026-057</x:v>
      </x:c>
      <x:c r="B58" t="str">
        <x:v>Phòng CAID</x:v>
      </x:c>
      <x:c r="C58" t="n">
        <x:v>2026</x:v>
      </x:c>
      <x:c r="D58" t="str">
        <x:v>Q1</x:v>
      </x:c>
      <x:c r="E58" t="str">
        <x:v>Company Visit</x:v>
      </x:c>
      <x:c r="F58" t="str">
        <x:v>Di chuyển công tác</x:v>
      </x:c>
      <x:c r="G58" t="str">
        <x:v>Di chuyển công tác phục vụ chương trình Company Visit năm 2026</x:v>
      </x:c>
      <x:c r="H58" t="str">
        <x:v>CAID - Career Services</x:v>
      </x:c>
      <x:c r="I58" t="n">
        <x:v>50</x:v>
      </x:c>
      <x:c r="J58" t="n">
        <x:v>250000000</x:v>
      </x:c>
      <x:c r="K58" t="n">
        <x:f>I58*J58</x:f>
        <x:v>12500000000</x:v>
      </x:c>
      <x:c r="L58" t="str">
        <x:v>Thấp</x:v>
      </x:c>
      <x:c r="M58" t="str">
        <x:v>Đã gửi duyệt</x:v>
      </x:c>
      <x:c r="N58" t="str">
        <x:v>Dữ liệu mẫu phục vụ demo quản trị ngân sách</x:v>
      </x:c>
    </x:row>
    <x:row r="59">
      <x:c r="A59" t="str">
        <x:v>DT-CAID-2026-058</x:v>
      </x:c>
      <x:c r="B59" t="str">
        <x:v>Phòng CAID</x:v>
      </x:c>
      <x:c r="C59" t="n">
        <x:v>2026</x:v>
      </x:c>
      <x:c r="D59" t="str">
        <x:v>Q2</x:v>
      </x:c>
      <x:c r="E59" t="str">
        <x:v>Internship Program</x:v>
      </x:c>
      <x:c r="F59" t="str">
        <x:v>Truyền thông &amp; thiết kế</x:v>
      </x:c>
      <x:c r="G59" t="str">
        <x:v>Truyền thông &amp; thiết kế phục vụ chương trình Internship Program năm 2026</x:v>
      </x:c>
      <x:c r="H59" t="str">
        <x:v>CAID - Career Services</x:v>
      </x:c>
      <x:c r="I59" t="n">
        <x:v>5</x:v>
      </x:c>
      <x:c r="J59" t="n">
        <x:v>3000000</x:v>
      </x:c>
      <x:c r="K59" t="n">
        <x:f>I59*J59</x:f>
        <x:v>15000000</x:v>
      </x:c>
      <x:c r="L59" t="str">
        <x:v>Trung bình</x:v>
      </x:c>
      <x:c r="M59" t="str">
        <x:v>Đã gửi duyệt</x:v>
      </x:c>
      <x:c r="N59" t="str">
        <x:v>Dữ liệu mẫu phục vụ demo quản trị ngân sách</x:v>
      </x:c>
    </x:row>
    <x:row r="60">
      <x:c r="A60" t="str">
        <x:v>DT-CAID-2026-059</x:v>
      </x:c>
      <x:c r="B60" t="str">
        <x:v>Phòng CAID</x:v>
      </x:c>
      <x:c r="C60" t="n">
        <x:v>2026</x:v>
      </x:c>
      <x:c r="D60" t="str">
        <x:v>Q3</x:v>
      </x:c>
      <x:c r="E60" t="str">
        <x:v>Innovation Challenge</x:v>
      </x:c>
      <x:c r="F60" t="str">
        <x:v>Di chuyển công tác</x:v>
      </x:c>
      <x:c r="G60" t="str">
        <x:v>Di chuyển công tác phục vụ chương trình Innovation Challenge năm 2026</x:v>
      </x:c>
      <x:c r="H60" t="str">
        <x:v>CAID - Career Services</x:v>
      </x:c>
      <x:c r="I60" t="n">
        <x:v>100</x:v>
      </x:c>
      <x:c r="J60" t="n">
        <x:v>250000000</x:v>
      </x:c>
      <x:c r="K60" t="n">
        <x:f>I60*J60</x:f>
        <x:v>25000000000</x:v>
      </x:c>
      <x:c r="L60" t="str">
        <x:v>Cao</x:v>
      </x:c>
      <x:c r="M60" t="str">
        <x:v>Đã thanh toán</x:v>
      </x:c>
      <x:c r="N60" t="str">
        <x:v>Dữ liệu mẫu phục vụ demo quản trị ngân sách</x:v>
      </x:c>
    </x:row>
    <x:row r="61">
      <x:c r="A61" t="str">
        <x:v>DT-CAID-2026-060</x:v>
      </x:c>
      <x:c r="B61" t="str">
        <x:v>Phòng CAID</x:v>
      </x:c>
      <x:c r="C61" t="n">
        <x:v>2026</x:v>
      </x:c>
      <x:c r="D61" t="str">
        <x:v>Q4</x:v>
      </x:c>
      <x:c r="E61" t="str">
        <x:v>Career Fair</x:v>
      </x:c>
      <x:c r="F61" t="str">
        <x:v>Di chuyển công tác</x:v>
      </x:c>
      <x:c r="G61" t="str">
        <x:v>Di chuyển công tác phục vụ chương trình Career Fair năm 2026</x:v>
      </x:c>
      <x:c r="H61" t="str">
        <x:v>CAID - Career Services</x:v>
      </x:c>
      <x:c r="I61" t="n">
        <x:v>1</x:v>
      </x:c>
      <x:c r="J61" t="n">
        <x:v>50000000</x:v>
      </x:c>
      <x:c r="K61" t="n">
        <x:f>I61*J61</x:f>
        <x:v>50000000</x:v>
      </x:c>
      <x:c r="L61" t="str">
        <x:v>Cao</x:v>
      </x:c>
      <x:c r="M61" t="str">
        <x:v>Đã thanh toán</x:v>
      </x:c>
      <x:c r="N61" t="str">
        <x:v>Dữ liệu mẫu phục vụ demo quản trị ngân sách</x:v>
      </x:c>
    </x:row>
    <x:row r="62">
      <x:c r="A62" t="str">
        <x:v>DT-CAID-2026-061</x:v>
      </x:c>
      <x:c r="B62" t="str">
        <x:v>Phòng CAID</x:v>
      </x:c>
      <x:c r="C62" t="n">
        <x:v>2026</x:v>
      </x:c>
      <x:c r="D62" t="str">
        <x:v>Q1</x:v>
      </x:c>
      <x:c r="E62" t="str">
        <x:v>Fundraising Campaign</x:v>
      </x:c>
      <x:c r="F62" t="str">
        <x:v>Quà tặng đối tác</x:v>
      </x:c>
      <x:c r="G62" t="str">
        <x:v>Quà tặng đối tác phục vụ chương trình Fundraising Campaign năm 2026</x:v>
      </x:c>
      <x:c r="H62" t="str">
        <x:v>CAID - Alumni Relations</x:v>
      </x:c>
      <x:c r="I62" t="n">
        <x:v>2</x:v>
      </x:c>
      <x:c r="J62" t="n">
        <x:v>50000000</x:v>
      </x:c>
      <x:c r="K62" t="n">
        <x:f>I62*J62</x:f>
        <x:v>100000000</x:v>
      </x:c>
      <x:c r="L62" t="str">
        <x:v>Cao</x:v>
      </x:c>
      <x:c r="M62" t="str">
        <x:v>Đã thanh toán</x:v>
      </x:c>
      <x:c r="N62" t="str">
        <x:v>Dữ liệu mẫu phục vụ demo quản trị ngân sách</x:v>
      </x:c>
    </x:row>
    <x:row r="63">
      <x:c r="A63" t="str">
        <x:v>DT-CAID-2026-062</x:v>
      </x:c>
      <x:c r="B63" t="str">
        <x:v>Phòng CAID</x:v>
      </x:c>
      <x:c r="C63" t="n">
        <x:v>2026</x:v>
      </x:c>
      <x:c r="D63" t="str">
        <x:v>Q2</x:v>
      </x:c>
      <x:c r="E63" t="str">
        <x:v>Development Event</x:v>
      </x:c>
      <x:c r="F63" t="str">
        <x:v>Quà tặng đối tác</x:v>
      </x:c>
      <x:c r="G63" t="str">
        <x:v>Quà tặng đối tác phục vụ chương trình Development Event năm 2026</x:v>
      </x:c>
      <x:c r="H63" t="str">
        <x:v>CAID - Alumni Relations</x:v>
      </x:c>
      <x:c r="I63" t="n">
        <x:v>4</x:v>
      </x:c>
      <x:c r="J63" t="n">
        <x:v>150000000</x:v>
      </x:c>
      <x:c r="K63" t="n">
        <x:f>I63*J63</x:f>
        <x:v>600000000</x:v>
      </x:c>
      <x:c r="L63" t="str">
        <x:v>Trung bình</x:v>
      </x:c>
      <x:c r="M63" t="str">
        <x:v>Đã thanh toán</x:v>
      </x:c>
      <x:c r="N63" t="str">
        <x:v>Dữ liệu mẫu phục vụ demo quản trị ngân sách</x:v>
      </x:c>
    </x:row>
    <x:row r="64">
      <x:c r="A64" t="str">
        <x:v>DT-CAID-2026-063</x:v>
      </x:c>
      <x:c r="B64" t="str">
        <x:v>Phòng CAID</x:v>
      </x:c>
      <x:c r="C64" t="n">
        <x:v>2026</x:v>
      </x:c>
      <x:c r="D64" t="str">
        <x:v>Q3</x:v>
      </x:c>
      <x:c r="E64" t="str">
        <x:v>Fundraising Campaign</x:v>
      </x:c>
      <x:c r="F64" t="str">
        <x:v>Tổ chức sự kiện</x:v>
      </x:c>
      <x:c r="G64" t="str">
        <x:v>Tổ chức sự kiện phục vụ chương trình Fundraising Campaign năm 2026</x:v>
      </x:c>
      <x:c r="H64" t="str">
        <x:v>CAID - Development</x:v>
      </x:c>
      <x:c r="I64" t="n">
        <x:v>10</x:v>
      </x:c>
      <x:c r="J64" t="n">
        <x:v>100000000</x:v>
      </x:c>
      <x:c r="K64" t="n">
        <x:f>I64*J64</x:f>
        <x:v>1000000000</x:v>
      </x:c>
      <x:c r="L64" t="str">
        <x:v>Cao</x:v>
      </x:c>
      <x:c r="M64" t="str">
        <x:v>Đã duyệt</x:v>
      </x:c>
      <x:c r="N64" t="str">
        <x:v>Dữ liệu mẫu phục vụ demo quản trị ngân sách</x:v>
      </x:c>
    </x:row>
    <x:row r="65">
      <x:c r="A65" t="str">
        <x:v>DT-CAID-2026-064</x:v>
      </x:c>
      <x:c r="B65" t="str">
        <x:v>Phòng CAID</x:v>
      </x:c>
      <x:c r="C65" t="n">
        <x:v>2026</x:v>
      </x:c>
      <x:c r="D65" t="str">
        <x:v>Q4</x:v>
      </x:c>
      <x:c r="E65" t="str">
        <x:v>Fundraising Campaign</x:v>
      </x:c>
      <x:c r="F65" t="str">
        <x:v>Chăm sóc nhà tài trợ</x:v>
      </x:c>
      <x:c r="G65" t="str">
        <x:v>Chăm sóc nhà tài trợ phục vụ chương trình Fundraising Campaign năm 2026</x:v>
      </x:c>
      <x:c r="H65" t="str">
        <x:v>CAID - Partnership</x:v>
      </x:c>
      <x:c r="I65" t="n">
        <x:v>10</x:v>
      </x:c>
      <x:c r="J65" t="n">
        <x:v>300000000</x:v>
      </x:c>
      <x:c r="K65" t="n">
        <x:f>I65*J65</x:f>
        <x:v>3000000000</x:v>
      </x:c>
      <x:c r="L65" t="str">
        <x:v>Cao</x:v>
      </x:c>
      <x:c r="M65" t="str">
        <x:v>Đã duyệt</x:v>
      </x:c>
      <x:c r="N65" t="str">
        <x:v>Dữ liệu mẫu phục vụ demo quản trị ngân sách</x:v>
      </x:c>
    </x:row>
    <x:row r="66">
      <x:c r="A66" t="str">
        <x:v>DT-CAID-2026-065</x:v>
      </x:c>
      <x:c r="B66" t="str">
        <x:v>Phòng CAID</x:v>
      </x:c>
      <x:c r="C66" t="n">
        <x:v>2026</x:v>
      </x:c>
      <x:c r="D66" t="str">
        <x:v>Q1</x:v>
      </x:c>
      <x:c r="E66" t="str">
        <x:v>Alumni Engagement</x:v>
      </x:c>
      <x:c r="F66" t="str">
        <x:v>Tổ chức sự kiện</x:v>
      </x:c>
      <x:c r="G66" t="str">
        <x:v>Tổ chức sự kiện phục vụ chương trình Alumni Engagement năm 2026</x:v>
      </x:c>
      <x:c r="H66" t="str">
        <x:v>CAID - Partnership</x:v>
      </x:c>
      <x:c r="I66" t="n">
        <x:v>200</x:v>
      </x:c>
      <x:c r="J66" t="n">
        <x:v>30000000</x:v>
      </x:c>
      <x:c r="K66" t="n">
        <x:f>I66*J66</x:f>
        <x:v>6000000000</x:v>
      </x:c>
      <x:c r="L66" t="str">
        <x:v>Trung bình</x:v>
      </x:c>
      <x:c r="M66" t="str">
        <x:v>Đã thanh toán</x:v>
      </x:c>
      <x:c r="N66" t="str">
        <x:v>Dữ liệu mẫu phục vụ demo quản trị ngân sách</x:v>
      </x:c>
    </x:row>
    <x:row r="67">
      <x:c r="A67" t="str">
        <x:v>DT-CAID-2026-066</x:v>
      </x:c>
      <x:c r="B67" t="str">
        <x:v>Phòng CAID</x:v>
      </x:c>
      <x:c r="C67" t="n">
        <x:v>2026</x:v>
      </x:c>
      <x:c r="D67" t="str">
        <x:v>Q2</x:v>
      </x:c>
      <x:c r="E67" t="str">
        <x:v>Mentorship Program</x:v>
      </x:c>
      <x:c r="F67" t="str">
        <x:v>Chăm sóc nhà tài trợ</x:v>
      </x:c>
      <x:c r="G67" t="str">
        <x:v>Chăm sóc nhà tài trợ phục vụ chương trình Mentorship Program năm 2026</x:v>
      </x:c>
      <x:c r="H67" t="str">
        <x:v>CAID - Career Services</x:v>
      </x:c>
      <x:c r="I67" t="n">
        <x:v>200</x:v>
      </x:c>
      <x:c r="J67" t="n">
        <x:v>250000000</x:v>
      </x:c>
      <x:c r="K67" t="n">
        <x:f>I67*J67</x:f>
        <x:v>50000000000</x:v>
      </x:c>
      <x:c r="L67" t="str">
        <x:v>Cao</x:v>
      </x:c>
      <x:c r="M67" t="str">
        <x:v>Nháp</x:v>
      </x:c>
      <x:c r="N67" t="str">
        <x:v>Dữ liệu mẫu phục vụ demo quản trị ngân sách</x:v>
      </x:c>
    </x:row>
    <x:row r="68">
      <x:c r="A68" t="str">
        <x:v>DT-CAID-2026-067</x:v>
      </x:c>
      <x:c r="B68" t="str">
        <x:v>Phòng CAID</x:v>
      </x:c>
      <x:c r="C68" t="n">
        <x:v>2026</x:v>
      </x:c>
      <x:c r="D68" t="str">
        <x:v>Q3</x:v>
      </x:c>
      <x:c r="E68" t="str">
        <x:v>Mentorship Program</x:v>
      </x:c>
      <x:c r="F68" t="str">
        <x:v>Diễn giả/chuyên gia</x:v>
      </x:c>
      <x:c r="G68" t="str">
        <x:v>Diễn giả/chuyên gia phục vụ chương trình Mentorship Program năm 2026</x:v>
      </x:c>
      <x:c r="H68" t="str">
        <x:v>CAID - Partnership</x:v>
      </x:c>
      <x:c r="I68" t="n">
        <x:v>50</x:v>
      </x:c>
      <x:c r="J68" t="n">
        <x:v>20000000</x:v>
      </x:c>
      <x:c r="K68" t="n">
        <x:f>I68*J68</x:f>
        <x:v>1000000000</x:v>
      </x:c>
      <x:c r="L68" t="str">
        <x:v>Trung bình</x:v>
      </x:c>
      <x:c r="M68" t="str">
        <x:v>Đã gửi duyệt</x:v>
      </x:c>
      <x:c r="N68" t="str">
        <x:v>Dữ liệu mẫu phục vụ demo quản trị ngân sách</x:v>
      </x:c>
    </x:row>
    <x:row r="69">
      <x:c r="A69" t="str">
        <x:v>DT-CAID-2026-068</x:v>
      </x:c>
      <x:c r="B69" t="str">
        <x:v>Phòng CAID</x:v>
      </x:c>
      <x:c r="C69" t="n">
        <x:v>2026</x:v>
      </x:c>
      <x:c r="D69" t="str">
        <x:v>Q4</x:v>
      </x:c>
      <x:c r="E69" t="str">
        <x:v>Alumni Engagement</x:v>
      </x:c>
      <x:c r="F69" t="str">
        <x:v>Hội thảo doanh nghiệp</x:v>
      </x:c>
      <x:c r="G69" t="str">
        <x:v>Hội thảo doanh nghiệp phục vụ chương trình Alumni Engagement năm 2026</x:v>
      </x:c>
      <x:c r="H69" t="str">
        <x:v>CAID - Alumni Relations</x:v>
      </x:c>
      <x:c r="I69" t="n">
        <x:v>5</x:v>
      </x:c>
      <x:c r="J69" t="n">
        <x:v>20000000</x:v>
      </x:c>
      <x:c r="K69" t="n">
        <x:f>I69*J69</x:f>
        <x:v>100000000</x:v>
      </x:c>
      <x:c r="L69" t="str">
        <x:v>Trung bình</x:v>
      </x:c>
      <x:c r="M69" t="str">
        <x:v>Đã duyệt</x:v>
      </x:c>
      <x:c r="N69" t="str">
        <x:v>Dữ liệu mẫu phục vụ demo quản trị ngân sách</x:v>
      </x:c>
    </x:row>
    <x:row r="70">
      <x:c r="A70" t="str">
        <x:v>DT-CAID-2026-069</x:v>
      </x:c>
      <x:c r="B70" t="str">
        <x:v>Phòng CAID</x:v>
      </x:c>
      <x:c r="C70" t="n">
        <x:v>2026</x:v>
      </x:c>
      <x:c r="D70" t="str">
        <x:v>Q1</x:v>
      </x:c>
      <x:c r="E70" t="str">
        <x:v>Employer Branding</x:v>
      </x:c>
      <x:c r="F70" t="str">
        <x:v>Di chuyển công tác</x:v>
      </x:c>
      <x:c r="G70" t="str">
        <x:v>Di chuyển công tác phục vụ chương trình Employer Branding năm 2026</x:v>
      </x:c>
      <x:c r="H70" t="str">
        <x:v>CAID - Career Services</x:v>
      </x:c>
      <x:c r="I70" t="n">
        <x:v>100</x:v>
      </x:c>
      <x:c r="J70" t="n">
        <x:v>30000000</x:v>
      </x:c>
      <x:c r="K70" t="n">
        <x:f>I70*J70</x:f>
        <x:v>3000000000</x:v>
      </x:c>
      <x:c r="L70" t="str">
        <x:v>Trung bình</x:v>
      </x:c>
      <x:c r="M70" t="str">
        <x:v>Đã gửi duyệt</x:v>
      </x:c>
      <x:c r="N70" t="str">
        <x:v>Dữ liệu mẫu phục vụ demo quản trị ngân sách</x:v>
      </x:c>
    </x:row>
    <x:row r="71">
      <x:c r="A71" t="str">
        <x:v>DT-CAID-2026-070</x:v>
      </x:c>
      <x:c r="B71" t="str">
        <x:v>Phòng CAID</x:v>
      </x:c>
      <x:c r="C71" t="n">
        <x:v>2026</x:v>
      </x:c>
      <x:c r="D71" t="str">
        <x:v>Q2</x:v>
      </x:c>
      <x:c r="E71" t="str">
        <x:v>Company Visit</x:v>
      </x:c>
      <x:c r="F71" t="str">
        <x:v>Tổ chức sự kiện</x:v>
      </x:c>
      <x:c r="G71" t="str">
        <x:v>Tổ chức sự kiện phục vụ chương trình Company Visit năm 2026</x:v>
      </x:c>
      <x:c r="H71" t="str">
        <x:v>CAID - Career Services</x:v>
      </x:c>
      <x:c r="I71" t="n">
        <x:v>3</x:v>
      </x:c>
      <x:c r="J71" t="n">
        <x:v>15000000</x:v>
      </x:c>
      <x:c r="K71" t="n">
        <x:f>I71*J71</x:f>
        <x:v>45000000</x:v>
      </x:c>
      <x:c r="L71" t="str">
        <x:v>Cao</x:v>
      </x:c>
      <x:c r="M71" t="str">
        <x:v>Đã duyệt</x:v>
      </x:c>
      <x:c r="N71" t="str">
        <x:v>Dữ liệu mẫu phục vụ demo quản trị ngân sách</x:v>
      </x:c>
    </x:row>
    <x:row r="72">
      <x:c r="A72" t="str">
        <x:v>DT-CAID-2026-071</x:v>
      </x:c>
      <x:c r="B72" t="str">
        <x:v>Phòng CAID</x:v>
      </x:c>
      <x:c r="C72" t="n">
        <x:v>2026</x:v>
      </x:c>
      <x:c r="D72" t="str">
        <x:v>Q3</x:v>
      </x:c>
      <x:c r="E72" t="str">
        <x:v>Mentorship Program</x:v>
      </x:c>
      <x:c r="F72" t="str">
        <x:v>Diễn giả/chuyên gia</x:v>
      </x:c>
      <x:c r="G72" t="str">
        <x:v>Diễn giả/chuyên gia phục vụ chương trình Mentorship Program năm 2026</x:v>
      </x:c>
      <x:c r="H72" t="str">
        <x:v>CAID - Alumni Relations</x:v>
      </x:c>
      <x:c r="I72" t="n">
        <x:v>10</x:v>
      </x:c>
      <x:c r="J72" t="n">
        <x:v>50000000</x:v>
      </x:c>
      <x:c r="K72" t="n">
        <x:f>I72*J72</x:f>
        <x:v>500000000</x:v>
      </x:c>
      <x:c r="L72" t="str">
        <x:v>Trung bình</x:v>
      </x:c>
      <x:c r="M72" t="str">
        <x:v>Đã duyệt</x:v>
      </x:c>
      <x:c r="N72" t="str">
        <x:v>Dữ liệu mẫu phục vụ demo quản trị ngân sách</x:v>
      </x:c>
    </x:row>
    <x:row r="73">
      <x:c r="A73" t="str">
        <x:v>DT-CAID-2026-072</x:v>
      </x:c>
      <x:c r="B73" t="str">
        <x:v>Phòng CAID</x:v>
      </x:c>
      <x:c r="C73" t="n">
        <x:v>2026</x:v>
      </x:c>
      <x:c r="D73" t="str">
        <x:v>Q4</x:v>
      </x:c>
      <x:c r="E73" t="str">
        <x:v>Development Event</x:v>
      </x:c>
      <x:c r="F73" t="str">
        <x:v>Chăm sóc nhà tài trợ</x:v>
      </x:c>
      <x:c r="G73" t="str">
        <x:v>Chăm sóc nhà tài trợ phục vụ chương trình Development Event năm 2026</x:v>
      </x:c>
      <x:c r="H73" t="str">
        <x:v>CAID - Partnership</x:v>
      </x:c>
      <x:c r="I73" t="n">
        <x:v>1</x:v>
      </x:c>
      <x:c r="J73" t="n">
        <x:v>150000000</x:v>
      </x:c>
      <x:c r="K73" t="n">
        <x:f>I73*J73</x:f>
        <x:v>150000000</x:v>
      </x:c>
      <x:c r="L73" t="str">
        <x:v>Cao</x:v>
      </x:c>
      <x:c r="M73" t="str">
        <x:v>Đã duyệt</x:v>
      </x:c>
      <x:c r="N73" t="str">
        <x:v>Dữ liệu mẫu phục vụ demo quản trị ngân sách</x:v>
      </x:c>
    </x:row>
    <x:row r="74">
      <x:c r="A74" t="str">
        <x:v>DT-CAID-2026-073</x:v>
      </x:c>
      <x:c r="B74" t="str">
        <x:v>Phòng CAID</x:v>
      </x:c>
      <x:c r="C74" t="n">
        <x:v>2026</x:v>
      </x:c>
      <x:c r="D74" t="str">
        <x:v>Q1</x:v>
      </x:c>
      <x:c r="E74" t="str">
        <x:v>Industry Advisory Board</x:v>
      </x:c>
      <x:c r="F74" t="str">
        <x:v>Diễn giả/chuyên gia</x:v>
      </x:c>
      <x:c r="G74" t="str">
        <x:v>Diễn giả/chuyên gia phục vụ chương trình Industry Advisory Board năm 2026</x:v>
      </x:c>
      <x:c r="H74" t="str">
        <x:v>CAID - Development</x:v>
      </x:c>
      <x:c r="I74" t="n">
        <x:v>1</x:v>
      </x:c>
      <x:c r="J74" t="n">
        <x:v>12000000</x:v>
      </x:c>
      <x:c r="K74" t="n">
        <x:f>I74*J74</x:f>
        <x:v>12000000</x:v>
      </x:c>
      <x:c r="L74" t="str">
        <x:v>Cao</x:v>
      </x:c>
      <x:c r="M74" t="str">
        <x:v>Đã gửi duyệt</x:v>
      </x:c>
      <x:c r="N74" t="str">
        <x:v>Dữ liệu mẫu phục vụ demo quản trị ngân sách</x:v>
      </x:c>
    </x:row>
    <x:row r="75">
      <x:c r="A75" t="str">
        <x:v>DT-CAID-2026-074</x:v>
      </x:c>
      <x:c r="B75" t="str">
        <x:v>Phòng CAID</x:v>
      </x:c>
      <x:c r="C75" t="n">
        <x:v>2026</x:v>
      </x:c>
      <x:c r="D75" t="str">
        <x:v>Q2</x:v>
      </x:c>
      <x:c r="E75" t="str">
        <x:v>Corporate Partnership</x:v>
      </x:c>
      <x:c r="F75" t="str">
        <x:v>Tổ chức sự kiện</x:v>
      </x:c>
      <x:c r="G75" t="str">
        <x:v>Tổ chức sự kiện phục vụ chương trình Corporate Partnership năm 2026</x:v>
      </x:c>
      <x:c r="H75" t="str">
        <x:v>CAID - Partnership</x:v>
      </x:c>
      <x:c r="I75" t="n">
        <x:v>2</x:v>
      </x:c>
      <x:c r="J75" t="n">
        <x:v>50000000</x:v>
      </x:c>
      <x:c r="K75" t="n">
        <x:f>I75*J75</x:f>
        <x:v>100000000</x:v>
      </x:c>
      <x:c r="L75" t="str">
        <x:v>Trung bình</x:v>
      </x:c>
      <x:c r="M75" t="str">
        <x:v>Đã thanh toán</x:v>
      </x:c>
      <x:c r="N75" t="str">
        <x:v>Dữ liệu mẫu phục vụ demo quản trị ngân sách</x:v>
      </x:c>
    </x:row>
    <x:row r="76">
      <x:c r="A76" t="str">
        <x:v>DT-CAID-2026-075</x:v>
      </x:c>
      <x:c r="B76" t="str">
        <x:v>Phòng CAID</x:v>
      </x:c>
      <x:c r="C76" t="n">
        <x:v>2026</x:v>
      </x:c>
      <x:c r="D76" t="str">
        <x:v>Q3</x:v>
      </x:c>
      <x:c r="E76" t="str">
        <x:v>Industry Advisory Board</x:v>
      </x:c>
      <x:c r="F76" t="str">
        <x:v>Thuê địa điểm</x:v>
      </x:c>
      <x:c r="G76" t="str">
        <x:v>Thuê địa điểm phục vụ chương trình Industry Advisory Board năm 2026</x:v>
      </x:c>
      <x:c r="H76" t="str">
        <x:v>CAID - Alumni Relations</x:v>
      </x:c>
      <x:c r="I76" t="n">
        <x:v>200</x:v>
      </x:c>
      <x:c r="J76" t="n">
        <x:v>250000000</x:v>
      </x:c>
      <x:c r="K76" t="n">
        <x:f>I76*J76</x:f>
        <x:v>50000000000</x:v>
      </x:c>
      <x:c r="L76" t="str">
        <x:v>Trung bình</x:v>
      </x:c>
      <x:c r="M76" t="str">
        <x:v>Đã gửi duyệt</x:v>
      </x:c>
      <x:c r="N76" t="str">
        <x:v>Dữ liệu mẫu phục vụ demo quản trị ngân sách</x:v>
      </x:c>
    </x:row>
    <x:row r="77">
      <x:c r="A77" t="str">
        <x:v>DT-CAID-2026-076</x:v>
      </x:c>
      <x:c r="B77" t="str">
        <x:v>Phòng CAID</x:v>
      </x:c>
      <x:c r="C77" t="n">
        <x:v>2026</x:v>
      </x:c>
      <x:c r="D77" t="str">
        <x:v>Q4</x:v>
      </x:c>
      <x:c r="E77" t="str">
        <x:v>Mentorship Program</x:v>
      </x:c>
      <x:c r="F77" t="str">
        <x:v>Chăm sóc nhà tài trợ</x:v>
      </x:c>
      <x:c r="G77" t="str">
        <x:v>Chăm sóc nhà tài trợ phục vụ chương trình Mentorship Program năm 2026</x:v>
      </x:c>
      <x:c r="H77" t="str">
        <x:v>CAID - Alumni Relations</x:v>
      </x:c>
      <x:c r="I77" t="n">
        <x:v>1</x:v>
      </x:c>
      <x:c r="J77" t="n">
        <x:v>5000000</x:v>
      </x:c>
      <x:c r="K77" t="n">
        <x:f>I77*J77</x:f>
        <x:v>5000000</x:v>
      </x:c>
      <x:c r="L77" t="str">
        <x:v>Cao</x:v>
      </x:c>
      <x:c r="M77" t="str">
        <x:v>Đã thanh toán</x:v>
      </x:c>
      <x:c r="N77" t="str">
        <x:v>Dữ liệu mẫu phục vụ demo quản trị ngân sách</x:v>
      </x:c>
    </x:row>
    <x:row r="78">
      <x:c r="A78" t="str">
        <x:v>DT-CAID-2026-077</x:v>
      </x:c>
      <x:c r="B78" t="str">
        <x:v>Phòng CAID</x:v>
      </x:c>
      <x:c r="C78" t="n">
        <x:v>2026</x:v>
      </x:c>
      <x:c r="D78" t="str">
        <x:v>Q1</x:v>
      </x:c>
      <x:c r="E78" t="str">
        <x:v>Corporate Training</x:v>
      </x:c>
      <x:c r="F78" t="str">
        <x:v>Phần mềm CRM</x:v>
      </x:c>
      <x:c r="G78" t="str">
        <x:v>Phần mềm CRM phục vụ chương trình Corporate Training năm 2026</x:v>
      </x:c>
      <x:c r="H78" t="str">
        <x:v>CAID - Career Services</x:v>
      </x:c>
      <x:c r="I78" t="n">
        <x:v>1</x:v>
      </x:c>
      <x:c r="J78" t="n">
        <x:v>250000000</x:v>
      </x:c>
      <x:c r="K78" t="n">
        <x:f>I78*J78</x:f>
        <x:v>250000000</x:v>
      </x:c>
      <x:c r="L78" t="str">
        <x:v>Thấp</x:v>
      </x:c>
      <x:c r="M78" t="str">
        <x:v>Nháp</x:v>
      </x:c>
      <x:c r="N78" t="str">
        <x:v>Dữ liệu mẫu phục vụ demo quản trị ngân sách</x:v>
      </x:c>
    </x:row>
    <x:row r="79">
      <x:c r="A79" t="str">
        <x:v>DT-CAID-2026-078</x:v>
      </x:c>
      <x:c r="B79" t="str">
        <x:v>Phòng CAID</x:v>
      </x:c>
      <x:c r="C79" t="n">
        <x:v>2026</x:v>
      </x:c>
      <x:c r="D79" t="str">
        <x:v>Q2</x:v>
      </x:c>
      <x:c r="E79" t="str">
        <x:v>Internship Program</x:v>
      </x:c>
      <x:c r="F79" t="str">
        <x:v>In ấn tài liệu</x:v>
      </x:c>
      <x:c r="G79" t="str">
        <x:v>In ấn tài liệu phục vụ chương trình Internship Program năm 2026</x:v>
      </x:c>
      <x:c r="H79" t="str">
        <x:v>CAID - Development</x:v>
      </x:c>
      <x:c r="I79" t="n">
        <x:v>100</x:v>
      </x:c>
      <x:c r="J79" t="n">
        <x:v>75000000</x:v>
      </x:c>
      <x:c r="K79" t="n">
        <x:f>I79*J79</x:f>
        <x:v>7500000000</x:v>
      </x:c>
      <x:c r="L79" t="str">
        <x:v>Thấp</x:v>
      </x:c>
      <x:c r="M79" t="str">
        <x:v>Đã thanh toán</x:v>
      </x:c>
      <x:c r="N79" t="str">
        <x:v>Dữ liệu mẫu phục vụ demo quản trị ngân sách</x:v>
      </x:c>
    </x:row>
    <x:row r="80">
      <x:c r="A80" t="str">
        <x:v>DT-CAID-2026-079</x:v>
      </x:c>
      <x:c r="B80" t="str">
        <x:v>Phòng CAID</x:v>
      </x:c>
      <x:c r="C80" t="n">
        <x:v>2026</x:v>
      </x:c>
      <x:c r="D80" t="str">
        <x:v>Q3</x:v>
      </x:c>
      <x:c r="E80" t="str">
        <x:v>Industry Advisory Board</x:v>
      </x:c>
      <x:c r="F80" t="str">
        <x:v>Chăm sóc nhà tài trợ</x:v>
      </x:c>
      <x:c r="G80" t="str">
        <x:v>Chăm sóc nhà tài trợ phục vụ chương trình Industry Advisory Board năm 2026</x:v>
      </x:c>
      <x:c r="H80" t="str">
        <x:v>CAID - Alumni Relations</x:v>
      </x:c>
      <x:c r="I80" t="n">
        <x:v>20</x:v>
      </x:c>
      <x:c r="J80" t="n">
        <x:v>30000000</x:v>
      </x:c>
      <x:c r="K80" t="n">
        <x:f>I80*J80</x:f>
        <x:v>600000000</x:v>
      </x:c>
      <x:c r="L80" t="str">
        <x:v>Thấp</x:v>
      </x:c>
      <x:c r="M80" t="str">
        <x:v>Đã duyệt</x:v>
      </x:c>
      <x:c r="N80" t="str">
        <x:v>Dữ liệu mẫu phục vụ demo quản trị ngân sách</x:v>
      </x:c>
    </x:row>
    <x:row r="81">
      <x:c r="A81" t="str">
        <x:v>DT-CAID-2026-080</x:v>
      </x:c>
      <x:c r="B81" t="str">
        <x:v>Phòng CAID</x:v>
      </x:c>
      <x:c r="C81" t="n">
        <x:v>2026</x:v>
      </x:c>
      <x:c r="D81" t="str">
        <x:v>Q4</x:v>
      </x:c>
      <x:c r="E81" t="str">
        <x:v>MoU Signing</x:v>
      </x:c>
      <x:c r="F81" t="str">
        <x:v>In ấn tài liệu</x:v>
      </x:c>
      <x:c r="G81" t="str">
        <x:v>In ấn tài liệu phục vụ chương trình MoU Signing năm 2026</x:v>
      </x:c>
      <x:c r="H81" t="str">
        <x:v>CAID - Development</x:v>
      </x:c>
      <x:c r="I81" t="n">
        <x:v>3</x:v>
      </x:c>
      <x:c r="J81" t="n">
        <x:v>12000000</x:v>
      </x:c>
      <x:c r="K81" t="n">
        <x:f>I81*J81</x:f>
        <x:v>36000000</x:v>
      </x:c>
      <x:c r="L81" t="str">
        <x:v>Trung bình</x:v>
      </x:c>
      <x:c r="M81" t="str">
        <x:v>Đã duyệt</x:v>
      </x:c>
      <x:c r="N81" t="str">
        <x:v>Dữ liệu mẫu phục vụ demo quản trị ngân sách</x:v>
      </x:c>
    </x:row>
    <x:row r="82">
      <x:c r="A82" t="str">
        <x:v>DT-CAID-2026-081</x:v>
      </x:c>
      <x:c r="B82" t="str">
        <x:v>Phòng CAID</x:v>
      </x:c>
      <x:c r="C82" t="n">
        <x:v>2026</x:v>
      </x:c>
      <x:c r="D82" t="str">
        <x:v>Q1</x:v>
      </x:c>
      <x:c r="E82" t="str">
        <x:v>Mentorship Program</x:v>
      </x:c>
      <x:c r="F82" t="str">
        <x:v>Thuê địa điểm</x:v>
      </x:c>
      <x:c r="G82" t="str">
        <x:v>Thuê địa điểm phục vụ chương trình Mentorship Program năm 2026</x:v>
      </x:c>
      <x:c r="H82" t="str">
        <x:v>CAID - Partnership</x:v>
      </x:c>
      <x:c r="I82" t="n">
        <x:v>3</x:v>
      </x:c>
      <x:c r="J82" t="n">
        <x:v>50000000</x:v>
      </x:c>
      <x:c r="K82" t="n">
        <x:f>I82*J82</x:f>
        <x:v>150000000</x:v>
      </x:c>
      <x:c r="L82" t="str">
        <x:v>Trung bình</x:v>
      </x:c>
      <x:c r="M82" t="str">
        <x:v>Đã gửi duyệt</x:v>
      </x:c>
      <x:c r="N82" t="str">
        <x:v>Dữ liệu mẫu phục vụ demo quản trị ngân sách</x:v>
      </x:c>
    </x:row>
    <x:row r="83">
      <x:c r="A83" t="str">
        <x:v>DT-CAID-2026-082</x:v>
      </x:c>
      <x:c r="B83" t="str">
        <x:v>Phòng CAID</x:v>
      </x:c>
      <x:c r="C83" t="n">
        <x:v>2026</x:v>
      </x:c>
      <x:c r="D83" t="str">
        <x:v>Q2</x:v>
      </x:c>
      <x:c r="E83" t="str">
        <x:v>Fundraising Campaign</x:v>
      </x:c>
      <x:c r="F83" t="str">
        <x:v>Diễn giả/chuyên gia</x:v>
      </x:c>
      <x:c r="G83" t="str">
        <x:v>Diễn giả/chuyên gia phục vụ chương trình Fundraising Campaign năm 2026</x:v>
      </x:c>
      <x:c r="H83" t="str">
        <x:v>CAID - Career Services</x:v>
      </x:c>
      <x:c r="I83" t="n">
        <x:v>2</x:v>
      </x:c>
      <x:c r="J83" t="n">
        <x:v>100000000</x:v>
      </x:c>
      <x:c r="K83" t="n">
        <x:f>I83*J83</x:f>
        <x:v>200000000</x:v>
      </x:c>
      <x:c r="L83" t="str">
        <x:v>Cao</x:v>
      </x:c>
      <x:c r="M83" t="str">
        <x:v>Đã gửi duyệt</x:v>
      </x:c>
      <x:c r="N83" t="str">
        <x:v>Dữ liệu mẫu phục vụ demo quản trị ngân sách</x:v>
      </x:c>
    </x:row>
    <x:row r="84">
      <x:c r="A84" t="str">
        <x:v>DT-CAID-2026-083</x:v>
      </x:c>
      <x:c r="B84" t="str">
        <x:v>Phòng CAID</x:v>
      </x:c>
      <x:c r="C84" t="n">
        <x:v>2026</x:v>
      </x:c>
      <x:c r="D84" t="str">
        <x:v>Q3</x:v>
      </x:c>
      <x:c r="E84" t="str">
        <x:v>Employer Branding</x:v>
      </x:c>
      <x:c r="F84" t="str">
        <x:v>Tiếp khách doanh nghiệp</x:v>
      </x:c>
      <x:c r="G84" t="str">
        <x:v>Tiếp khách doanh nghiệp phục vụ chương trình Employer Branding năm 2026</x:v>
      </x:c>
      <x:c r="H84" t="str">
        <x:v>CAID - Development</x:v>
      </x:c>
      <x:c r="I84" t="n">
        <x:v>5</x:v>
      </x:c>
      <x:c r="J84" t="n">
        <x:v>30000000</x:v>
      </x:c>
      <x:c r="K84" t="n">
        <x:f>I84*J84</x:f>
        <x:v>150000000</x:v>
      </x:c>
      <x:c r="L84" t="str">
        <x:v>Trung bình</x:v>
      </x:c>
      <x:c r="M84" t="str">
        <x:v>Đã duyệt</x:v>
      </x:c>
      <x:c r="N84" t="str">
        <x:v>Dữ liệu mẫu phục vụ demo quản trị ngân sách</x:v>
      </x:c>
    </x:row>
    <x:row r="85">
      <x:c r="A85" t="str">
        <x:v>DT-CAID-2026-084</x:v>
      </x:c>
      <x:c r="B85" t="str">
        <x:v>Phòng CAID</x:v>
      </x:c>
      <x:c r="C85" t="n">
        <x:v>2026</x:v>
      </x:c>
      <x:c r="D85" t="str">
        <x:v>Q4</x:v>
      </x:c>
      <x:c r="E85" t="str">
        <x:v>Employer Branding</x:v>
      </x:c>
      <x:c r="F85" t="str">
        <x:v>Di chuyển công tác</x:v>
      </x:c>
      <x:c r="G85" t="str">
        <x:v>Di chuyển công tác phục vụ chương trình Employer Branding năm 2026</x:v>
      </x:c>
      <x:c r="H85" t="str">
        <x:v>CAID - Partnership</x:v>
      </x:c>
      <x:c r="I85" t="n">
        <x:v>5</x:v>
      </x:c>
      <x:c r="J85" t="n">
        <x:v>100000000</x:v>
      </x:c>
      <x:c r="K85" t="n">
        <x:f>I85*J85</x:f>
        <x:v>500000000</x:v>
      </x:c>
      <x:c r="L85" t="str">
        <x:v>Thấp</x:v>
      </x:c>
      <x:c r="M85" t="str">
        <x:v>Đã thanh toán</x:v>
      </x:c>
      <x:c r="N85" t="str">
        <x:v>Dữ liệu mẫu phục vụ demo quản trị ngân sách</x:v>
      </x:c>
    </x:row>
    <x:row r="86">
      <x:c r="A86" t="str">
        <x:v>DT-CAID-2026-085</x:v>
      </x:c>
      <x:c r="B86" t="str">
        <x:v>Phòng CAID</x:v>
      </x:c>
      <x:c r="C86" t="n">
        <x:v>2026</x:v>
      </x:c>
      <x:c r="D86" t="str">
        <x:v>Q1</x:v>
      </x:c>
      <x:c r="E86" t="str">
        <x:v>Scholarship Donor Program</x:v>
      </x:c>
      <x:c r="F86" t="str">
        <x:v>In ấn tài liệu</x:v>
      </x:c>
      <x:c r="G86" t="str">
        <x:v>In ấn tài liệu phục vụ chương trình Scholarship Donor Program năm 2026</x:v>
      </x:c>
      <x:c r="H86" t="str">
        <x:v>CAID - Alumni Relations</x:v>
      </x:c>
      <x:c r="I86" t="n">
        <x:v>5</x:v>
      </x:c>
      <x:c r="J86" t="n">
        <x:v>150000000</x:v>
      </x:c>
      <x:c r="K86" t="n">
        <x:f>I86*J86</x:f>
        <x:v>750000000</x:v>
      </x:c>
      <x:c r="L86" t="str">
        <x:v>Trung bình</x:v>
      </x:c>
      <x:c r="M86" t="str">
        <x:v>Đã duyệt</x:v>
      </x:c>
      <x:c r="N86" t="str">
        <x:v>Dữ liệu mẫu phục vụ demo quản trị ngân sách</x:v>
      </x:c>
    </x:row>
    <x:row r="87">
      <x:c r="A87" t="str">
        <x:v>DT-CAID-2026-086</x:v>
      </x:c>
      <x:c r="B87" t="str">
        <x:v>Phòng CAID</x:v>
      </x:c>
      <x:c r="C87" t="n">
        <x:v>2026</x:v>
      </x:c>
      <x:c r="D87" t="str">
        <x:v>Q2</x:v>
      </x:c>
      <x:c r="E87" t="str">
        <x:v>Development Event</x:v>
      </x:c>
      <x:c r="F87" t="str">
        <x:v>Tài trợ sinh viên</x:v>
      </x:c>
      <x:c r="G87" t="str">
        <x:v>Tài trợ sinh viên phục vụ chương trình Development Event năm 2026</x:v>
      </x:c>
      <x:c r="H87" t="str">
        <x:v>CAID - Career Services</x:v>
      </x:c>
      <x:c r="I87" t="n">
        <x:v>2</x:v>
      </x:c>
      <x:c r="J87" t="n">
        <x:v>50000000</x:v>
      </x:c>
      <x:c r="K87" t="n">
        <x:f>I87*J87</x:f>
        <x:v>100000000</x:v>
      </x:c>
      <x:c r="L87" t="str">
        <x:v>Cao</x:v>
      </x:c>
      <x:c r="M87" t="str">
        <x:v>Đã duyệt</x:v>
      </x:c>
      <x:c r="N87" t="str">
        <x:v>Dữ liệu mẫu phục vụ demo quản trị ngân sách</x:v>
      </x:c>
    </x:row>
    <x:row r="88">
      <x:c r="A88" t="str">
        <x:v>DT-CAID-2026-087</x:v>
      </x:c>
      <x:c r="B88" t="str">
        <x:v>Phòng CAID</x:v>
      </x:c>
      <x:c r="C88" t="n">
        <x:v>2026</x:v>
      </x:c>
      <x:c r="D88" t="str">
        <x:v>Q3</x:v>
      </x:c>
      <x:c r="E88" t="str">
        <x:v>Scholarship Donor Program</x:v>
      </x:c>
      <x:c r="F88" t="str">
        <x:v>Diễn giả/chuyên gia</x:v>
      </x:c>
      <x:c r="G88" t="str">
        <x:v>Diễn giả/chuyên gia phục vụ chương trình Scholarship Donor Program năm 2026</x:v>
      </x:c>
      <x:c r="H88" t="str">
        <x:v>CAID - Alumni Relations</x:v>
      </x:c>
      <x:c r="I88" t="n">
        <x:v>2</x:v>
      </x:c>
      <x:c r="J88" t="n">
        <x:v>200000000</x:v>
      </x:c>
      <x:c r="K88" t="n">
        <x:f>I88*J88</x:f>
        <x:v>400000000</x:v>
      </x:c>
      <x:c r="L88" t="str">
        <x:v>Thấp</x:v>
      </x:c>
      <x:c r="M88" t="str">
        <x:v>Đã thanh toán</x:v>
      </x:c>
      <x:c r="N88" t="str">
        <x:v>Dữ liệu mẫu phục vụ demo quản trị ngân sách</x:v>
      </x:c>
    </x:row>
    <x:row r="89">
      <x:c r="A89" t="str">
        <x:v>DT-CAID-2026-088</x:v>
      </x:c>
      <x:c r="B89" t="str">
        <x:v>Phòng CAID</x:v>
      </x:c>
      <x:c r="C89" t="n">
        <x:v>2026</x:v>
      </x:c>
      <x:c r="D89" t="str">
        <x:v>Q4</x:v>
      </x:c>
      <x:c r="E89" t="str">
        <x:v>Company Visit</x:v>
      </x:c>
      <x:c r="F89" t="str">
        <x:v>Tổ chức sự kiện</x:v>
      </x:c>
      <x:c r="G89" t="str">
        <x:v>Tổ chức sự kiện phục vụ chương trình Company Visit năm 2026</x:v>
      </x:c>
      <x:c r="H89" t="str">
        <x:v>CAID - Partnership</x:v>
      </x:c>
      <x:c r="I89" t="n">
        <x:v>5</x:v>
      </x:c>
      <x:c r="J89" t="n">
        <x:v>100000000</x:v>
      </x:c>
      <x:c r="K89" t="n">
        <x:f>I89*J89</x:f>
        <x:v>500000000</x:v>
      </x:c>
      <x:c r="L89" t="str">
        <x:v>Cao</x:v>
      </x:c>
      <x:c r="M89" t="str">
        <x:v>Đã duyệt</x:v>
      </x:c>
      <x:c r="N89" t="str">
        <x:v>Dữ liệu mẫu phục vụ demo quản trị ngân sách</x:v>
      </x:c>
    </x:row>
    <x:row r="90">
      <x:c r="A90" t="str">
        <x:v>DT-CAID-2026-089</x:v>
      </x:c>
      <x:c r="B90" t="str">
        <x:v>Phòng CAID</x:v>
      </x:c>
      <x:c r="C90" t="n">
        <x:v>2026</x:v>
      </x:c>
      <x:c r="D90" t="str">
        <x:v>Q1</x:v>
      </x:c>
      <x:c r="E90" t="str">
        <x:v>Donor Stewardship</x:v>
      </x:c>
      <x:c r="F90" t="str">
        <x:v>In ấn tài liệu</x:v>
      </x:c>
      <x:c r="G90" t="str">
        <x:v>In ấn tài liệu phục vụ chương trình Donor Stewardship năm 2026</x:v>
      </x:c>
      <x:c r="H90" t="str">
        <x:v>CAID - Development</x:v>
      </x:c>
      <x:c r="I90" t="n">
        <x:v>1</x:v>
      </x:c>
      <x:c r="J90" t="n">
        <x:v>3000000</x:v>
      </x:c>
      <x:c r="K90" t="n">
        <x:f>I90*J90</x:f>
        <x:v>3000000</x:v>
      </x:c>
      <x:c r="L90" t="str">
        <x:v>Cao</x:v>
      </x:c>
      <x:c r="M90" t="str">
        <x:v>Đã gửi duyệt</x:v>
      </x:c>
      <x:c r="N90" t="str">
        <x:v>Dữ liệu mẫu phục vụ demo quản trị ngân sách</x:v>
      </x:c>
    </x:row>
    <x:row r="91">
      <x:c r="A91" t="str">
        <x:v>DT-CAID-2026-090</x:v>
      </x:c>
      <x:c r="B91" t="str">
        <x:v>Phòng CAID</x:v>
      </x:c>
      <x:c r="C91" t="n">
        <x:v>2026</x:v>
      </x:c>
      <x:c r="D91" t="str">
        <x:v>Q2</x:v>
      </x:c>
      <x:c r="E91" t="str">
        <x:v>Fundraising Campaign</x:v>
      </x:c>
      <x:c r="F91" t="str">
        <x:v>Diễn giả/chuyên gia</x:v>
      </x:c>
      <x:c r="G91" t="str">
        <x:v>Diễn giả/chuyên gia phục vụ chương trình Fundraising Campaign năm 2026</x:v>
      </x:c>
      <x:c r="H91" t="str">
        <x:v>CAID - Partnership</x:v>
      </x:c>
      <x:c r="I91" t="n">
        <x:v>3</x:v>
      </x:c>
      <x:c r="J91" t="n">
        <x:v>200000000</x:v>
      </x:c>
      <x:c r="K91" t="n">
        <x:f>I91*J91</x:f>
        <x:v>600000000</x:v>
      </x:c>
      <x:c r="L91" t="str">
        <x:v>Trung bình</x:v>
      </x:c>
      <x:c r="M91" t="str">
        <x:v>Đã duyệt</x:v>
      </x:c>
      <x:c r="N91" t="str">
        <x:v>Dữ liệu mẫu phục vụ demo quản trị ngân sách</x:v>
      </x:c>
    </x:row>
    <x:row r="92">
      <x:c r="A92" t="str">
        <x:v>DT-CAID-2026-091</x:v>
      </x:c>
      <x:c r="B92" t="str">
        <x:v>Phòng CAID</x:v>
      </x:c>
      <x:c r="C92" t="n">
        <x:v>2026</x:v>
      </x:c>
      <x:c r="D92" t="str">
        <x:v>Q3</x:v>
      </x:c>
      <x:c r="E92" t="str">
        <x:v>Corporate Partnership</x:v>
      </x:c>
      <x:c r="F92" t="str">
        <x:v>Diễn giả/chuyên gia</x:v>
      </x:c>
      <x:c r="G92" t="str">
        <x:v>Diễn giả/chuyên gia phục vụ chương trình Corporate Partnership năm 2026</x:v>
      </x:c>
      <x:c r="H92" t="str">
        <x:v>CAID - Partnership</x:v>
      </x:c>
      <x:c r="I92" t="n">
        <x:v>2</x:v>
      </x:c>
      <x:c r="J92" t="n">
        <x:v>150000000</x:v>
      </x:c>
      <x:c r="K92" t="n">
        <x:f>I92*J92</x:f>
        <x:v>300000000</x:v>
      </x:c>
      <x:c r="L92" t="str">
        <x:v>Trung bình</x:v>
      </x:c>
      <x:c r="M92" t="str">
        <x:v>Đã duyệt</x:v>
      </x:c>
      <x:c r="N92" t="str">
        <x:v>Dữ liệu mẫu phục vụ demo quản trị ngân sách</x:v>
      </x:c>
    </x:row>
    <x:row r="93">
      <x:c r="A93" t="str">
        <x:v>DT-CAID-2026-092</x:v>
      </x:c>
      <x:c r="B93" t="str">
        <x:v>Phòng CAID</x:v>
      </x:c>
      <x:c r="C93" t="n">
        <x:v>2026</x:v>
      </x:c>
      <x:c r="D93" t="str">
        <x:v>Q4</x:v>
      </x:c>
      <x:c r="E93" t="str">
        <x:v>Development Event</x:v>
      </x:c>
      <x:c r="F93" t="str">
        <x:v>Tổ chức sự kiện</x:v>
      </x:c>
      <x:c r="G93" t="str">
        <x:v>Tổ chức sự kiện phục vụ chương trình Development Event năm 2026</x:v>
      </x:c>
      <x:c r="H93" t="str">
        <x:v>CAID - Partnership</x:v>
      </x:c>
      <x:c r="I93" t="n">
        <x:v>2</x:v>
      </x:c>
      <x:c r="J93" t="n">
        <x:v>12000000</x:v>
      </x:c>
      <x:c r="K93" t="n">
        <x:f>I93*J93</x:f>
        <x:v>24000000</x:v>
      </x:c>
      <x:c r="L93" t="str">
        <x:v>Trung bình</x:v>
      </x:c>
      <x:c r="M93" t="str">
        <x:v>Đã gửi duyệt</x:v>
      </x:c>
      <x:c r="N93" t="str">
        <x:v>Dữ liệu mẫu phục vụ demo quản trị ngân sách</x:v>
      </x:c>
    </x:row>
    <x:row r="94">
      <x:c r="A94" t="str">
        <x:v>DT-CAID-2026-093</x:v>
      </x:c>
      <x:c r="B94" t="str">
        <x:v>Phòng CAID</x:v>
      </x:c>
      <x:c r="C94" t="n">
        <x:v>2026</x:v>
      </x:c>
      <x:c r="D94" t="str">
        <x:v>Q1</x:v>
      </x:c>
      <x:c r="E94" t="str">
        <x:v>MoU Signing</x:v>
      </x:c>
      <x:c r="F94" t="str">
        <x:v>Hội thảo doanh nghiệp</x:v>
      </x:c>
      <x:c r="G94" t="str">
        <x:v>Hội thảo doanh nghiệp phục vụ chương trình MoU Signing năm 2026</x:v>
      </x:c>
      <x:c r="H94" t="str">
        <x:v>CAID - Career Services</x:v>
      </x:c>
      <x:c r="I94" t="n">
        <x:v>1</x:v>
      </x:c>
      <x:c r="J94" t="n">
        <x:v>100000000</x:v>
      </x:c>
      <x:c r="K94" t="n">
        <x:f>I94*J94</x:f>
        <x:v>100000000</x:v>
      </x:c>
      <x:c r="L94" t="str">
        <x:v>Trung bình</x:v>
      </x:c>
      <x:c r="M94" t="str">
        <x:v>Đã gửi duyệt</x:v>
      </x:c>
      <x:c r="N94" t="str">
        <x:v>Dữ liệu mẫu phục vụ demo quản trị ngân sách</x:v>
      </x:c>
    </x:row>
    <x:row r="95">
      <x:c r="A95" t="str">
        <x:v>DT-CAID-2026-094</x:v>
      </x:c>
      <x:c r="B95" t="str">
        <x:v>Phòng CAID</x:v>
      </x:c>
      <x:c r="C95" t="n">
        <x:v>2026</x:v>
      </x:c>
      <x:c r="D95" t="str">
        <x:v>Q2</x:v>
      </x:c>
      <x:c r="E95" t="str">
        <x:v>Fundraising Campaign</x:v>
      </x:c>
      <x:c r="F95" t="str">
        <x:v>Truyền thông &amp; thiết kế</x:v>
      </x:c>
      <x:c r="G95" t="str">
        <x:v>Truyền thông &amp; thiết kế phục vụ chương trình Fundraising Campaign năm 2026</x:v>
      </x:c>
      <x:c r="H95" t="str">
        <x:v>CAID - Development</x:v>
      </x:c>
      <x:c r="I95" t="n">
        <x:v>2</x:v>
      </x:c>
      <x:c r="J95" t="n">
        <x:v>50000000</x:v>
      </x:c>
      <x:c r="K95" t="n">
        <x:f>I95*J95</x:f>
        <x:v>100000000</x:v>
      </x:c>
      <x:c r="L95" t="str">
        <x:v>Cao</x:v>
      </x:c>
      <x:c r="M95" t="str">
        <x:v>Nháp</x:v>
      </x:c>
      <x:c r="N95" t="str">
        <x:v>Dữ liệu mẫu phục vụ demo quản trị ngân sách</x:v>
      </x:c>
    </x:row>
    <x:row r="96">
      <x:c r="A96" t="str">
        <x:v>DT-CAID-2026-095</x:v>
      </x:c>
      <x:c r="B96" t="str">
        <x:v>Phòng CAID</x:v>
      </x:c>
      <x:c r="C96" t="n">
        <x:v>2026</x:v>
      </x:c>
      <x:c r="D96" t="str">
        <x:v>Q3</x:v>
      </x:c>
      <x:c r="E96" t="str">
        <x:v>Alumni Engagement</x:v>
      </x:c>
      <x:c r="F96" t="str">
        <x:v>Tài trợ sinh viên</x:v>
      </x:c>
      <x:c r="G96" t="str">
        <x:v>Tài trợ sinh viên phục vụ chương trình Alumni Engagement năm 2026</x:v>
      </x:c>
      <x:c r="H96" t="str">
        <x:v>CAID - Alumni Relations</x:v>
      </x:c>
      <x:c r="I96" t="n">
        <x:v>100</x:v>
      </x:c>
      <x:c r="J96" t="n">
        <x:v>30000000</x:v>
      </x:c>
      <x:c r="K96" t="n">
        <x:f>I96*J96</x:f>
        <x:v>3000000000</x:v>
      </x:c>
      <x:c r="L96" t="str">
        <x:v>Thấp</x:v>
      </x:c>
      <x:c r="M96" t="str">
        <x:v>Đã gửi duyệt</x:v>
      </x:c>
      <x:c r="N96" t="str">
        <x:v>Dữ liệu mẫu phục vụ demo quản trị ngân sách</x:v>
      </x:c>
    </x:row>
    <x:row r="97">
      <x:c r="A97" t="str">
        <x:v>DT-CAID-2026-096</x:v>
      </x:c>
      <x:c r="B97" t="str">
        <x:v>Phòng CAID</x:v>
      </x:c>
      <x:c r="C97" t="n">
        <x:v>2026</x:v>
      </x:c>
      <x:c r="D97" t="str">
        <x:v>Q4</x:v>
      </x:c>
      <x:c r="E97" t="str">
        <x:v>Industry Advisory Board</x:v>
      </x:c>
      <x:c r="F97" t="str">
        <x:v>Chăm sóc nhà tài trợ</x:v>
      </x:c>
      <x:c r="G97" t="str">
        <x:v>Chăm sóc nhà tài trợ phục vụ chương trình Industry Advisory Board năm 2026</x:v>
      </x:c>
      <x:c r="H97" t="str">
        <x:v>CAID - Partnership</x:v>
      </x:c>
      <x:c r="I97" t="n">
        <x:v>100</x:v>
      </x:c>
      <x:c r="J97" t="n">
        <x:v>12000000</x:v>
      </x:c>
      <x:c r="K97" t="n">
        <x:f>I97*J97</x:f>
        <x:v>1200000000</x:v>
      </x:c>
      <x:c r="L97" t="str">
        <x:v>Trung bình</x:v>
      </x:c>
      <x:c r="M97" t="str">
        <x:v>Đã gửi duyệt</x:v>
      </x:c>
      <x:c r="N97" t="str">
        <x:v>Dữ liệu mẫu phục vụ demo quản trị ngân sách</x:v>
      </x:c>
    </x:row>
    <x:row r="98">
      <x:c r="A98" t="str">
        <x:v>DT-CAID-2026-097</x:v>
      </x:c>
      <x:c r="B98" t="str">
        <x:v>Phòng CAID</x:v>
      </x:c>
      <x:c r="C98" t="n">
        <x:v>2026</x:v>
      </x:c>
      <x:c r="D98" t="str">
        <x:v>Q1</x:v>
      </x:c>
      <x:c r="E98" t="str">
        <x:v>Mentorship Program</x:v>
      </x:c>
      <x:c r="F98" t="str">
        <x:v>Tài trợ sinh viên</x:v>
      </x:c>
      <x:c r="G98" t="str">
        <x:v>Tài trợ sinh viên phục vụ chương trình Mentorship Program năm 2026</x:v>
      </x:c>
      <x:c r="H98" t="str">
        <x:v>CAID - Partnership</x:v>
      </x:c>
      <x:c r="I98" t="n">
        <x:v>1</x:v>
      </x:c>
      <x:c r="J98" t="n">
        <x:v>100000000</x:v>
      </x:c>
      <x:c r="K98" t="n">
        <x:f>I98*J98</x:f>
        <x:v>100000000</x:v>
      </x:c>
      <x:c r="L98" t="str">
        <x:v>Cao</x:v>
      </x:c>
      <x:c r="M98" t="str">
        <x:v>Đã duyệt</x:v>
      </x:c>
      <x:c r="N98" t="str">
        <x:v>Dữ liệu mẫu phục vụ demo quản trị ngân sách</x:v>
      </x:c>
    </x:row>
    <x:row r="99">
      <x:c r="A99" t="str">
        <x:v>DT-CAID-2026-098</x:v>
      </x:c>
      <x:c r="B99" t="str">
        <x:v>Phòng CAID</x:v>
      </x:c>
      <x:c r="C99" t="n">
        <x:v>2026</x:v>
      </x:c>
      <x:c r="D99" t="str">
        <x:v>Q2</x:v>
      </x:c>
      <x:c r="E99" t="str">
        <x:v>Fundraising Campaign</x:v>
      </x:c>
      <x:c r="F99" t="str">
        <x:v>Tiếp khách doanh nghiệp</x:v>
      </x:c>
      <x:c r="G99" t="str">
        <x:v>Tiếp khách doanh nghiệp phục vụ chương trình Fundraising Campaign năm 2026</x:v>
      </x:c>
      <x:c r="H99" t="str">
        <x:v>CAID - Alumni Relations</x:v>
      </x:c>
      <x:c r="I99" t="n">
        <x:v>1</x:v>
      </x:c>
      <x:c r="J99" t="n">
        <x:v>150000000</x:v>
      </x:c>
      <x:c r="K99" t="n">
        <x:f>I99*J99</x:f>
        <x:v>150000000</x:v>
      </x:c>
      <x:c r="L99" t="str">
        <x:v>Trung bình</x:v>
      </x:c>
      <x:c r="M99" t="str">
        <x:v>Nháp</x:v>
      </x:c>
      <x:c r="N99" t="str">
        <x:v>Dữ liệu mẫu phục vụ demo quản trị ngân sách</x:v>
      </x:c>
    </x:row>
    <x:row r="100">
      <x:c r="A100" t="str">
        <x:v>DT-CAID-2026-099</x:v>
      </x:c>
      <x:c r="B100" t="str">
        <x:v>Phòng CAID</x:v>
      </x:c>
      <x:c r="C100" t="n">
        <x:v>2026</x:v>
      </x:c>
      <x:c r="D100" t="str">
        <x:v>Q3</x:v>
      </x:c>
      <x:c r="E100" t="str">
        <x:v>Fundraising Campaign</x:v>
      </x:c>
      <x:c r="F100" t="str">
        <x:v>Hội thảo doanh nghiệp</x:v>
      </x:c>
      <x:c r="G100" t="str">
        <x:v>Hội thảo doanh nghiệp phục vụ chương trình Fundraising Campaign năm 2026</x:v>
      </x:c>
      <x:c r="H100" t="str">
        <x:v>CAID - Career Services</x:v>
      </x:c>
      <x:c r="I100" t="n">
        <x:v>5</x:v>
      </x:c>
      <x:c r="J100" t="n">
        <x:v>100000000</x:v>
      </x:c>
      <x:c r="K100" t="n">
        <x:f>I100*J100</x:f>
        <x:v>500000000</x:v>
      </x:c>
      <x:c r="L100" t="str">
        <x:v>Trung bình</x:v>
      </x:c>
      <x:c r="M100" t="str">
        <x:v>Đã thanh toán</x:v>
      </x:c>
      <x:c r="N100" t="str">
        <x:v>Dữ liệu mẫu phục vụ demo quản trị ngân sách</x:v>
      </x:c>
    </x:row>
    <x:row r="101">
      <x:c r="A101" t="str">
        <x:v>DT-CAID-2026-100</x:v>
      </x:c>
      <x:c r="B101" t="str">
        <x:v>Phòng CAID</x:v>
      </x:c>
      <x:c r="C101" t="n">
        <x:v>2026</x:v>
      </x:c>
      <x:c r="D101" t="str">
        <x:v>Q4</x:v>
      </x:c>
      <x:c r="E101" t="str">
        <x:v>Alumni Engagement</x:v>
      </x:c>
      <x:c r="F101" t="str">
        <x:v>Tài trợ sinh viên</x:v>
      </x:c>
      <x:c r="G101" t="str">
        <x:v>Tài trợ sinh viên phục vụ chương trình Alumni Engagement năm 2026</x:v>
      </x:c>
      <x:c r="H101" t="str">
        <x:v>CAID - Alumni Relations</x:v>
      </x:c>
      <x:c r="I101" t="n">
        <x:v>20</x:v>
      </x:c>
      <x:c r="J101" t="n">
        <x:v>50000000</x:v>
      </x:c>
      <x:c r="K101" t="n">
        <x:f>I101*J101</x:f>
        <x:v>1000000000</x:v>
      </x:c>
      <x:c r="L101" t="str">
        <x:v>Cao</x:v>
      </x:c>
      <x:c r="M101" t="str">
        <x:v>Đã duyệt</x:v>
      </x:c>
      <x:c r="N101" t="str">
        <x:v>Dữ liệu mẫu phục vụ demo quản trị ngân sách</x:v>
      </x:c>
    </x:row>
    <x:row r="102">
      <x:c r="A102" t="str">
        <x:v>DT-CAID-2026-101</x:v>
      </x:c>
      <x:c r="B102" t="str">
        <x:v>Phòng CAID</x:v>
      </x:c>
      <x:c r="C102" t="n">
        <x:v>2026</x:v>
      </x:c>
      <x:c r="D102" t="str">
        <x:v>Q1</x:v>
      </x:c>
      <x:c r="E102" t="str">
        <x:v>Alumni Engagement</x:v>
      </x:c>
      <x:c r="F102" t="str">
        <x:v>Diễn giả/chuyên gia</x:v>
      </x:c>
      <x:c r="G102" t="str">
        <x:v>Diễn giả/chuyên gia phục vụ chương trình Alumni Engagement năm 2026</x:v>
      </x:c>
      <x:c r="H102" t="str">
        <x:v>CAID - Development</x:v>
      </x:c>
      <x:c r="I102" t="n">
        <x:v>2</x:v>
      </x:c>
      <x:c r="J102" t="n">
        <x:v>5000000</x:v>
      </x:c>
      <x:c r="K102" t="n">
        <x:f>I102*J102</x:f>
        <x:v>10000000</x:v>
      </x:c>
      <x:c r="L102" t="str">
        <x:v>Thấp</x:v>
      </x:c>
      <x:c r="M102" t="str">
        <x:v>Đã gửi duyệt</x:v>
      </x:c>
      <x:c r="N102" t="str">
        <x:v>Dữ liệu mẫu phục vụ demo quản trị ngân sách</x:v>
      </x:c>
    </x:row>
    <x:row r="103">
      <x:c r="A103" t="str">
        <x:v>DT-CAID-2026-102</x:v>
      </x:c>
      <x:c r="B103" t="str">
        <x:v>Phòng CAID</x:v>
      </x:c>
      <x:c r="C103" t="n">
        <x:v>2026</x:v>
      </x:c>
      <x:c r="D103" t="str">
        <x:v>Q2</x:v>
      </x:c>
      <x:c r="E103" t="str">
        <x:v>MoU Signing</x:v>
      </x:c>
      <x:c r="F103" t="str">
        <x:v>Tài trợ sinh viên</x:v>
      </x:c>
      <x:c r="G103" t="str">
        <x:v>Tài trợ sinh viên phục vụ chương trình MoU Signing năm 2026</x:v>
      </x:c>
      <x:c r="H103" t="str">
        <x:v>CAID - Alumni Relations</x:v>
      </x:c>
      <x:c r="I103" t="n">
        <x:v>50</x:v>
      </x:c>
      <x:c r="J103" t="n">
        <x:v>150000000</x:v>
      </x:c>
      <x:c r="K103" t="n">
        <x:f>I103*J103</x:f>
        <x:v>7500000000</x:v>
      </x:c>
      <x:c r="L103" t="str">
        <x:v>Cao</x:v>
      </x:c>
      <x:c r="M103" t="str">
        <x:v>Đã duyệt</x:v>
      </x:c>
      <x:c r="N103" t="str">
        <x:v>Dữ liệu mẫu phục vụ demo quản trị ngân sách</x:v>
      </x:c>
    </x:row>
    <x:row r="104">
      <x:c r="A104" t="str">
        <x:v>DT-CAID-2026-103</x:v>
      </x:c>
      <x:c r="B104" t="str">
        <x:v>Phòng CAID</x:v>
      </x:c>
      <x:c r="C104" t="n">
        <x:v>2026</x:v>
      </x:c>
      <x:c r="D104" t="str">
        <x:v>Q3</x:v>
      </x:c>
      <x:c r="E104" t="str">
        <x:v>Fundraising Campaign</x:v>
      </x:c>
      <x:c r="F104" t="str">
        <x:v>Truyền thông &amp; thiết kế</x:v>
      </x:c>
      <x:c r="G104" t="str">
        <x:v>Truyền thông &amp; thiết kế phục vụ chương trình Fundraising Campaign năm 2026</x:v>
      </x:c>
      <x:c r="H104" t="str">
        <x:v>CAID - Development</x:v>
      </x:c>
      <x:c r="I104" t="n">
        <x:v>3</x:v>
      </x:c>
      <x:c r="J104" t="n">
        <x:v>150000000</x:v>
      </x:c>
      <x:c r="K104" t="n">
        <x:f>I104*J104</x:f>
        <x:v>450000000</x:v>
      </x:c>
      <x:c r="L104" t="str">
        <x:v>Cao</x:v>
      </x:c>
      <x:c r="M104" t="str">
        <x:v>Đã duyệt</x:v>
      </x:c>
      <x:c r="N104" t="str">
        <x:v>Dữ liệu mẫu phục vụ demo quản trị ngân sách</x:v>
      </x:c>
    </x:row>
    <x:row r="105">
      <x:c r="A105" t="str">
        <x:v>DT-CAID-2026-104</x:v>
      </x:c>
      <x:c r="B105" t="str">
        <x:v>Phòng CAID</x:v>
      </x:c>
      <x:c r="C105" t="n">
        <x:v>2026</x:v>
      </x:c>
      <x:c r="D105" t="str">
        <x:v>Q4</x:v>
      </x:c>
      <x:c r="E105" t="str">
        <x:v>Innovation Challenge</x:v>
      </x:c>
      <x:c r="F105" t="str">
        <x:v>Quà tặng đối tác</x:v>
      </x:c>
      <x:c r="G105" t="str">
        <x:v>Quà tặng đối tác phục vụ chương trình Innovation Challenge năm 2026</x:v>
      </x:c>
      <x:c r="H105" t="str">
        <x:v>CAID - Career Services</x:v>
      </x:c>
      <x:c r="I105" t="n">
        <x:v>20</x:v>
      </x:c>
      <x:c r="J105" t="n">
        <x:v>3000000</x:v>
      </x:c>
      <x:c r="K105" t="n">
        <x:f>I105*J105</x:f>
        <x:v>60000000</x:v>
      </x:c>
      <x:c r="L105" t="str">
        <x:v>Cao</x:v>
      </x:c>
      <x:c r="M105" t="str">
        <x:v>Đã duyệt</x:v>
      </x:c>
      <x:c r="N105" t="str">
        <x:v>Dữ liệu mẫu phục vụ demo quản trị ngân sách</x:v>
      </x:c>
    </x:row>
    <x:row r="106">
      <x:c r="A106" t="str">
        <x:v>DT-CAID-2026-105</x:v>
      </x:c>
      <x:c r="B106" t="str">
        <x:v>Phòng CAID</x:v>
      </x:c>
      <x:c r="C106" t="n">
        <x:v>2026</x:v>
      </x:c>
      <x:c r="D106" t="str">
        <x:v>Q1</x:v>
      </x:c>
      <x:c r="E106" t="str">
        <x:v>MoU Signing</x:v>
      </x:c>
      <x:c r="F106" t="str">
        <x:v>Phần mềm CRM</x:v>
      </x:c>
      <x:c r="G106" t="str">
        <x:v>Phần mềm CRM phục vụ chương trình MoU Signing năm 2026</x:v>
      </x:c>
      <x:c r="H106" t="str">
        <x:v>CAID - Alumni Relations</x:v>
      </x:c>
      <x:c r="I106" t="n">
        <x:v>1</x:v>
      </x:c>
      <x:c r="J106" t="n">
        <x:v>180000000</x:v>
      </x:c>
      <x:c r="K106" t="n">
        <x:f>I106*J106</x:f>
        <x:v>180000000</x:v>
      </x:c>
      <x:c r="L106" t="str">
        <x:v>Cao</x:v>
      </x:c>
      <x:c r="M106" t="str">
        <x:v>Nháp</x:v>
      </x:c>
      <x:c r="N106" t="str">
        <x:v>Dữ liệu mẫu phục vụ demo quản trị ngân sách</x:v>
      </x:c>
    </x:row>
    <x:row r="107">
      <x:c r="A107" t="str">
        <x:v>DT-CAID-2026-106</x:v>
      </x:c>
      <x:c r="B107" t="str">
        <x:v>Phòng CAID</x:v>
      </x:c>
      <x:c r="C107" t="n">
        <x:v>2026</x:v>
      </x:c>
      <x:c r="D107" t="str">
        <x:v>Q2</x:v>
      </x:c>
      <x:c r="E107" t="str">
        <x:v>Alumni Engagement</x:v>
      </x:c>
      <x:c r="F107" t="str">
        <x:v>Thuê địa điểm</x:v>
      </x:c>
      <x:c r="G107" t="str">
        <x:v>Thuê địa điểm phục vụ chương trình Alumni Engagement năm 2026</x:v>
      </x:c>
      <x:c r="H107" t="str">
        <x:v>CAID - Career Services</x:v>
      </x:c>
      <x:c r="I107" t="n">
        <x:v>5</x:v>
      </x:c>
      <x:c r="J107" t="n">
        <x:v>250000000</x:v>
      </x:c>
      <x:c r="K107" t="n">
        <x:f>I107*J107</x:f>
        <x:v>1250000000</x:v>
      </x:c>
      <x:c r="L107" t="str">
        <x:v>Cao</x:v>
      </x:c>
      <x:c r="M107" t="str">
        <x:v>Đã duyệt</x:v>
      </x:c>
      <x:c r="N107" t="str">
        <x:v>Dữ liệu mẫu phục vụ demo quản trị ngân sách</x:v>
      </x:c>
    </x:row>
    <x:row r="108">
      <x:c r="A108" t="str">
        <x:v>DT-CAID-2026-107</x:v>
      </x:c>
      <x:c r="B108" t="str">
        <x:v>Phòng CAID</x:v>
      </x:c>
      <x:c r="C108" t="n">
        <x:v>2026</x:v>
      </x:c>
      <x:c r="D108" t="str">
        <x:v>Q3</x:v>
      </x:c>
      <x:c r="E108" t="str">
        <x:v>MoU Signing</x:v>
      </x:c>
      <x:c r="F108" t="str">
        <x:v>Phần mềm CRM</x:v>
      </x:c>
      <x:c r="G108" t="str">
        <x:v>Phần mềm CRM phục vụ chương trình MoU Signing năm 2026</x:v>
      </x:c>
      <x:c r="H108" t="str">
        <x:v>CAID - Development</x:v>
      </x:c>
      <x:c r="I108" t="n">
        <x:v>1</x:v>
      </x:c>
      <x:c r="J108" t="n">
        <x:v>180000000</x:v>
      </x:c>
      <x:c r="K108" t="n">
        <x:f>I108*J108</x:f>
        <x:v>180000000</x:v>
      </x:c>
      <x:c r="L108" t="str">
        <x:v>Cao</x:v>
      </x:c>
      <x:c r="M108" t="str">
        <x:v>Đã duyệt</x:v>
      </x:c>
      <x:c r="N108" t="str">
        <x:v>Dữ liệu mẫu phục vụ demo quản trị ngân sách</x:v>
      </x:c>
    </x:row>
    <x:row r="109">
      <x:c r="A109" t="str">
        <x:v>DT-CAID-2026-108</x:v>
      </x:c>
      <x:c r="B109" t="str">
        <x:v>Phòng CAID</x:v>
      </x:c>
      <x:c r="C109" t="n">
        <x:v>2026</x:v>
      </x:c>
      <x:c r="D109" t="str">
        <x:v>Q4</x:v>
      </x:c>
      <x:c r="E109" t="str">
        <x:v>Alumni Engagement</x:v>
      </x:c>
      <x:c r="F109" t="str">
        <x:v>Quà tặng đối tác</x:v>
      </x:c>
      <x:c r="G109" t="str">
        <x:v>Quà tặng đối tác phục vụ chương trình Alumni Engagement năm 2026</x:v>
      </x:c>
      <x:c r="H109" t="str">
        <x:v>CAID - Career Services</x:v>
      </x:c>
      <x:c r="I109" t="n">
        <x:v>2</x:v>
      </x:c>
      <x:c r="J109" t="n">
        <x:v>5000000</x:v>
      </x:c>
      <x:c r="K109" t="n">
        <x:f>I109*J109</x:f>
        <x:v>10000000</x:v>
      </x:c>
      <x:c r="L109" t="str">
        <x:v>Cao</x:v>
      </x:c>
      <x:c r="M109" t="str">
        <x:v>Đã duyệt</x:v>
      </x:c>
      <x:c r="N109" t="str">
        <x:v>Dữ liệu mẫu phục vụ demo quản trị ngân sách</x:v>
      </x:c>
    </x:row>
    <x:row r="110">
      <x:c r="A110" t="str">
        <x:v>DT-CAID-2026-109</x:v>
      </x:c>
      <x:c r="B110" t="str">
        <x:v>Phòng CAID</x:v>
      </x:c>
      <x:c r="C110" t="n">
        <x:v>2026</x:v>
      </x:c>
      <x:c r="D110" t="str">
        <x:v>Q1</x:v>
      </x:c>
      <x:c r="E110" t="str">
        <x:v>Development Event</x:v>
      </x:c>
      <x:c r="F110" t="str">
        <x:v>Chăm sóc nhà tài trợ</x:v>
      </x:c>
      <x:c r="G110" t="str">
        <x:v>Chăm sóc nhà tài trợ phục vụ chương trình Development Event năm 2026</x:v>
      </x:c>
      <x:c r="H110" t="str">
        <x:v>CAID - Career Services</x:v>
      </x:c>
      <x:c r="I110" t="n">
        <x:v>1</x:v>
      </x:c>
      <x:c r="J110" t="n">
        <x:v>12000000</x:v>
      </x:c>
      <x:c r="K110" t="n">
        <x:f>I110*J110</x:f>
        <x:v>12000000</x:v>
      </x:c>
      <x:c r="L110" t="str">
        <x:v>Trung bình</x:v>
      </x:c>
      <x:c r="M110" t="str">
        <x:v>Đã gửi duyệt</x:v>
      </x:c>
      <x:c r="N110" t="str">
        <x:v>Dữ liệu mẫu phục vụ demo quản trị ngân sách</x:v>
      </x:c>
    </x:row>
    <x:row r="111">
      <x:c r="A111" t="str">
        <x:v>DT-CAID-2026-110</x:v>
      </x:c>
      <x:c r="B111" t="str">
        <x:v>Phòng CAID</x:v>
      </x:c>
      <x:c r="C111" t="n">
        <x:v>2026</x:v>
      </x:c>
      <x:c r="D111" t="str">
        <x:v>Q2</x:v>
      </x:c>
      <x:c r="E111" t="str">
        <x:v>Industry Advisory Board</x:v>
      </x:c>
      <x:c r="F111" t="str">
        <x:v>Phần mềm CRM</x:v>
      </x:c>
      <x:c r="G111" t="str">
        <x:v>Phần mềm CRM phục vụ chương trình Industry Advisory Board năm 2026</x:v>
      </x:c>
      <x:c r="H111" t="str">
        <x:v>CAID - Career Services</x:v>
      </x:c>
      <x:c r="I111" t="n">
        <x:v>1</x:v>
      </x:c>
      <x:c r="J111" t="n">
        <x:v>120000000</x:v>
      </x:c>
      <x:c r="K111" t="n">
        <x:f>I111*J111</x:f>
        <x:v>120000000</x:v>
      </x:c>
      <x:c r="L111" t="str">
        <x:v>Cao</x:v>
      </x:c>
      <x:c r="M111" t="str">
        <x:v>Đã gửi duyệt</x:v>
      </x:c>
      <x:c r="N111" t="str">
        <x:v>Dữ liệu mẫu phục vụ demo quản trị ngân sách</x:v>
      </x:c>
    </x:row>
    <x:row r="112">
      <x:c r="A112" t="str">
        <x:v>DT-CAID-2026-111</x:v>
      </x:c>
      <x:c r="B112" t="str">
        <x:v>Phòng CAID</x:v>
      </x:c>
      <x:c r="C112" t="n">
        <x:v>2026</x:v>
      </x:c>
      <x:c r="D112" t="str">
        <x:v>Q3</x:v>
      </x:c>
      <x:c r="E112" t="str">
        <x:v>Alumni Engagement</x:v>
      </x:c>
      <x:c r="F112" t="str">
        <x:v>Tổ chức sự kiện</x:v>
      </x:c>
      <x:c r="G112" t="str">
        <x:v>Tổ chức sự kiện phục vụ chương trình Alumni Engagement năm 2026</x:v>
      </x:c>
      <x:c r="H112" t="str">
        <x:v>CAID - Career Services</x:v>
      </x:c>
      <x:c r="I112" t="n">
        <x:v>200</x:v>
      </x:c>
      <x:c r="J112" t="n">
        <x:v>75000000</x:v>
      </x:c>
      <x:c r="K112" t="n">
        <x:f>I112*J112</x:f>
        <x:v>15000000000</x:v>
      </x:c>
      <x:c r="L112" t="str">
        <x:v>Cao</x:v>
      </x:c>
      <x:c r="M112" t="str">
        <x:v>Đã thanh toán</x:v>
      </x:c>
      <x:c r="N112" t="str">
        <x:v>Dữ liệu mẫu phục vụ demo quản trị ngân sách</x:v>
      </x:c>
    </x:row>
    <x:row r="113">
      <x:c r="A113" t="str">
        <x:v>DT-CAID-2026-112</x:v>
      </x:c>
      <x:c r="B113" t="str">
        <x:v>Phòng CAID</x:v>
      </x:c>
      <x:c r="C113" t="n">
        <x:v>2026</x:v>
      </x:c>
      <x:c r="D113" t="str">
        <x:v>Q4</x:v>
      </x:c>
      <x:c r="E113" t="str">
        <x:v>Company Visit</x:v>
      </x:c>
      <x:c r="F113" t="str">
        <x:v>Quà tặng đối tác</x:v>
      </x:c>
      <x:c r="G113" t="str">
        <x:v>Quà tặng đối tác phục vụ chương trình Company Visit năm 2026</x:v>
      </x:c>
      <x:c r="H113" t="str">
        <x:v>CAID - Alumni Relations</x:v>
      </x:c>
      <x:c r="I113" t="n">
        <x:v>200</x:v>
      </x:c>
      <x:c r="J113" t="n">
        <x:v>8000000</x:v>
      </x:c>
      <x:c r="K113" t="n">
        <x:f>I113*J113</x:f>
        <x:v>1600000000</x:v>
      </x:c>
      <x:c r="L113" t="str">
        <x:v>Cao</x:v>
      </x:c>
      <x:c r="M113" t="str">
        <x:v>Nháp</x:v>
      </x:c>
      <x:c r="N113" t="str">
        <x:v>Dữ liệu mẫu phục vụ demo quản trị ngân sách</x:v>
      </x:c>
    </x:row>
    <x:row r="114">
      <x:c r="A114" t="str">
        <x:v>DT-CAID-2026-113</x:v>
      </x:c>
      <x:c r="B114" t="str">
        <x:v>Phòng CAID</x:v>
      </x:c>
      <x:c r="C114" t="n">
        <x:v>2026</x:v>
      </x:c>
      <x:c r="D114" t="str">
        <x:v>Q1</x:v>
      </x:c>
      <x:c r="E114" t="str">
        <x:v>Alumni Engagement</x:v>
      </x:c>
      <x:c r="F114" t="str">
        <x:v>In ấn tài liệu</x:v>
      </x:c>
      <x:c r="G114" t="str">
        <x:v>In ấn tài liệu phục vụ chương trình Alumni Engagement năm 2026</x:v>
      </x:c>
      <x:c r="H114" t="str">
        <x:v>CAID - Development</x:v>
      </x:c>
      <x:c r="I114" t="n">
        <x:v>10</x:v>
      </x:c>
      <x:c r="J114" t="n">
        <x:v>50000000</x:v>
      </x:c>
      <x:c r="K114" t="n">
        <x:f>I114*J114</x:f>
        <x:v>500000000</x:v>
      </x:c>
      <x:c r="L114" t="str">
        <x:v>Cao</x:v>
      </x:c>
      <x:c r="M114" t="str">
        <x:v>Nháp</x:v>
      </x:c>
      <x:c r="N114" t="str">
        <x:v>Dữ liệu mẫu phục vụ demo quản trị ngân sách</x:v>
      </x:c>
    </x:row>
    <x:row r="115">
      <x:c r="A115" t="str">
        <x:v>DT-CAID-2026-114</x:v>
      </x:c>
      <x:c r="B115" t="str">
        <x:v>Phòng CAID</x:v>
      </x:c>
      <x:c r="C115" t="n">
        <x:v>2026</x:v>
      </x:c>
      <x:c r="D115" t="str">
        <x:v>Q2</x:v>
      </x:c>
      <x:c r="E115" t="str">
        <x:v>Donor Stewardship</x:v>
      </x:c>
      <x:c r="F115" t="str">
        <x:v>In ấn tài liệu</x:v>
      </x:c>
      <x:c r="G115" t="str">
        <x:v>In ấn tài liệu phục vụ chương trình Donor Stewardship năm 2026</x:v>
      </x:c>
      <x:c r="H115" t="str">
        <x:v>CAID - Alumni Relations</x:v>
      </x:c>
      <x:c r="I115" t="n">
        <x:v>1</x:v>
      </x:c>
      <x:c r="J115" t="n">
        <x:v>5000000</x:v>
      </x:c>
      <x:c r="K115" t="n">
        <x:f>I115*J115</x:f>
        <x:v>5000000</x:v>
      </x:c>
      <x:c r="L115" t="str">
        <x:v>Trung bình</x:v>
      </x:c>
      <x:c r="M115" t="str">
        <x:v>Đã duyệt</x:v>
      </x:c>
      <x:c r="N115" t="str">
        <x:v>Dữ liệu mẫu phục vụ demo quản trị ngân sách</x:v>
      </x:c>
    </x:row>
    <x:row r="116">
      <x:c r="A116" t="str">
        <x:v>DT-CAID-2026-115</x:v>
      </x:c>
      <x:c r="B116" t="str">
        <x:v>Phòng CAID</x:v>
      </x:c>
      <x:c r="C116" t="n">
        <x:v>2026</x:v>
      </x:c>
      <x:c r="D116" t="str">
        <x:v>Q3</x:v>
      </x:c>
      <x:c r="E116" t="str">
        <x:v>Mentorship Program</x:v>
      </x:c>
      <x:c r="F116" t="str">
        <x:v>Tổ chức sự kiện</x:v>
      </x:c>
      <x:c r="G116" t="str">
        <x:v>Tổ chức sự kiện phục vụ chương trình Mentorship Program năm 2026</x:v>
      </x:c>
      <x:c r="H116" t="str">
        <x:v>CAID - Development</x:v>
      </x:c>
      <x:c r="I116" t="n">
        <x:v>1</x:v>
      </x:c>
      <x:c r="J116" t="n">
        <x:v>8000000</x:v>
      </x:c>
      <x:c r="K116" t="n">
        <x:f>I116*J116</x:f>
        <x:v>8000000</x:v>
      </x:c>
      <x:c r="L116" t="str">
        <x:v>Cao</x:v>
      </x:c>
      <x:c r="M116" t="str">
        <x:v>Đã gửi duyệt</x:v>
      </x:c>
      <x:c r="N116" t="str">
        <x:v>Dữ liệu mẫu phục vụ demo quản trị ngân sách</x:v>
      </x:c>
    </x:row>
    <x:row r="117">
      <x:c r="A117" t="str">
        <x:v>DT-CAID-2026-116</x:v>
      </x:c>
      <x:c r="B117" t="str">
        <x:v>Phòng CAID</x:v>
      </x:c>
      <x:c r="C117" t="n">
        <x:v>2026</x:v>
      </x:c>
      <x:c r="D117" t="str">
        <x:v>Q4</x:v>
      </x:c>
      <x:c r="E117" t="str">
        <x:v>Company Visit</x:v>
      </x:c>
      <x:c r="F117" t="str">
        <x:v>Di chuyển công tác</x:v>
      </x:c>
      <x:c r="G117" t="str">
        <x:v>Di chuyển công tác phục vụ chương trình Company Visit năm 2026</x:v>
      </x:c>
      <x:c r="H117" t="str">
        <x:v>CAID - Career Services</x:v>
      </x:c>
      <x:c r="I117" t="n">
        <x:v>50</x:v>
      </x:c>
      <x:c r="J117" t="n">
        <x:v>100000000</x:v>
      </x:c>
      <x:c r="K117" t="n">
        <x:f>I117*J117</x:f>
        <x:v>5000000000</x:v>
      </x:c>
      <x:c r="L117" t="str">
        <x:v>Trung bình</x:v>
      </x:c>
      <x:c r="M117" t="str">
        <x:v>Đã gửi duyệt</x:v>
      </x:c>
      <x:c r="N117" t="str">
        <x:v>Dữ liệu mẫu phục vụ demo quản trị ngân sách</x:v>
      </x:c>
    </x:row>
    <x:row r="118">
      <x:c r="A118" t="str">
        <x:v>DT-CAID-2026-117</x:v>
      </x:c>
      <x:c r="B118" t="str">
        <x:v>Phòng CAID</x:v>
      </x:c>
      <x:c r="C118" t="n">
        <x:v>2026</x:v>
      </x:c>
      <x:c r="D118" t="str">
        <x:v>Q1</x:v>
      </x:c>
      <x:c r="E118" t="str">
        <x:v>Innovation Challenge</x:v>
      </x:c>
      <x:c r="F118" t="str">
        <x:v>In ấn tài liệu</x:v>
      </x:c>
      <x:c r="G118" t="str">
        <x:v>In ấn tài liệu phục vụ chương trình Innovation Challenge năm 2026</x:v>
      </x:c>
      <x:c r="H118" t="str">
        <x:v>CAID - Alumni Relations</x:v>
      </x:c>
      <x:c r="I118" t="n">
        <x:v>3</x:v>
      </x:c>
      <x:c r="J118" t="n">
        <x:v>100000000</x:v>
      </x:c>
      <x:c r="K118" t="n">
        <x:f>I118*J118</x:f>
        <x:v>300000000</x:v>
      </x:c>
      <x:c r="L118" t="str">
        <x:v>Cao</x:v>
      </x:c>
      <x:c r="M118" t="str">
        <x:v>Đã duyệt</x:v>
      </x:c>
      <x:c r="N118" t="str">
        <x:v>Dữ liệu mẫu phục vụ demo quản trị ngân sách</x:v>
      </x:c>
    </x:row>
    <x:row r="119">
      <x:c r="A119" t="str">
        <x:v>DT-CAID-2026-118</x:v>
      </x:c>
      <x:c r="B119" t="str">
        <x:v>Phòng CAID</x:v>
      </x:c>
      <x:c r="C119" t="n">
        <x:v>2026</x:v>
      </x:c>
      <x:c r="D119" t="str">
        <x:v>Q2</x:v>
      </x:c>
      <x:c r="E119" t="str">
        <x:v>Industry Advisory Board</x:v>
      </x:c>
      <x:c r="F119" t="str">
        <x:v>Chăm sóc nhà tài trợ</x:v>
      </x:c>
      <x:c r="G119" t="str">
        <x:v>Chăm sóc nhà tài trợ phục vụ chương trình Industry Advisory Board năm 2026</x:v>
      </x:c>
      <x:c r="H119" t="str">
        <x:v>CAID - Career Services</x:v>
      </x:c>
      <x:c r="I119" t="n">
        <x:v>1</x:v>
      </x:c>
      <x:c r="J119" t="n">
        <x:v>12000000</x:v>
      </x:c>
      <x:c r="K119" t="n">
        <x:f>I119*J119</x:f>
        <x:v>12000000</x:v>
      </x:c>
      <x:c r="L119" t="str">
        <x:v>Cao</x:v>
      </x:c>
      <x:c r="M119" t="str">
        <x:v>Nháp</x:v>
      </x:c>
      <x:c r="N119" t="str">
        <x:v>Dữ liệu mẫu phục vụ demo quản trị ngân sách</x:v>
      </x:c>
    </x:row>
    <x:row r="120">
      <x:c r="A120" t="str">
        <x:v>DT-CAID-2026-119</x:v>
      </x:c>
      <x:c r="B120" t="str">
        <x:v>Phòng CAID</x:v>
      </x:c>
      <x:c r="C120" t="n">
        <x:v>2026</x:v>
      </x:c>
      <x:c r="D120" t="str">
        <x:v>Q3</x:v>
      </x:c>
      <x:c r="E120" t="str">
        <x:v>Employer Branding</x:v>
      </x:c>
      <x:c r="F120" t="str">
        <x:v>Truyền thông &amp; thiết kế</x:v>
      </x:c>
      <x:c r="G120" t="str">
        <x:v>Truyền thông &amp; thiết kế phục vụ chương trình Employer Branding năm 2026</x:v>
      </x:c>
      <x:c r="H120" t="str">
        <x:v>CAID - Career Services</x:v>
      </x:c>
      <x:c r="I120" t="n">
        <x:v>20</x:v>
      </x:c>
      <x:c r="J120" t="n">
        <x:v>5000000</x:v>
      </x:c>
      <x:c r="K120" t="n">
        <x:f>I120*J120</x:f>
        <x:v>100000000</x:v>
      </x:c>
      <x:c r="L120" t="str">
        <x:v>Cao</x:v>
      </x:c>
      <x:c r="M120" t="str">
        <x:v>Đã duyệt</x:v>
      </x:c>
      <x:c r="N120" t="str">
        <x:v>Dữ liệu mẫu phục vụ demo quản trị ngân sách</x:v>
      </x:c>
    </x:row>
    <x:row r="121">
      <x:c r="A121" t="str">
        <x:v>DT-CAID-2026-120</x:v>
      </x:c>
      <x:c r="B121" t="str">
        <x:v>Phòng CAID</x:v>
      </x:c>
      <x:c r="C121" t="n">
        <x:v>2026</x:v>
      </x:c>
      <x:c r="D121" t="str">
        <x:v>Q4</x:v>
      </x:c>
      <x:c r="E121" t="str">
        <x:v>Industry Advisory Board</x:v>
      </x:c>
      <x:c r="F121" t="str">
        <x:v>In ấn tài liệu</x:v>
      </x:c>
      <x:c r="G121" t="str">
        <x:v>In ấn tài liệu phục vụ chương trình Industry Advisory Board năm 2026</x:v>
      </x:c>
      <x:c r="H121" t="str">
        <x:v>CAID - Career Services</x:v>
      </x:c>
      <x:c r="I121" t="n">
        <x:v>3</x:v>
      </x:c>
      <x:c r="J121" t="n">
        <x:v>3000000</x:v>
      </x:c>
      <x:c r="K121" t="n">
        <x:f>I121*J121</x:f>
        <x:v>9000000</x:v>
      </x:c>
      <x:c r="L121" t="str">
        <x:v>Cao</x:v>
      </x:c>
      <x:c r="M121" t="str">
        <x:v>Đã gửi duyệt</x:v>
      </x:c>
      <x:c r="N121" t="str">
        <x:v>Dữ liệu mẫu phục vụ demo quản trị ngân sách</x:v>
      </x:c>
    </x:row>
    <x:row r="122">
      <x:c r="A122" t="str">
        <x:v>DT-CAID-2026-121</x:v>
      </x:c>
      <x:c r="B122" t="str">
        <x:v>Phòng CAID</x:v>
      </x:c>
      <x:c r="C122" t="n">
        <x:v>2026</x:v>
      </x:c>
      <x:c r="D122" t="str">
        <x:v>Q1</x:v>
      </x:c>
      <x:c r="E122" t="str">
        <x:v>Donor Stewardship</x:v>
      </x:c>
      <x:c r="F122" t="str">
        <x:v>In ấn tài liệu</x:v>
      </x:c>
      <x:c r="G122" t="str">
        <x:v>In ấn tài liệu phục vụ chương trình Donor Stewardship năm 2026</x:v>
      </x:c>
      <x:c r="H122" t="str">
        <x:v>CAID - Career Services</x:v>
      </x:c>
      <x:c r="I122" t="n">
        <x:v>1</x:v>
      </x:c>
      <x:c r="J122" t="n">
        <x:v>150000000</x:v>
      </x:c>
      <x:c r="K122" t="n">
        <x:f>I122*J122</x:f>
        <x:v>150000000</x:v>
      </x:c>
      <x:c r="L122" t="str">
        <x:v>Thấp</x:v>
      </x:c>
      <x:c r="M122" t="str">
        <x:v>Đã thanh toán</x:v>
      </x:c>
      <x:c r="N122" t="str">
        <x:v>Dữ liệu mẫu phục vụ demo quản trị ngân sách</x:v>
      </x:c>
    </x:row>
    <x:row r="123">
      <x:c r="A123" t="str">
        <x:v>DT-CAID-2026-122</x:v>
      </x:c>
      <x:c r="B123" t="str">
        <x:v>Phòng CAID</x:v>
      </x:c>
      <x:c r="C123" t="n">
        <x:v>2026</x:v>
      </x:c>
      <x:c r="D123" t="str">
        <x:v>Q2</x:v>
      </x:c>
      <x:c r="E123" t="str">
        <x:v>Mentorship Program</x:v>
      </x:c>
      <x:c r="F123" t="str">
        <x:v>Tài trợ sinh viên</x:v>
      </x:c>
      <x:c r="G123" t="str">
        <x:v>Tài trợ sinh viên phục vụ chương trình Mentorship Program năm 2026</x:v>
      </x:c>
      <x:c r="H123" t="str">
        <x:v>CAID - Alumni Relations</x:v>
      </x:c>
      <x:c r="I123" t="n">
        <x:v>100</x:v>
      </x:c>
      <x:c r="J123" t="n">
        <x:v>12000000</x:v>
      </x:c>
      <x:c r="K123" t="n">
        <x:f>I123*J123</x:f>
        <x:v>1200000000</x:v>
      </x:c>
      <x:c r="L123" t="str">
        <x:v>Cao</x:v>
      </x:c>
      <x:c r="M123" t="str">
        <x:v>Đã gửi duyệt</x:v>
      </x:c>
      <x:c r="N123" t="str">
        <x:v>Dữ liệu mẫu phục vụ demo quản trị ngân sách</x:v>
      </x:c>
    </x:row>
    <x:row r="124">
      <x:c r="A124" t="str">
        <x:v>DT-CAID-2026-123</x:v>
      </x:c>
      <x:c r="B124" t="str">
        <x:v>Phòng CAID</x:v>
      </x:c>
      <x:c r="C124" t="n">
        <x:v>2026</x:v>
      </x:c>
      <x:c r="D124" t="str">
        <x:v>Q3</x:v>
      </x:c>
      <x:c r="E124" t="str">
        <x:v>Internship Program</x:v>
      </x:c>
      <x:c r="F124" t="str">
        <x:v>Quà tặng đối tác</x:v>
      </x:c>
      <x:c r="G124" t="str">
        <x:v>Quà tặng đối tác phục vụ chương trình Internship Program năm 2026</x:v>
      </x:c>
      <x:c r="H124" t="str">
        <x:v>CAID - Partnership</x:v>
      </x:c>
      <x:c r="I124" t="n">
        <x:v>1</x:v>
      </x:c>
      <x:c r="J124" t="n">
        <x:v>5000000</x:v>
      </x:c>
      <x:c r="K124" t="n">
        <x:f>I124*J124</x:f>
        <x:v>5000000</x:v>
      </x:c>
      <x:c r="L124" t="str">
        <x:v>Cao</x:v>
      </x:c>
      <x:c r="M124" t="str">
        <x:v>Đã gửi duyệt</x:v>
      </x:c>
      <x:c r="N124" t="str">
        <x:v>Dữ liệu mẫu phục vụ demo quản trị ngân sách</x:v>
      </x:c>
    </x:row>
    <x:row r="125">
      <x:c r="A125" t="str">
        <x:v>DT-CAID-2026-124</x:v>
      </x:c>
      <x:c r="B125" t="str">
        <x:v>Phòng CAID</x:v>
      </x:c>
      <x:c r="C125" t="n">
        <x:v>2026</x:v>
      </x:c>
      <x:c r="D125" t="str">
        <x:v>Q4</x:v>
      </x:c>
      <x:c r="E125" t="str">
        <x:v>Corporate Training</x:v>
      </x:c>
      <x:c r="F125" t="str">
        <x:v>Tài trợ sinh viên</x:v>
      </x:c>
      <x:c r="G125" t="str">
        <x:v>Tài trợ sinh viên phục vụ chương trình Corporate Training năm 2026</x:v>
      </x:c>
      <x:c r="H125" t="str">
        <x:v>CAID - Partnership</x:v>
      </x:c>
      <x:c r="I125" t="n">
        <x:v>3</x:v>
      </x:c>
      <x:c r="J125" t="n">
        <x:v>50000000</x:v>
      </x:c>
      <x:c r="K125" t="n">
        <x:f>I125*J125</x:f>
        <x:v>150000000</x:v>
      </x:c>
      <x:c r="L125" t="str">
        <x:v>Trung bình</x:v>
      </x:c>
      <x:c r="M125" t="str">
        <x:v>Đã gửi duyệt</x:v>
      </x:c>
      <x:c r="N125" t="str">
        <x:v>Dữ liệu mẫu phục vụ demo quản trị ngân sách</x:v>
      </x:c>
    </x:row>
    <x:row r="126">
      <x:c r="A126" t="str">
        <x:v>DT-CAID-2026-125</x:v>
      </x:c>
      <x:c r="B126" t="str">
        <x:v>Phòng CAID</x:v>
      </x:c>
      <x:c r="C126" t="n">
        <x:v>2026</x:v>
      </x:c>
      <x:c r="D126" t="str">
        <x:v>Q1</x:v>
      </x:c>
      <x:c r="E126" t="str">
        <x:v>Scholarship Donor Program</x:v>
      </x:c>
      <x:c r="F126" t="str">
        <x:v>Quà tặng đối tác</x:v>
      </x:c>
      <x:c r="G126" t="str">
        <x:v>Quà tặng đối tác phục vụ chương trình Scholarship Donor Program năm 2026</x:v>
      </x:c>
      <x:c r="H126" t="str">
        <x:v>CAID - Partnership</x:v>
      </x:c>
      <x:c r="I126" t="n">
        <x:v>5</x:v>
      </x:c>
      <x:c r="J126" t="n">
        <x:v>200000000</x:v>
      </x:c>
      <x:c r="K126" t="n">
        <x:f>I126*J126</x:f>
        <x:v>1000000000</x:v>
      </x:c>
      <x:c r="L126" t="str">
        <x:v>Trung bình</x:v>
      </x:c>
      <x:c r="M126" t="str">
        <x:v>Đã thanh toán</x:v>
      </x:c>
      <x:c r="N126" t="str">
        <x:v>Dữ liệu mẫu phục vụ demo quản trị ngân sách</x:v>
      </x:c>
    </x:row>
    <x:row r="127">
      <x:c r="A127" t="str">
        <x:v>DT-CAID-2026-126</x:v>
      </x:c>
      <x:c r="B127" t="str">
        <x:v>Phòng CAID</x:v>
      </x:c>
      <x:c r="C127" t="n">
        <x:v>2026</x:v>
      </x:c>
      <x:c r="D127" t="str">
        <x:v>Q2</x:v>
      </x:c>
      <x:c r="E127" t="str">
        <x:v>Corporate Training</x:v>
      </x:c>
      <x:c r="F127" t="str">
        <x:v>Diễn giả/chuyên gia</x:v>
      </x:c>
      <x:c r="G127" t="str">
        <x:v>Diễn giả/chuyên gia phục vụ chương trình Corporate Training năm 2026</x:v>
      </x:c>
      <x:c r="H127" t="str">
        <x:v>CAID - Partnership</x:v>
      </x:c>
      <x:c r="I127" t="n">
        <x:v>50</x:v>
      </x:c>
      <x:c r="J127" t="n">
        <x:v>15000000</x:v>
      </x:c>
      <x:c r="K127" t="n">
        <x:f>I127*J127</x:f>
        <x:v>750000000</x:v>
      </x:c>
      <x:c r="L127" t="str">
        <x:v>Cao</x:v>
      </x:c>
      <x:c r="M127" t="str">
        <x:v>Đã thanh toán</x:v>
      </x:c>
      <x:c r="N127" t="str">
        <x:v>Dữ liệu mẫu phục vụ demo quản trị ngân sách</x:v>
      </x:c>
    </x:row>
    <x:row r="128">
      <x:c r="A128" t="str">
        <x:v>DT-CAID-2026-127</x:v>
      </x:c>
      <x:c r="B128" t="str">
        <x:v>Phòng CAID</x:v>
      </x:c>
      <x:c r="C128" t="n">
        <x:v>2026</x:v>
      </x:c>
      <x:c r="D128" t="str">
        <x:v>Q3</x:v>
      </x:c>
      <x:c r="E128" t="str">
        <x:v>Donor Stewardship</x:v>
      </x:c>
      <x:c r="F128" t="str">
        <x:v>Tài trợ sinh viên</x:v>
      </x:c>
      <x:c r="G128" t="str">
        <x:v>Tài trợ sinh viên phục vụ chương trình Donor Stewardship năm 2026</x:v>
      </x:c>
      <x:c r="H128" t="str">
        <x:v>CAID - Development</x:v>
      </x:c>
      <x:c r="I128" t="n">
        <x:v>50</x:v>
      </x:c>
      <x:c r="J128" t="n">
        <x:v>3000000</x:v>
      </x:c>
      <x:c r="K128" t="n">
        <x:f>I128*J128</x:f>
        <x:v>150000000</x:v>
      </x:c>
      <x:c r="L128" t="str">
        <x:v>Trung bình</x:v>
      </x:c>
      <x:c r="M128" t="str">
        <x:v>Đã thanh toán</x:v>
      </x:c>
      <x:c r="N128" t="str">
        <x:v>Dữ liệu mẫu phục vụ demo quản trị ngân sách</x:v>
      </x:c>
    </x:row>
    <x:row r="129">
      <x:c r="A129" t="str">
        <x:v>DT-CAID-2026-128</x:v>
      </x:c>
      <x:c r="B129" t="str">
        <x:v>Phòng CAID</x:v>
      </x:c>
      <x:c r="C129" t="n">
        <x:v>2026</x:v>
      </x:c>
      <x:c r="D129" t="str">
        <x:v>Q4</x:v>
      </x:c>
      <x:c r="E129" t="str">
        <x:v>Internship Program</x:v>
      </x:c>
      <x:c r="F129" t="str">
        <x:v>In ấn tài liệu</x:v>
      </x:c>
      <x:c r="G129" t="str">
        <x:v>In ấn tài liệu phục vụ chương trình Internship Program năm 2026</x:v>
      </x:c>
      <x:c r="H129" t="str">
        <x:v>CAID - Alumni Relations</x:v>
      </x:c>
      <x:c r="I129" t="n">
        <x:v>20</x:v>
      </x:c>
      <x:c r="J129" t="n">
        <x:v>150000000</x:v>
      </x:c>
      <x:c r="K129" t="n">
        <x:f>I129*J129</x:f>
        <x:v>3000000000</x:v>
      </x:c>
      <x:c r="L129" t="str">
        <x:v>Thấp</x:v>
      </x:c>
      <x:c r="M129" t="str">
        <x:v>Đã gửi duyệt</x:v>
      </x:c>
      <x:c r="N129" t="str">
        <x:v>Dữ liệu mẫu phục vụ demo quản trị ngân sách</x:v>
      </x:c>
    </x:row>
    <x:row r="130">
      <x:c r="A130" t="str">
        <x:v>DT-CAID-2026-129</x:v>
      </x:c>
      <x:c r="B130" t="str">
        <x:v>Phòng CAID</x:v>
      </x:c>
      <x:c r="C130" t="n">
        <x:v>2026</x:v>
      </x:c>
      <x:c r="D130" t="str">
        <x:v>Q1</x:v>
      </x:c>
      <x:c r="E130" t="str">
        <x:v>Industry Advisory Board</x:v>
      </x:c>
      <x:c r="F130" t="str">
        <x:v>Di chuyển công tác</x:v>
      </x:c>
      <x:c r="G130" t="str">
        <x:v>Di chuyển công tác phục vụ chương trình Industry Advisory Board năm 2026</x:v>
      </x:c>
      <x:c r="H130" t="str">
        <x:v>CAID - Partnership</x:v>
      </x:c>
      <x:c r="I130" t="n">
        <x:v>100</x:v>
      </x:c>
      <x:c r="J130" t="n">
        <x:v>50000000</x:v>
      </x:c>
      <x:c r="K130" t="n">
        <x:f>I130*J130</x:f>
        <x:v>5000000000</x:v>
      </x:c>
      <x:c r="L130" t="str">
        <x:v>Trung bình</x:v>
      </x:c>
      <x:c r="M130" t="str">
        <x:v>Đã duyệt</x:v>
      </x:c>
      <x:c r="N130" t="str">
        <x:v>Dữ liệu mẫu phục vụ demo quản trị ngân sách</x:v>
      </x:c>
    </x:row>
    <x:row r="131">
      <x:c r="A131" t="str">
        <x:v>DT-CAID-2026-130</x:v>
      </x:c>
      <x:c r="B131" t="str">
        <x:v>Phòng CAID</x:v>
      </x:c>
      <x:c r="C131" t="n">
        <x:v>2026</x:v>
      </x:c>
      <x:c r="D131" t="str">
        <x:v>Q2</x:v>
      </x:c>
      <x:c r="E131" t="str">
        <x:v>Fundraising Campaign</x:v>
      </x:c>
      <x:c r="F131" t="str">
        <x:v>Hội thảo doanh nghiệp</x:v>
      </x:c>
      <x:c r="G131" t="str">
        <x:v>Hội thảo doanh nghiệp phục vụ chương trình Fundraising Campaign năm 2026</x:v>
      </x:c>
      <x:c r="H131" t="str">
        <x:v>CAID - Alumni Relations</x:v>
      </x:c>
      <x:c r="I131" t="n">
        <x:v>5</x:v>
      </x:c>
      <x:c r="J131" t="n">
        <x:v>150000000</x:v>
      </x:c>
      <x:c r="K131" t="n">
        <x:f>I131*J131</x:f>
        <x:v>750000000</x:v>
      </x:c>
      <x:c r="L131" t="str">
        <x:v>Cao</x:v>
      </x:c>
      <x:c r="M131" t="str">
        <x:v>Đã thanh toán</x:v>
      </x:c>
      <x:c r="N131" t="str">
        <x:v>Dữ liệu mẫu phục vụ demo quản trị ngân sách</x:v>
      </x:c>
    </x:row>
    <x:row r="132">
      <x:c r="A132" t="str">
        <x:v>DT-CAID-2026-131</x:v>
      </x:c>
      <x:c r="B132" t="str">
        <x:v>Phòng CAID</x:v>
      </x:c>
      <x:c r="C132" t="n">
        <x:v>2026</x:v>
      </x:c>
      <x:c r="D132" t="str">
        <x:v>Q3</x:v>
      </x:c>
      <x:c r="E132" t="str">
        <x:v>Donor Stewardship</x:v>
      </x:c>
      <x:c r="F132" t="str">
        <x:v>Phần mềm CRM</x:v>
      </x:c>
      <x:c r="G132" t="str">
        <x:v>Phần mềm CRM phục vụ chương trình Donor Stewardship năm 2026</x:v>
      </x:c>
      <x:c r="H132" t="str">
        <x:v>CAID - Development</x:v>
      </x:c>
      <x:c r="I132" t="n">
        <x:v>1</x:v>
      </x:c>
      <x:c r="J132" t="n">
        <x:v>120000000</x:v>
      </x:c>
      <x:c r="K132" t="n">
        <x:f>I132*J132</x:f>
        <x:v>120000000</x:v>
      </x:c>
      <x:c r="L132" t="str">
        <x:v>Cao</x:v>
      </x:c>
      <x:c r="M132" t="str">
        <x:v>Nháp</x:v>
      </x:c>
      <x:c r="N132" t="str">
        <x:v>Dữ liệu mẫu phục vụ demo quản trị ngân sách</x:v>
      </x:c>
    </x:row>
    <x:row r="133">
      <x:c r="A133" t="str">
        <x:v>DT-CAID-2026-132</x:v>
      </x:c>
      <x:c r="B133" t="str">
        <x:v>Phòng CAID</x:v>
      </x:c>
      <x:c r="C133" t="n">
        <x:v>2026</x:v>
      </x:c>
      <x:c r="D133" t="str">
        <x:v>Q4</x:v>
      </x:c>
      <x:c r="E133" t="str">
        <x:v>Development Event</x:v>
      </x:c>
      <x:c r="F133" t="str">
        <x:v>Di chuyển công tác</x:v>
      </x:c>
      <x:c r="G133" t="str">
        <x:v>Di chuyển công tác phục vụ chương trình Development Event năm 2026</x:v>
      </x:c>
      <x:c r="H133" t="str">
        <x:v>CAID - Alumni Relations</x:v>
      </x:c>
      <x:c r="I133" t="n">
        <x:v>20</x:v>
      </x:c>
      <x:c r="J133" t="n">
        <x:v>3000000</x:v>
      </x:c>
      <x:c r="K133" t="n">
        <x:f>I133*J133</x:f>
        <x:v>60000000</x:v>
      </x:c>
      <x:c r="L133" t="str">
        <x:v>Cao</x:v>
      </x:c>
      <x:c r="M133" t="str">
        <x:v>Đã gửi duyệt</x:v>
      </x:c>
      <x:c r="N133" t="str">
        <x:v>Dữ liệu mẫu phục vụ demo quản trị ngân sách</x:v>
      </x:c>
    </x:row>
    <x:row r="134">
      <x:c r="A134" t="str">
        <x:v>DT-CAID-2026-133</x:v>
      </x:c>
      <x:c r="B134" t="str">
        <x:v>Phòng CAID</x:v>
      </x:c>
      <x:c r="C134" t="n">
        <x:v>2026</x:v>
      </x:c>
      <x:c r="D134" t="str">
        <x:v>Q1</x:v>
      </x:c>
      <x:c r="E134" t="str">
        <x:v>Fundraising Campaign</x:v>
      </x:c>
      <x:c r="F134" t="str">
        <x:v>Tài trợ sinh viên</x:v>
      </x:c>
      <x:c r="G134" t="str">
        <x:v>Tài trợ sinh viên phục vụ chương trình Fundraising Campaign năm 2026</x:v>
      </x:c>
      <x:c r="H134" t="str">
        <x:v>CAID - Career Services</x:v>
      </x:c>
      <x:c r="I134" t="n">
        <x:v>1</x:v>
      </x:c>
      <x:c r="J134" t="n">
        <x:v>200000000</x:v>
      </x:c>
      <x:c r="K134" t="n">
        <x:f>I134*J134</x:f>
        <x:v>200000000</x:v>
      </x:c>
      <x:c r="L134" t="str">
        <x:v>Cao</x:v>
      </x:c>
      <x:c r="M134" t="str">
        <x:v>Nháp</x:v>
      </x:c>
      <x:c r="N134" t="str">
        <x:v>Dữ liệu mẫu phục vụ demo quản trị ngân sách</x:v>
      </x:c>
    </x:row>
    <x:row r="135">
      <x:c r="A135" t="str">
        <x:v>DT-CAID-2026-134</x:v>
      </x:c>
      <x:c r="B135" t="str">
        <x:v>Phòng CAID</x:v>
      </x:c>
      <x:c r="C135" t="n">
        <x:v>2026</x:v>
      </x:c>
      <x:c r="D135" t="str">
        <x:v>Q2</x:v>
      </x:c>
      <x:c r="E135" t="str">
        <x:v>Alumni Engagement</x:v>
      </x:c>
      <x:c r="F135" t="str">
        <x:v>In ấn tài liệu</x:v>
      </x:c>
      <x:c r="G135" t="str">
        <x:v>In ấn tài liệu phục vụ chương trình Alumni Engagement năm 2026</x:v>
      </x:c>
      <x:c r="H135" t="str">
        <x:v>CAID - Partnership</x:v>
      </x:c>
      <x:c r="I135" t="n">
        <x:v>200</x:v>
      </x:c>
      <x:c r="J135" t="n">
        <x:v>50000000</x:v>
      </x:c>
      <x:c r="K135" t="n">
        <x:f>I135*J135</x:f>
        <x:v>10000000000</x:v>
      </x:c>
      <x:c r="L135" t="str">
        <x:v>Cao</x:v>
      </x:c>
      <x:c r="M135" t="str">
        <x:v>Đã duyệt</x:v>
      </x:c>
      <x:c r="N135" t="str">
        <x:v>Dữ liệu mẫu phục vụ demo quản trị ngân sách</x:v>
      </x:c>
    </x:row>
    <x:row r="136">
      <x:c r="A136" t="str">
        <x:v>DT-CAID-2026-135</x:v>
      </x:c>
      <x:c r="B136" t="str">
        <x:v>Phòng CAID</x:v>
      </x:c>
      <x:c r="C136" t="n">
        <x:v>2026</x:v>
      </x:c>
      <x:c r="D136" t="str">
        <x:v>Q3</x:v>
      </x:c>
      <x:c r="E136" t="str">
        <x:v>Development Event</x:v>
      </x:c>
      <x:c r="F136" t="str">
        <x:v>Thuê địa điểm</x:v>
      </x:c>
      <x:c r="G136" t="str">
        <x:v>Thuê địa điểm phục vụ chương trình Development Event năm 2026</x:v>
      </x:c>
      <x:c r="H136" t="str">
        <x:v>CAID - Development</x:v>
      </x:c>
      <x:c r="I136" t="n">
        <x:v>200</x:v>
      </x:c>
      <x:c r="J136" t="n">
        <x:v>8000000</x:v>
      </x:c>
      <x:c r="K136" t="n">
        <x:f>I136*J136</x:f>
        <x:v>1600000000</x:v>
      </x:c>
      <x:c r="L136" t="str">
        <x:v>Trung bình</x:v>
      </x:c>
      <x:c r="M136" t="str">
        <x:v>Đã duyệt</x:v>
      </x:c>
      <x:c r="N136" t="str">
        <x:v>Dữ liệu mẫu phục vụ demo quản trị ngân sách</x:v>
      </x:c>
    </x:row>
    <x:row r="137">
      <x:c r="A137" t="str">
        <x:v>DT-CAID-2026-136</x:v>
      </x:c>
      <x:c r="B137" t="str">
        <x:v>Phòng CAID</x:v>
      </x:c>
      <x:c r="C137" t="n">
        <x:v>2026</x:v>
      </x:c>
      <x:c r="D137" t="str">
        <x:v>Q4</x:v>
      </x:c>
      <x:c r="E137" t="str">
        <x:v>Career Fair</x:v>
      </x:c>
      <x:c r="F137" t="str">
        <x:v>Thuê địa điểm</x:v>
      </x:c>
      <x:c r="G137" t="str">
        <x:v>Thuê địa điểm phục vụ chương trình Career Fair năm 2026</x:v>
      </x:c>
      <x:c r="H137" t="str">
        <x:v>CAID - Partnership</x:v>
      </x:c>
      <x:c r="I137" t="n">
        <x:v>1</x:v>
      </x:c>
      <x:c r="J137" t="n">
        <x:v>50000000</x:v>
      </x:c>
      <x:c r="K137" t="n">
        <x:f>I137*J137</x:f>
        <x:v>50000000</x:v>
      </x:c>
      <x:c r="L137" t="str">
        <x:v>Trung bình</x:v>
      </x:c>
      <x:c r="M137" t="str">
        <x:v>Đã gửi duyệt</x:v>
      </x:c>
      <x:c r="N137" t="str">
        <x:v>Dữ liệu mẫu phục vụ demo quản trị ngân sách</x:v>
      </x:c>
    </x:row>
    <x:row r="138">
      <x:c r="A138" t="str">
        <x:v>DT-CAID-2026-137</x:v>
      </x:c>
      <x:c r="B138" t="str">
        <x:v>Phòng CAID</x:v>
      </x:c>
      <x:c r="C138" t="n">
        <x:v>2026</x:v>
      </x:c>
      <x:c r="D138" t="str">
        <x:v>Q1</x:v>
      </x:c>
      <x:c r="E138" t="str">
        <x:v>Innovation Challenge</x:v>
      </x:c>
      <x:c r="F138" t="str">
        <x:v>Chăm sóc nhà tài trợ</x:v>
      </x:c>
      <x:c r="G138" t="str">
        <x:v>Chăm sóc nhà tài trợ phục vụ chương trình Innovation Challenge năm 2026</x:v>
      </x:c>
      <x:c r="H138" t="str">
        <x:v>CAID - Development</x:v>
      </x:c>
      <x:c r="I138" t="n">
        <x:v>3</x:v>
      </x:c>
      <x:c r="J138" t="n">
        <x:v>75000000</x:v>
      </x:c>
      <x:c r="K138" t="n">
        <x:f>I138*J138</x:f>
        <x:v>225000000</x:v>
      </x:c>
      <x:c r="L138" t="str">
        <x:v>Cao</x:v>
      </x:c>
      <x:c r="M138" t="str">
        <x:v>Đã duyệt</x:v>
      </x:c>
      <x:c r="N138" t="str">
        <x:v>Dữ liệu mẫu phục vụ demo quản trị ngân sách</x:v>
      </x:c>
    </x:row>
    <x:row r="139">
      <x:c r="A139" t="str">
        <x:v>DT-CAID-2026-138</x:v>
      </x:c>
      <x:c r="B139" t="str">
        <x:v>Phòng CAID</x:v>
      </x:c>
      <x:c r="C139" t="n">
        <x:v>2026</x:v>
      </x:c>
      <x:c r="D139" t="str">
        <x:v>Q2</x:v>
      </x:c>
      <x:c r="E139" t="str">
        <x:v>MoU Signing</x:v>
      </x:c>
      <x:c r="F139" t="str">
        <x:v>Thuê địa điểm</x:v>
      </x:c>
      <x:c r="G139" t="str">
        <x:v>Thuê địa điểm phục vụ chương trình MoU Signing năm 2026</x:v>
      </x:c>
      <x:c r="H139" t="str">
        <x:v>CAID - Career Services</x:v>
      </x:c>
      <x:c r="I139" t="n">
        <x:v>10</x:v>
      </x:c>
      <x:c r="J139" t="n">
        <x:v>75000000</x:v>
      </x:c>
      <x:c r="K139" t="n">
        <x:f>I139*J139</x:f>
        <x:v>750000000</x:v>
      </x:c>
      <x:c r="L139" t="str">
        <x:v>Cao</x:v>
      </x:c>
      <x:c r="M139" t="str">
        <x:v>Đã thanh toán</x:v>
      </x:c>
      <x:c r="N139" t="str">
        <x:v>Dữ liệu mẫu phục vụ demo quản trị ngân sách</x:v>
      </x:c>
    </x:row>
    <x:row r="140">
      <x:c r="A140" t="str">
        <x:v>DT-CAID-2026-139</x:v>
      </x:c>
      <x:c r="B140" t="str">
        <x:v>Phòng CAID</x:v>
      </x:c>
      <x:c r="C140" t="n">
        <x:v>2026</x:v>
      </x:c>
      <x:c r="D140" t="str">
        <x:v>Q3</x:v>
      </x:c>
      <x:c r="E140" t="str">
        <x:v>Company Visit</x:v>
      </x:c>
      <x:c r="F140" t="str">
        <x:v>Chăm sóc nhà tài trợ</x:v>
      </x:c>
      <x:c r="G140" t="str">
        <x:v>Chăm sóc nhà tài trợ phục vụ chương trình Company Visit năm 2026</x:v>
      </x:c>
      <x:c r="H140" t="str">
        <x:v>CAID - Development</x:v>
      </x:c>
      <x:c r="I140" t="n">
        <x:v>1</x:v>
      </x:c>
      <x:c r="J140" t="n">
        <x:v>5000000</x:v>
      </x:c>
      <x:c r="K140" t="n">
        <x:f>I140*J140</x:f>
        <x:v>5000000</x:v>
      </x:c>
      <x:c r="L140" t="str">
        <x:v>Trung bình</x:v>
      </x:c>
      <x:c r="M140" t="str">
        <x:v>Đã thanh toán</x:v>
      </x:c>
      <x:c r="N140" t="str">
        <x:v>Dữ liệu mẫu phục vụ demo quản trị ngân sách</x:v>
      </x:c>
    </x:row>
    <x:row r="141">
      <x:c r="A141" t="str">
        <x:v>DT-CAID-2026-140</x:v>
      </x:c>
      <x:c r="B141" t="str">
        <x:v>Phòng CAID</x:v>
      </x:c>
      <x:c r="C141" t="n">
        <x:v>2026</x:v>
      </x:c>
      <x:c r="D141" t="str">
        <x:v>Q4</x:v>
      </x:c>
      <x:c r="E141" t="str">
        <x:v>Fundraising Campaign</x:v>
      </x:c>
      <x:c r="F141" t="str">
        <x:v>Phần mềm CRM</x:v>
      </x:c>
      <x:c r="G141" t="str">
        <x:v>Phần mềm CRM phục vụ chương trình Fundraising Campaign năm 2026</x:v>
      </x:c>
      <x:c r="H141" t="str">
        <x:v>CAID - Alumni Relations</x:v>
      </x:c>
      <x:c r="I141" t="n">
        <x:v>1</x:v>
      </x:c>
      <x:c r="J141" t="n">
        <x:v>250000000</x:v>
      </x:c>
      <x:c r="K141" t="n">
        <x:f>I141*J141</x:f>
        <x:v>250000000</x:v>
      </x:c>
      <x:c r="L141" t="str">
        <x:v>Thấp</x:v>
      </x:c>
      <x:c r="M141" t="str">
        <x:v>Đã duyệt</x:v>
      </x:c>
      <x:c r="N141" t="str">
        <x:v>Dữ liệu mẫu phục vụ demo quản trị ngân sách</x:v>
      </x:c>
    </x:row>
    <x:row r="142">
      <x:c r="A142" t="str">
        <x:v>DT-CAID-2026-141</x:v>
      </x:c>
      <x:c r="B142" t="str">
        <x:v>Phòng CAID</x:v>
      </x:c>
      <x:c r="C142" t="n">
        <x:v>2026</x:v>
      </x:c>
      <x:c r="D142" t="str">
        <x:v>Q1</x:v>
      </x:c>
      <x:c r="E142" t="str">
        <x:v>MoU Signing</x:v>
      </x:c>
      <x:c r="F142" t="str">
        <x:v>Diễn giả/chuyên gia</x:v>
      </x:c>
      <x:c r="G142" t="str">
        <x:v>Diễn giả/chuyên gia phục vụ chương trình MoU Signing năm 2026</x:v>
      </x:c>
      <x:c r="H142" t="str">
        <x:v>CAID - Alumni Relations</x:v>
      </x:c>
      <x:c r="I142" t="n">
        <x:v>4</x:v>
      </x:c>
      <x:c r="J142" t="n">
        <x:v>75000000</x:v>
      </x:c>
      <x:c r="K142" t="n">
        <x:f>I142*J142</x:f>
        <x:v>300000000</x:v>
      </x:c>
      <x:c r="L142" t="str">
        <x:v>Trung bình</x:v>
      </x:c>
      <x:c r="M142" t="str">
        <x:v>Đã gửi duyệt</x:v>
      </x:c>
      <x:c r="N142" t="str">
        <x:v>Dữ liệu mẫu phục vụ demo quản trị ngân sách</x:v>
      </x:c>
    </x:row>
    <x:row r="143">
      <x:c r="A143" t="str">
        <x:v>DT-CAID-2026-142</x:v>
      </x:c>
      <x:c r="B143" t="str">
        <x:v>Phòng CAID</x:v>
      </x:c>
      <x:c r="C143" t="n">
        <x:v>2026</x:v>
      </x:c>
      <x:c r="D143" t="str">
        <x:v>Q2</x:v>
      </x:c>
      <x:c r="E143" t="str">
        <x:v>Employer Branding</x:v>
      </x:c>
      <x:c r="F143" t="str">
        <x:v>Chăm sóc nhà tài trợ</x:v>
      </x:c>
      <x:c r="G143" t="str">
        <x:v>Chăm sóc nhà tài trợ phục vụ chương trình Employer Branding năm 2026</x:v>
      </x:c>
      <x:c r="H143" t="str">
        <x:v>CAID - Alumni Relations</x:v>
      </x:c>
      <x:c r="I143" t="n">
        <x:v>2</x:v>
      </x:c>
      <x:c r="J143" t="n">
        <x:v>100000000</x:v>
      </x:c>
      <x:c r="K143" t="n">
        <x:f>I143*J143</x:f>
        <x:v>200000000</x:v>
      </x:c>
      <x:c r="L143" t="str">
        <x:v>Cao</x:v>
      </x:c>
      <x:c r="M143" t="str">
        <x:v>Đã thanh toán</x:v>
      </x:c>
      <x:c r="N143" t="str">
        <x:v>Dữ liệu mẫu phục vụ demo quản trị ngân sách</x:v>
      </x:c>
    </x:row>
    <x:row r="144">
      <x:c r="A144" t="str">
        <x:v>DT-CAID-2026-143</x:v>
      </x:c>
      <x:c r="B144" t="str">
        <x:v>Phòng CAID</x:v>
      </x:c>
      <x:c r="C144" t="n">
        <x:v>2026</x:v>
      </x:c>
      <x:c r="D144" t="str">
        <x:v>Q3</x:v>
      </x:c>
      <x:c r="E144" t="str">
        <x:v>Corporate Partnership</x:v>
      </x:c>
      <x:c r="F144" t="str">
        <x:v>Diễn giả/chuyên gia</x:v>
      </x:c>
      <x:c r="G144" t="str">
        <x:v>Diễn giả/chuyên gia phục vụ chương trình Corporate Partnership năm 2026</x:v>
      </x:c>
      <x:c r="H144" t="str">
        <x:v>CAID - Alumni Relations</x:v>
      </x:c>
      <x:c r="I144" t="n">
        <x:v>200</x:v>
      </x:c>
      <x:c r="J144" t="n">
        <x:v>50000000</x:v>
      </x:c>
      <x:c r="K144" t="n">
        <x:f>I144*J144</x:f>
        <x:v>10000000000</x:v>
      </x:c>
      <x:c r="L144" t="str">
        <x:v>Cao</x:v>
      </x:c>
      <x:c r="M144" t="str">
        <x:v>Đã duyệt</x:v>
      </x:c>
      <x:c r="N144" t="str">
        <x:v>Dữ liệu mẫu phục vụ demo quản trị ngân sách</x:v>
      </x:c>
    </x:row>
    <x:row r="145">
      <x:c r="A145" t="str">
        <x:v>DT-CAID-2026-144</x:v>
      </x:c>
      <x:c r="B145" t="str">
        <x:v>Phòng CAID</x:v>
      </x:c>
      <x:c r="C145" t="n">
        <x:v>2026</x:v>
      </x:c>
      <x:c r="D145" t="str">
        <x:v>Q4</x:v>
      </x:c>
      <x:c r="E145" t="str">
        <x:v>Donor Stewardship</x:v>
      </x:c>
      <x:c r="F145" t="str">
        <x:v>Hội thảo doanh nghiệp</x:v>
      </x:c>
      <x:c r="G145" t="str">
        <x:v>Hội thảo doanh nghiệp phục vụ chương trình Donor Stewardship năm 2026</x:v>
      </x:c>
      <x:c r="H145" t="str">
        <x:v>CAID - Partnership</x:v>
      </x:c>
      <x:c r="I145" t="n">
        <x:v>1</x:v>
      </x:c>
      <x:c r="J145" t="n">
        <x:v>50000000</x:v>
      </x:c>
      <x:c r="K145" t="n">
        <x:f>I145*J145</x:f>
        <x:v>50000000</x:v>
      </x:c>
      <x:c r="L145" t="str">
        <x:v>Cao</x:v>
      </x:c>
      <x:c r="M145" t="str">
        <x:v>Đã thanh toán</x:v>
      </x:c>
      <x:c r="N145" t="str">
        <x:v>Dữ liệu mẫu phục vụ demo quản trị ngân sách</x:v>
      </x:c>
    </x:row>
    <x:row r="146">
      <x:c r="A146" t="str">
        <x:v>DT-CAID-2026-145</x:v>
      </x:c>
      <x:c r="B146" t="str">
        <x:v>Phòng CAID</x:v>
      </x:c>
      <x:c r="C146" t="n">
        <x:v>2026</x:v>
      </x:c>
      <x:c r="D146" t="str">
        <x:v>Q1</x:v>
      </x:c>
      <x:c r="E146" t="str">
        <x:v>Fundraising Campaign</x:v>
      </x:c>
      <x:c r="F146" t="str">
        <x:v>Tiếp khách doanh nghiệp</x:v>
      </x:c>
      <x:c r="G146" t="str">
        <x:v>Tiếp khách doanh nghiệp phục vụ chương trình Fundraising Campaign năm 2026</x:v>
      </x:c>
      <x:c r="H146" t="str">
        <x:v>CAID - Partnership</x:v>
      </x:c>
      <x:c r="I146" t="n">
        <x:v>5</x:v>
      </x:c>
      <x:c r="J146" t="n">
        <x:v>300000000</x:v>
      </x:c>
      <x:c r="K146" t="n">
        <x:f>I146*J146</x:f>
        <x:v>1500000000</x:v>
      </x:c>
      <x:c r="L146" t="str">
        <x:v>Trung bình</x:v>
      </x:c>
      <x:c r="M146" t="str">
        <x:v>Đã duyệt</x:v>
      </x:c>
      <x:c r="N146" t="str">
        <x:v>Dữ liệu mẫu phục vụ demo quản trị ngân sách</x:v>
      </x:c>
    </x:row>
    <x:row r="147">
      <x:c r="A147" t="str">
        <x:v>DT-CAID-2026-146</x:v>
      </x:c>
      <x:c r="B147" t="str">
        <x:v>Phòng CAID</x:v>
      </x:c>
      <x:c r="C147" t="n">
        <x:v>2026</x:v>
      </x:c>
      <x:c r="D147" t="str">
        <x:v>Q2</x:v>
      </x:c>
      <x:c r="E147" t="str">
        <x:v>Mentorship Program</x:v>
      </x:c>
      <x:c r="F147" t="str">
        <x:v>Truyền thông &amp; thiết kế</x:v>
      </x:c>
      <x:c r="G147" t="str">
        <x:v>Truyền thông &amp; thiết kế phục vụ chương trình Mentorship Program năm 2026</x:v>
      </x:c>
      <x:c r="H147" t="str">
        <x:v>CAID - Development</x:v>
      </x:c>
      <x:c r="I147" t="n">
        <x:v>1</x:v>
      </x:c>
      <x:c r="J147" t="n">
        <x:v>50000000</x:v>
      </x:c>
      <x:c r="K147" t="n">
        <x:f>I147*J147</x:f>
        <x:v>50000000</x:v>
      </x:c>
      <x:c r="L147" t="str">
        <x:v>Cao</x:v>
      </x:c>
      <x:c r="M147" t="str">
        <x:v>Đã duyệt</x:v>
      </x:c>
      <x:c r="N147" t="str">
        <x:v>Dữ liệu mẫu phục vụ demo quản trị ngân sách</x:v>
      </x:c>
    </x:row>
    <x:row r="148">
      <x:c r="A148" t="str">
        <x:v>DT-CAID-2026-147</x:v>
      </x:c>
      <x:c r="B148" t="str">
        <x:v>Phòng CAID</x:v>
      </x:c>
      <x:c r="C148" t="n">
        <x:v>2026</x:v>
      </x:c>
      <x:c r="D148" t="str">
        <x:v>Q3</x:v>
      </x:c>
      <x:c r="E148" t="str">
        <x:v>Mentorship Program</x:v>
      </x:c>
      <x:c r="F148" t="str">
        <x:v>Tiếp khách doanh nghiệp</x:v>
      </x:c>
      <x:c r="G148" t="str">
        <x:v>Tiếp khách doanh nghiệp phục vụ chương trình Mentorship Program năm 2026</x:v>
      </x:c>
      <x:c r="H148" t="str">
        <x:v>CAID - Alumni Relations</x:v>
      </x:c>
      <x:c r="I148" t="n">
        <x:v>4</x:v>
      </x:c>
      <x:c r="J148" t="n">
        <x:v>150000000</x:v>
      </x:c>
      <x:c r="K148" t="n">
        <x:f>I148*J148</x:f>
        <x:v>600000000</x:v>
      </x:c>
      <x:c r="L148" t="str">
        <x:v>Thấp</x:v>
      </x:c>
      <x:c r="M148" t="str">
        <x:v>Đã duyệt</x:v>
      </x:c>
      <x:c r="N148" t="str">
        <x:v>Dữ liệu mẫu phục vụ demo quản trị ngân sách</x:v>
      </x:c>
    </x:row>
    <x:row r="149">
      <x:c r="A149" t="str">
        <x:v>DT-CAID-2026-148</x:v>
      </x:c>
      <x:c r="B149" t="str">
        <x:v>Phòng CAID</x:v>
      </x:c>
      <x:c r="C149" t="n">
        <x:v>2026</x:v>
      </x:c>
      <x:c r="D149" t="str">
        <x:v>Q4</x:v>
      </x:c>
      <x:c r="E149" t="str">
        <x:v>Innovation Challenge</x:v>
      </x:c>
      <x:c r="F149" t="str">
        <x:v>In ấn tài liệu</x:v>
      </x:c>
      <x:c r="G149" t="str">
        <x:v>In ấn tài liệu phục vụ chương trình Innovation Challenge năm 2026</x:v>
      </x:c>
      <x:c r="H149" t="str">
        <x:v>CAID - Partnership</x:v>
      </x:c>
      <x:c r="I149" t="n">
        <x:v>20</x:v>
      </x:c>
      <x:c r="J149" t="n">
        <x:v>3000000</x:v>
      </x:c>
      <x:c r="K149" t="n">
        <x:f>I149*J149</x:f>
        <x:v>60000000</x:v>
      </x:c>
      <x:c r="L149" t="str">
        <x:v>Cao</x:v>
      </x:c>
      <x:c r="M149" t="str">
        <x:v>Đã duyệt</x:v>
      </x:c>
      <x:c r="N149" t="str">
        <x:v>Dữ liệu mẫu phục vụ demo quản trị ngân sách</x:v>
      </x:c>
    </x:row>
    <x:row r="150">
      <x:c r="A150" t="str">
        <x:v>DT-CAID-2026-149</x:v>
      </x:c>
      <x:c r="B150" t="str">
        <x:v>Phòng CAID</x:v>
      </x:c>
      <x:c r="C150" t="n">
        <x:v>2026</x:v>
      </x:c>
      <x:c r="D150" t="str">
        <x:v>Q1</x:v>
      </x:c>
      <x:c r="E150" t="str">
        <x:v>Alumni Engagement</x:v>
      </x:c>
      <x:c r="F150" t="str">
        <x:v>Thuê địa điểm</x:v>
      </x:c>
      <x:c r="G150" t="str">
        <x:v>Thuê địa điểm phục vụ chương trình Alumni Engagement năm 2026</x:v>
      </x:c>
      <x:c r="H150" t="str">
        <x:v>CAID - Alumni Relations</x:v>
      </x:c>
      <x:c r="I150" t="n">
        <x:v>200</x:v>
      </x:c>
      <x:c r="J150" t="n">
        <x:v>5000000</x:v>
      </x:c>
      <x:c r="K150" t="n">
        <x:f>I150*J150</x:f>
        <x:v>1000000000</x:v>
      </x:c>
      <x:c r="L150" t="str">
        <x:v>Thấp</x:v>
      </x:c>
      <x:c r="M150" t="str">
        <x:v>Đã thanh toán</x:v>
      </x:c>
      <x:c r="N150" t="str">
        <x:v>Dữ liệu mẫu phục vụ demo quản trị ngân sách</x:v>
      </x:c>
    </x:row>
    <x:row r="151">
      <x:c r="A151" t="str">
        <x:v>DT-CAID-2026-150</x:v>
      </x:c>
      <x:c r="B151" t="str">
        <x:v>Phòng CAID</x:v>
      </x:c>
      <x:c r="C151" t="n">
        <x:v>2026</x:v>
      </x:c>
      <x:c r="D151" t="str">
        <x:v>Q2</x:v>
      </x:c>
      <x:c r="E151" t="str">
        <x:v>Corporate Training</x:v>
      </x:c>
      <x:c r="F151" t="str">
        <x:v>Tiếp khách doanh nghiệp</x:v>
      </x:c>
      <x:c r="G151" t="str">
        <x:v>Tiếp khách doanh nghiệp phục vụ chương trình Corporate Training năm 2026</x:v>
      </x:c>
      <x:c r="H151" t="str">
        <x:v>CAID - Development</x:v>
      </x:c>
      <x:c r="I151" t="n">
        <x:v>10</x:v>
      </x:c>
      <x:c r="J151" t="n">
        <x:v>8000000</x:v>
      </x:c>
      <x:c r="K151" t="n">
        <x:f>I151*J151</x:f>
        <x:v>80000000</x:v>
      </x:c>
      <x:c r="L151" t="str">
        <x:v>Thấp</x:v>
      </x:c>
      <x:c r="M151" t="str">
        <x:v>Nháp</x:v>
      </x:c>
      <x:c r="N151" t="str">
        <x:v>Dữ liệu mẫu phục vụ demo quản trị ngân sách</x:v>
      </x:c>
    </x:row>
  </x:sheetData>
  <x:dataValidations count="3">
    <x:dataValidation type="list" sqref="E2:E151">
      <x:formula1>Danh_muc!$A$2:$A$16</x:formula1>
    </x:dataValidation>
    <x:dataValidation type="list" sqref="L2:L151">
      <x:formula1>Danh_muc!$E$2:$E$4</x:formula1>
    </x:dataValidation>
    <x:dataValidation type="list" sqref="M2:M151">
      <x:formula1>Danh_muc!$C$2:$C$7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05211e8fe543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35" hidden="0" customWidth="1"/>
  </x:cols>
  <x:sheetData>
    <x:row r="1">
      <x:c r="A1" s="28" t="str">
        <x:v>Thang</x:v>
      </x:c>
      <x:c r="B1" s="10" t="str">
        <x:v>Quy</x:v>
      </x:c>
      <x:c r="C1" s="10" t="str">
        <x:v>Chuong_trinh</x:v>
      </x:c>
      <x:c r="D1" s="20" t="str">
        <x:v>Ngan_sach_ke_hoach_VND</x:v>
      </x:c>
      <x:c r="E1" s="20" t="str">
        <x:v>Thuc_chi_VND</x:v>
      </x:c>
      <x:c r="F1" s="20" t="str">
        <x:v>Chen_lech_VND</x:v>
      </x:c>
      <x:c r="G1" s="24" t="str">
        <x:v>Ty_le_su_dung</x:v>
      </x:c>
      <x:c r="H1" s="10" t="str">
        <x:v>Canh_bao</x:v>
      </x:c>
      <x:c r="I1" s="10" t="str">
        <x:v>Ghi_chu</x:v>
      </x:c>
    </x:row>
    <x:row r="2">
      <x:c r="A2" t="n">
        <x:v>46023</x:v>
      </x:c>
      <x:c r="B2" t="str">
        <x:v>Q1</x:v>
      </x:c>
      <x:c r="C2" t="str">
        <x:v>Corporate Partnership</x:v>
      </x:c>
      <x:c r="D2" t="n">
        <x:v>300000000</x:v>
      </x:c>
      <x:c r="E2" t="n">
        <x:v>256484753</x:v>
      </x:c>
      <x:c r="F2" t="n">
        <x:f>E2-D2</x:f>
        <x:v>-43515247</x:v>
      </x:c>
      <x:c r="G2" t="n">
        <x:f>IF(D2=0,0,E2/D2)</x:f>
        <x:v>0.8549491766666667</x:v>
      </x:c>
      <x:c r="H2" t="str">
        <x:f>IF(G2&gt;1.05,"Vượt kế hoạch",IF(G2&lt;0.8,"Giải ngân thấp","Đúng tiến độ"))</x:f>
        <x:v>Đúng tiến độ</x:v>
      </x:c>
      <x:c r="I2" t="str">
        <x:v>Theo dõi theo tháng và chương trình</x:v>
      </x:c>
    </x:row>
    <x:row r="3">
      <x:c r="A3" t="n">
        <x:v>46023</x:v>
      </x:c>
      <x:c r="B3" t="str">
        <x:v>Q1</x:v>
      </x:c>
      <x:c r="C3" t="str">
        <x:v>Career Fair</x:v>
      </x:c>
      <x:c r="D3" t="n">
        <x:v>150000000</x:v>
      </x:c>
      <x:c r="E3" t="n">
        <x:v>118044315</x:v>
      </x:c>
      <x:c r="F3" t="n">
        <x:f>E3-D3</x:f>
        <x:v>-31955685</x:v>
      </x:c>
      <x:c r="G3" t="n">
        <x:f>IF(D3=0,0,E3/D3)</x:f>
        <x:v>0.7869621</x:v>
      </x:c>
      <x:c r="H3" t="str">
        <x:f>IF(G3&gt;1.05,"Vượt kế hoạch",IF(G3&lt;0.8,"Giải ngân thấp","Đúng tiến độ"))</x:f>
        <x:v>Giải ngân thấp</x:v>
      </x:c>
      <x:c r="I3" t="str">
        <x:v>Theo dõi theo tháng và chương trình</x:v>
      </x:c>
    </x:row>
    <x:row r="4">
      <x:c r="A4" t="n">
        <x:v>46023</x:v>
      </x:c>
      <x:c r="B4" t="str">
        <x:v>Q1</x:v>
      </x:c>
      <x:c r="C4" t="str">
        <x:v>Internship Program</x:v>
      </x:c>
      <x:c r="D4" t="n">
        <x:v>150000000</x:v>
      </x:c>
      <x:c r="E4" t="n">
        <x:v>136431570</x:v>
      </x:c>
      <x:c r="F4" t="n">
        <x:f>E4-D4</x:f>
        <x:v>-13568430</x:v>
      </x:c>
      <x:c r="G4" t="n">
        <x:f>IF(D4=0,0,E4/D4)</x:f>
        <x:v>0.9095438</x:v>
      </x:c>
      <x:c r="H4" t="str">
        <x:f>IF(G4&gt;1.05,"Vượt kế hoạch",IF(G4&lt;0.8,"Giải ngân thấp","Đúng tiến độ"))</x:f>
        <x:v>Đúng tiến độ</x:v>
      </x:c>
      <x:c r="I4" t="str">
        <x:v>Theo dõi theo tháng và chương trình</x:v>
      </x:c>
    </x:row>
    <x:row r="5">
      <x:c r="A5" t="n">
        <x:v>46023</x:v>
      </x:c>
      <x:c r="B5" t="str">
        <x:v>Q1</x:v>
      </x:c>
      <x:c r="C5" t="str">
        <x:v>Employer Branding</x:v>
      </x:c>
      <x:c r="D5" t="n">
        <x:v>200000000</x:v>
      </x:c>
      <x:c r="E5" t="n">
        <x:v>216911791</x:v>
      </x:c>
      <x:c r="F5" t="n">
        <x:f>E5-D5</x:f>
        <x:v>16911791</x:v>
      </x:c>
      <x:c r="G5" t="n">
        <x:f>IF(D5=0,0,E5/D5)</x:f>
        <x:v>1.084558955</x:v>
      </x:c>
      <x:c r="H5" t="str">
        <x:f>IF(G5&gt;1.05,"Vượt kế hoạch",IF(G5&lt;0.8,"Giải ngân thấp","Đúng tiến độ"))</x:f>
        <x:v>Vượt kế hoạch</x:v>
      </x:c>
      <x:c r="I5" t="str">
        <x:v>Theo dõi theo tháng và chương trình</x:v>
      </x:c>
    </x:row>
    <x:row r="6">
      <x:c r="A6" t="n">
        <x:v>46023</x:v>
      </x:c>
      <x:c r="B6" t="str">
        <x:v>Q1</x:v>
      </x:c>
      <x:c r="C6" t="str">
        <x:v>Alumni Engagement</x:v>
      </x:c>
      <x:c r="D6" t="n">
        <x:v>75000000</x:v>
      </x:c>
      <x:c r="E6" t="n">
        <x:v>60039892</x:v>
      </x:c>
      <x:c r="F6" t="n">
        <x:f>E6-D6</x:f>
        <x:v>-14960108</x:v>
      </x:c>
      <x:c r="G6" t="n">
        <x:f>IF(D6=0,0,E6/D6)</x:f>
        <x:v>0.8005318933333333</x:v>
      </x:c>
      <x:c r="H6" t="str">
        <x:f>IF(G6&gt;1.05,"Vượt kế hoạch",IF(G6&lt;0.8,"Giải ngân thấp","Đúng tiến độ"))</x:f>
        <x:v>Đúng tiến độ</x:v>
      </x:c>
      <x:c r="I6" t="str">
        <x:v>Theo dõi theo tháng và chương trình</x:v>
      </x:c>
    </x:row>
    <x:row r="7">
      <x:c r="A7" t="n">
        <x:v>46023</x:v>
      </x:c>
      <x:c r="B7" t="str">
        <x:v>Q1</x:v>
      </x:c>
      <x:c r="C7" t="str">
        <x:v>Fundraising Campaign</x:v>
      </x:c>
      <x:c r="D7" t="n">
        <x:v>225000000</x:v>
      </x:c>
      <x:c r="E7" t="n">
        <x:v>226140023</x:v>
      </x:c>
      <x:c r="F7" t="n">
        <x:f>E7-D7</x:f>
        <x:v>1140023</x:v>
      </x:c>
      <x:c r="G7" t="n">
        <x:f>IF(D7=0,0,E7/D7)</x:f>
        <x:v>1.0050667688888888</x:v>
      </x:c>
      <x:c r="H7" t="str">
        <x:f>IF(G7&gt;1.05,"Vượt kế hoạch",IF(G7&lt;0.8,"Giải ngân thấp","Đúng tiến độ"))</x:f>
        <x:v>Đúng tiến độ</x:v>
      </x:c>
      <x:c r="I7" t="str">
        <x:v>Theo dõi theo tháng và chương trình</x:v>
      </x:c>
    </x:row>
    <x:row r="8">
      <x:c r="A8" t="n">
        <x:v>46023</x:v>
      </x:c>
      <x:c r="B8" t="str">
        <x:v>Q1</x:v>
      </x:c>
      <x:c r="C8" t="str">
        <x:v>Scholarship Donor Program</x:v>
      </x:c>
      <x:c r="D8" t="n">
        <x:v>75000000</x:v>
      </x:c>
      <x:c r="E8" t="n">
        <x:v>71169520</x:v>
      </x:c>
      <x:c r="F8" t="n">
        <x:f>E8-D8</x:f>
        <x:v>-3830480</x:v>
      </x:c>
      <x:c r="G8" t="n">
        <x:f>IF(D8=0,0,E8/D8)</x:f>
        <x:v>0.9489269333333333</x:v>
      </x:c>
      <x:c r="H8" t="str">
        <x:f>IF(G8&gt;1.05,"Vượt kế hoạch",IF(G8&lt;0.8,"Giải ngân thấp","Đúng tiến độ"))</x:f>
        <x:v>Đúng tiến độ</x:v>
      </x:c>
      <x:c r="I8" t="str">
        <x:v>Theo dõi theo tháng và chương trình</x:v>
      </x:c>
    </x:row>
    <x:row r="9">
      <x:c r="A9" t="n">
        <x:v>46023</x:v>
      </x:c>
      <x:c r="B9" t="str">
        <x:v>Q1</x:v>
      </x:c>
      <x:c r="C9" t="str">
        <x:v>MoU Signing</x:v>
      </x:c>
      <x:c r="D9" t="n">
        <x:v>150000000</x:v>
      </x:c>
      <x:c r="E9" t="n">
        <x:v>117875122</x:v>
      </x:c>
      <x:c r="F9" t="n">
        <x:f>E9-D9</x:f>
        <x:v>-32124878</x:v>
      </x:c>
      <x:c r="G9" t="n">
        <x:f>IF(D9=0,0,E9/D9)</x:f>
        <x:v>0.7858341466666666</x:v>
      </x:c>
      <x:c r="H9" t="str">
        <x:f>IF(G9&gt;1.05,"Vượt kế hoạch",IF(G9&lt;0.8,"Giải ngân thấp","Đúng tiến độ"))</x:f>
        <x:v>Giải ngân thấp</x:v>
      </x:c>
      <x:c r="I9" t="str">
        <x:v>Theo dõi theo tháng và chương trình</x:v>
      </x:c>
    </x:row>
    <x:row r="10">
      <x:c r="A10" t="n">
        <x:v>46023</x:v>
      </x:c>
      <x:c r="B10" t="str">
        <x:v>Q1</x:v>
      </x:c>
      <x:c r="C10" t="str">
        <x:v>Company Visit</x:v>
      </x:c>
      <x:c r="D10" t="n">
        <x:v>125000000</x:v>
      </x:c>
      <x:c r="E10" t="n">
        <x:v>126679516</x:v>
      </x:c>
      <x:c r="F10" t="n">
        <x:f>E10-D10</x:f>
        <x:v>1679516</x:v>
      </x:c>
      <x:c r="G10" t="n">
        <x:f>IF(D10=0,0,E10/D10)</x:f>
        <x:v>1.013436128</x:v>
      </x:c>
      <x:c r="H10" t="str">
        <x:f>IF(G10&gt;1.05,"Vượt kế hoạch",IF(G10&lt;0.8,"Giải ngân thấp","Đúng tiến độ"))</x:f>
        <x:v>Đúng tiến độ</x:v>
      </x:c>
      <x:c r="I10" t="str">
        <x:v>Theo dõi theo tháng và chương trình</x:v>
      </x:c>
    </x:row>
    <x:row r="11">
      <x:c r="A11" t="n">
        <x:v>46023</x:v>
      </x:c>
      <x:c r="B11" t="str">
        <x:v>Q1</x:v>
      </x:c>
      <x:c r="C11" t="str">
        <x:v>Industry Advisory Board</x:v>
      </x:c>
      <x:c r="D11" t="n">
        <x:v>125000000</x:v>
      </x:c>
      <x:c r="E11" t="n">
        <x:v>104681285</x:v>
      </x:c>
      <x:c r="F11" t="n">
        <x:f>E11-D11</x:f>
        <x:v>-20318715</x:v>
      </x:c>
      <x:c r="G11" t="n">
        <x:f>IF(D11=0,0,E11/D11)</x:f>
        <x:v>0.83745028</x:v>
      </x:c>
      <x:c r="H11" t="str">
        <x:f>IF(G11&gt;1.05,"Vượt kế hoạch",IF(G11&lt;0.8,"Giải ngân thấp","Đúng tiến độ"))</x:f>
        <x:v>Đúng tiến độ</x:v>
      </x:c>
      <x:c r="I11" t="str">
        <x:v>Theo dõi theo tháng và chương trình</x:v>
      </x:c>
    </x:row>
    <x:row r="12">
      <x:c r="A12" t="n">
        <x:v>46054</x:v>
      </x:c>
      <x:c r="B12" t="str">
        <x:v>Q1</x:v>
      </x:c>
      <x:c r="C12" t="str">
        <x:v>Corporate Partnership</x:v>
      </x:c>
      <x:c r="D12" t="n">
        <x:v>75000000</x:v>
      </x:c>
      <x:c r="E12" t="n">
        <x:v>85091725</x:v>
      </x:c>
      <x:c r="F12" t="n">
        <x:f>E12-D12</x:f>
        <x:v>10091725</x:v>
      </x:c>
      <x:c r="G12" t="n">
        <x:f>IF(D12=0,0,E12/D12)</x:f>
        <x:v>1.1345563333333333</x:v>
      </x:c>
      <x:c r="H12" t="str">
        <x:f>IF(G12&gt;1.05,"Vượt kế hoạch",IF(G12&lt;0.8,"Giải ngân thấp","Đúng tiến độ"))</x:f>
        <x:v>Vượt kế hoạch</x:v>
      </x:c>
      <x:c r="I12" t="str">
        <x:v>Theo dõi theo tháng và chương trình</x:v>
      </x:c>
    </x:row>
    <x:row r="13">
      <x:c r="A13" t="n">
        <x:v>46054</x:v>
      </x:c>
      <x:c r="B13" t="str">
        <x:v>Q1</x:v>
      </x:c>
      <x:c r="C13" t="str">
        <x:v>Career Fair</x:v>
      </x:c>
      <x:c r="D13" t="n">
        <x:v>400000000</x:v>
      </x:c>
      <x:c r="E13" t="n">
        <x:v>317067514</x:v>
      </x:c>
      <x:c r="F13" t="n">
        <x:f>E13-D13</x:f>
        <x:v>-82932486</x:v>
      </x:c>
      <x:c r="G13" t="n">
        <x:f>IF(D13=0,0,E13/D13)</x:f>
        <x:v>0.792668785</x:v>
      </x:c>
      <x:c r="H13" t="str">
        <x:f>IF(G13&gt;1.05,"Vượt kế hoạch",IF(G13&lt;0.8,"Giải ngân thấp","Đúng tiến độ"))</x:f>
        <x:v>Giải ngân thấp</x:v>
      </x:c>
      <x:c r="I13" t="str">
        <x:v>Theo dõi theo tháng và chương trình</x:v>
      </x:c>
    </x:row>
    <x:row r="14">
      <x:c r="A14" t="n">
        <x:v>46054</x:v>
      </x:c>
      <x:c r="B14" t="str">
        <x:v>Q1</x:v>
      </x:c>
      <x:c r="C14" t="str">
        <x:v>Internship Program</x:v>
      </x:c>
      <x:c r="D14" t="n">
        <x:v>125000000</x:v>
      </x:c>
      <x:c r="E14" t="n">
        <x:v>144351049</x:v>
      </x:c>
      <x:c r="F14" t="n">
        <x:f>E14-D14</x:f>
        <x:v>19351049</x:v>
      </x:c>
      <x:c r="G14" t="n">
        <x:f>IF(D14=0,0,E14/D14)</x:f>
        <x:v>1.154808392</x:v>
      </x:c>
      <x:c r="H14" t="str">
        <x:f>IF(G14&gt;1.05,"Vượt kế hoạch",IF(G14&lt;0.8,"Giải ngân thấp","Đúng tiến độ"))</x:f>
        <x:v>Vượt kế hoạch</x:v>
      </x:c>
      <x:c r="I14" t="str">
        <x:v>Theo dõi theo tháng và chương trình</x:v>
      </x:c>
    </x:row>
    <x:row r="15">
      <x:c r="A15" t="n">
        <x:v>46054</x:v>
      </x:c>
      <x:c r="B15" t="str">
        <x:v>Q1</x:v>
      </x:c>
      <x:c r="C15" t="str">
        <x:v>Employer Branding</x:v>
      </x:c>
      <x:c r="D15" t="n">
        <x:v>150000000</x:v>
      </x:c>
      <x:c r="E15" t="n">
        <x:v>128641643</x:v>
      </x:c>
      <x:c r="F15" t="n">
        <x:f>E15-D15</x:f>
        <x:v>-21358357</x:v>
      </x:c>
      <x:c r="G15" t="n">
        <x:f>IF(D15=0,0,E15/D15)</x:f>
        <x:v>0.8576109533333334</x:v>
      </x:c>
      <x:c r="H15" t="str">
        <x:f>IF(G15&gt;1.05,"Vượt kế hoạch",IF(G15&lt;0.8,"Giải ngân thấp","Đúng tiến độ"))</x:f>
        <x:v>Đúng tiến độ</x:v>
      </x:c>
      <x:c r="I15" t="str">
        <x:v>Theo dõi theo tháng và chương trình</x:v>
      </x:c>
    </x:row>
    <x:row r="16">
      <x:c r="A16" t="n">
        <x:v>46054</x:v>
      </x:c>
      <x:c r="B16" t="str">
        <x:v>Q1</x:v>
      </x:c>
      <x:c r="C16" t="str">
        <x:v>Alumni Engagement</x:v>
      </x:c>
      <x:c r="D16" t="n">
        <x:v>125000000</x:v>
      </x:c>
      <x:c r="E16" t="n">
        <x:v>129693026</x:v>
      </x:c>
      <x:c r="F16" t="n">
        <x:f>E16-D16</x:f>
        <x:v>4693026</x:v>
      </x:c>
      <x:c r="G16" t="n">
        <x:f>IF(D16=0,0,E16/D16)</x:f>
        <x:v>1.037544208</x:v>
      </x:c>
      <x:c r="H16" t="str">
        <x:f>IF(G16&gt;1.05,"Vượt kế hoạch",IF(G16&lt;0.8,"Giải ngân thấp","Đúng tiến độ"))</x:f>
        <x:v>Đúng tiến độ</x:v>
      </x:c>
      <x:c r="I16" t="str">
        <x:v>Theo dõi theo tháng và chương trình</x:v>
      </x:c>
    </x:row>
    <x:row r="17">
      <x:c r="A17" t="n">
        <x:v>46054</x:v>
      </x:c>
      <x:c r="B17" t="str">
        <x:v>Q1</x:v>
      </x:c>
      <x:c r="C17" t="str">
        <x:v>Fundraising Campaign</x:v>
      </x:c>
      <x:c r="D17" t="n">
        <x:v>187500000</x:v>
      </x:c>
      <x:c r="E17" t="n">
        <x:v>152182466</x:v>
      </x:c>
      <x:c r="F17" t="n">
        <x:f>E17-D17</x:f>
        <x:v>-35317534</x:v>
      </x:c>
      <x:c r="G17" t="n">
        <x:f>IF(D17=0,0,E17/D17)</x:f>
        <x:v>0.8116398186666667</x:v>
      </x:c>
      <x:c r="H17" t="str">
        <x:f>IF(G17&gt;1.05,"Vượt kế hoạch",IF(G17&lt;0.8,"Giải ngân thấp","Đúng tiến độ"))</x:f>
        <x:v>Đúng tiến độ</x:v>
      </x:c>
      <x:c r="I17" t="str">
        <x:v>Theo dõi theo tháng và chương trình</x:v>
      </x:c>
    </x:row>
    <x:row r="18">
      <x:c r="A18" t="n">
        <x:v>46054</x:v>
      </x:c>
      <x:c r="B18" t="str">
        <x:v>Q1</x:v>
      </x:c>
      <x:c r="C18" t="str">
        <x:v>Scholarship Donor Program</x:v>
      </x:c>
      <x:c r="D18" t="n">
        <x:v>125000000</x:v>
      </x:c>
      <x:c r="E18" t="n">
        <x:v>139066788</x:v>
      </x:c>
      <x:c r="F18" t="n">
        <x:f>E18-D18</x:f>
        <x:v>14066788</x:v>
      </x:c>
      <x:c r="G18" t="n">
        <x:f>IF(D18=0,0,E18/D18)</x:f>
        <x:v>1.112534304</x:v>
      </x:c>
      <x:c r="H18" t="str">
        <x:f>IF(G18&gt;1.05,"Vượt kế hoạch",IF(G18&lt;0.8,"Giải ngân thấp","Đúng tiến độ"))</x:f>
        <x:v>Vượt kế hoạch</x:v>
      </x:c>
      <x:c r="I18" t="str">
        <x:v>Theo dõi theo tháng và chương trình</x:v>
      </x:c>
    </x:row>
    <x:row r="19">
      <x:c r="A19" t="n">
        <x:v>46054</x:v>
      </x:c>
      <x:c r="B19" t="str">
        <x:v>Q1</x:v>
      </x:c>
      <x:c r="C19" t="str">
        <x:v>MoU Signing</x:v>
      </x:c>
      <x:c r="D19" t="n">
        <x:v>50000000</x:v>
      </x:c>
      <x:c r="E19" t="n">
        <x:v>41455731</x:v>
      </x:c>
      <x:c r="F19" t="n">
        <x:f>E19-D19</x:f>
        <x:v>-8544269</x:v>
      </x:c>
      <x:c r="G19" t="n">
        <x:f>IF(D19=0,0,E19/D19)</x:f>
        <x:v>0.82911462</x:v>
      </x:c>
      <x:c r="H19" t="str">
        <x:f>IF(G19&gt;1.05,"Vượt kế hoạch",IF(G19&lt;0.8,"Giải ngân thấp","Đúng tiến độ"))</x:f>
        <x:v>Đúng tiến độ</x:v>
      </x:c>
      <x:c r="I19" t="str">
        <x:v>Theo dõi theo tháng và chương trình</x:v>
      </x:c>
    </x:row>
    <x:row r="20">
      <x:c r="A20" t="n">
        <x:v>46054</x:v>
      </x:c>
      <x:c r="B20" t="str">
        <x:v>Q1</x:v>
      </x:c>
      <x:c r="C20" t="str">
        <x:v>Company Visit</x:v>
      </x:c>
      <x:c r="D20" t="n">
        <x:v>150000000</x:v>
      </x:c>
      <x:c r="E20" t="n">
        <x:v>132768181</x:v>
      </x:c>
      <x:c r="F20" t="n">
        <x:f>E20-D20</x:f>
        <x:v>-17231819</x:v>
      </x:c>
      <x:c r="G20" t="n">
        <x:f>IF(D20=0,0,E20/D20)</x:f>
        <x:v>0.8851212066666667</x:v>
      </x:c>
      <x:c r="H20" t="str">
        <x:f>IF(G20&gt;1.05,"Vượt kế hoạch",IF(G20&lt;0.8,"Giải ngân thấp","Đúng tiến độ"))</x:f>
        <x:v>Đúng tiến độ</x:v>
      </x:c>
      <x:c r="I20" t="str">
        <x:v>Theo dõi theo tháng và chương trình</x:v>
      </x:c>
    </x:row>
    <x:row r="21">
      <x:c r="A21" t="n">
        <x:v>46054</x:v>
      </x:c>
      <x:c r="B21" t="str">
        <x:v>Q1</x:v>
      </x:c>
      <x:c r="C21" t="str">
        <x:v>Industry Advisory Board</x:v>
      </x:c>
      <x:c r="D21" t="n">
        <x:v>100000000</x:v>
      </x:c>
      <x:c r="E21" t="n">
        <x:v>117663834</x:v>
      </x:c>
      <x:c r="F21" t="n">
        <x:f>E21-D21</x:f>
        <x:v>17663834</x:v>
      </x:c>
      <x:c r="G21" t="n">
        <x:f>IF(D21=0,0,E21/D21)</x:f>
        <x:v>1.17663834</x:v>
      </x:c>
      <x:c r="H21" t="str">
        <x:f>IF(G21&gt;1.05,"Vượt kế hoạch",IF(G21&lt;0.8,"Giải ngân thấp","Đúng tiến độ"))</x:f>
        <x:v>Vượt kế hoạch</x:v>
      </x:c>
      <x:c r="I21" t="str">
        <x:v>Theo dõi theo tháng và chương trình</x:v>
      </x:c>
    </x:row>
    <x:row r="22">
      <x:c r="A22" t="n">
        <x:v>46082</x:v>
      </x:c>
      <x:c r="B22" t="str">
        <x:v>Q1</x:v>
      </x:c>
      <x:c r="C22" t="str">
        <x:v>Corporate Partnership</x:v>
      </x:c>
      <x:c r="D22" t="n">
        <x:v>120000000</x:v>
      </x:c>
      <x:c r="E22" t="n">
        <x:v>140382535</x:v>
      </x:c>
      <x:c r="F22" t="n">
        <x:f>E22-D22</x:f>
        <x:v>20382535</x:v>
      </x:c>
      <x:c r="G22" t="n">
        <x:f>IF(D22=0,0,E22/D22)</x:f>
        <x:v>1.1698544583333332</x:v>
      </x:c>
      <x:c r="H22" t="str">
        <x:f>IF(G22&gt;1.05,"Vượt kế hoạch",IF(G22&lt;0.8,"Giải ngân thấp","Đúng tiến độ"))</x:f>
        <x:v>Vượt kế hoạch</x:v>
      </x:c>
      <x:c r="I22" t="str">
        <x:v>Theo dõi theo tháng và chương trình</x:v>
      </x:c>
    </x:row>
    <x:row r="23">
      <x:c r="A23" t="n">
        <x:v>46082</x:v>
      </x:c>
      <x:c r="B23" t="str">
        <x:v>Q1</x:v>
      </x:c>
      <x:c r="C23" t="str">
        <x:v>Career Fair</x:v>
      </x:c>
      <x:c r="D23" t="n">
        <x:v>300000000</x:v>
      </x:c>
      <x:c r="E23" t="n">
        <x:v>253878292</x:v>
      </x:c>
      <x:c r="F23" t="n">
        <x:f>E23-D23</x:f>
        <x:v>-46121708</x:v>
      </x:c>
      <x:c r="G23" t="n">
        <x:f>IF(D23=0,0,E23/D23)</x:f>
        <x:v>0.8462609733333334</x:v>
      </x:c>
      <x:c r="H23" t="str">
        <x:f>IF(G23&gt;1.05,"Vượt kế hoạch",IF(G23&lt;0.8,"Giải ngân thấp","Đúng tiến độ"))</x:f>
        <x:v>Đúng tiến độ</x:v>
      </x:c>
      <x:c r="I23" t="str">
        <x:v>Theo dõi theo tháng và chương trình</x:v>
      </x:c>
    </x:row>
    <x:row r="24">
      <x:c r="A24" t="n">
        <x:v>46082</x:v>
      </x:c>
      <x:c r="B24" t="str">
        <x:v>Q1</x:v>
      </x:c>
      <x:c r="C24" t="str">
        <x:v>Internship Program</x:v>
      </x:c>
      <x:c r="D24" t="n">
        <x:v>150000000</x:v>
      </x:c>
      <x:c r="E24" t="n">
        <x:v>167689650</x:v>
      </x:c>
      <x:c r="F24" t="n">
        <x:f>E24-D24</x:f>
        <x:v>17689650</x:v>
      </x:c>
      <x:c r="G24" t="n">
        <x:f>IF(D24=0,0,E24/D24)</x:f>
        <x:v>1.117931</x:v>
      </x:c>
      <x:c r="H24" t="str">
        <x:f>IF(G24&gt;1.05,"Vượt kế hoạch",IF(G24&lt;0.8,"Giải ngân thấp","Đúng tiến độ"))</x:f>
        <x:v>Vượt kế hoạch</x:v>
      </x:c>
      <x:c r="I24" t="str">
        <x:v>Theo dõi theo tháng và chương trình</x:v>
      </x:c>
    </x:row>
    <x:row r="25">
      <x:c r="A25" t="n">
        <x:v>46082</x:v>
      </x:c>
      <x:c r="B25" t="str">
        <x:v>Q1</x:v>
      </x:c>
      <x:c r="C25" t="str">
        <x:v>Employer Branding</x:v>
      </x:c>
      <x:c r="D25" t="n">
        <x:v>250000000</x:v>
      </x:c>
      <x:c r="E25" t="n">
        <x:v>265636916</x:v>
      </x:c>
      <x:c r="F25" t="n">
        <x:f>E25-D25</x:f>
        <x:v>15636916</x:v>
      </x:c>
      <x:c r="G25" t="n">
        <x:f>IF(D25=0,0,E25/D25)</x:f>
        <x:v>1.062547664</x:v>
      </x:c>
      <x:c r="H25" t="str">
        <x:f>IF(G25&gt;1.05,"Vượt kế hoạch",IF(G25&lt;0.8,"Giải ngân thấp","Đúng tiến độ"))</x:f>
        <x:v>Vượt kế hoạch</x:v>
      </x:c>
      <x:c r="I25" t="str">
        <x:v>Theo dõi theo tháng và chương trình</x:v>
      </x:c>
    </x:row>
    <x:row r="26">
      <x:c r="A26" t="n">
        <x:v>46082</x:v>
      </x:c>
      <x:c r="B26" t="str">
        <x:v>Q1</x:v>
      </x:c>
      <x:c r="C26" t="str">
        <x:v>Alumni Engagement</x:v>
      </x:c>
      <x:c r="D26" t="n">
        <x:v>50000000</x:v>
      </x:c>
      <x:c r="E26" t="n">
        <x:v>56944189</x:v>
      </x:c>
      <x:c r="F26" t="n">
        <x:f>E26-D26</x:f>
        <x:v>6944189</x:v>
      </x:c>
      <x:c r="G26" t="n">
        <x:f>IF(D26=0,0,E26/D26)</x:f>
        <x:v>1.13888378</x:v>
      </x:c>
      <x:c r="H26" t="str">
        <x:f>IF(G26&gt;1.05,"Vượt kế hoạch",IF(G26&lt;0.8,"Giải ngân thấp","Đúng tiến độ"))</x:f>
        <x:v>Vượt kế hoạch</x:v>
      </x:c>
      <x:c r="I26" t="str">
        <x:v>Theo dõi theo tháng và chương trình</x:v>
      </x:c>
    </x:row>
    <x:row r="27">
      <x:c r="A27" t="n">
        <x:v>46082</x:v>
      </x:c>
      <x:c r="B27" t="str">
        <x:v>Q1</x:v>
      </x:c>
      <x:c r="C27" t="str">
        <x:v>Fundraising Campaign</x:v>
      </x:c>
      <x:c r="D27" t="n">
        <x:v>300000000</x:v>
      </x:c>
      <x:c r="E27" t="n">
        <x:v>330931768</x:v>
      </x:c>
      <x:c r="F27" t="n">
        <x:f>E27-D27</x:f>
        <x:v>30931768</x:v>
      </x:c>
      <x:c r="G27" t="n">
        <x:f>IF(D27=0,0,E27/D27)</x:f>
        <x:v>1.1031058933333333</x:v>
      </x:c>
      <x:c r="H27" t="str">
        <x:f>IF(G27&gt;1.05,"Vượt kế hoạch",IF(G27&lt;0.8,"Giải ngân thấp","Đúng tiến độ"))</x:f>
        <x:v>Vượt kế hoạch</x:v>
      </x:c>
      <x:c r="I27" t="str">
        <x:v>Theo dõi theo tháng và chương trình</x:v>
      </x:c>
    </x:row>
    <x:row r="28">
      <x:c r="A28" t="n">
        <x:v>46082</x:v>
      </x:c>
      <x:c r="B28" t="str">
        <x:v>Q1</x:v>
      </x:c>
      <x:c r="C28" t="str">
        <x:v>Scholarship Donor Program</x:v>
      </x:c>
      <x:c r="D28" t="n">
        <x:v>100000000</x:v>
      </x:c>
      <x:c r="E28" t="n">
        <x:v>107684085</x:v>
      </x:c>
      <x:c r="F28" t="n">
        <x:f>E28-D28</x:f>
        <x:v>7684085</x:v>
      </x:c>
      <x:c r="G28" t="n">
        <x:f>IF(D28=0,0,E28/D28)</x:f>
        <x:v>1.07684085</x:v>
      </x:c>
      <x:c r="H28" t="str">
        <x:f>IF(G28&gt;1.05,"Vượt kế hoạch",IF(G28&lt;0.8,"Giải ngân thấp","Đúng tiến độ"))</x:f>
        <x:v>Vượt kế hoạch</x:v>
      </x:c>
      <x:c r="I28" t="str">
        <x:v>Theo dõi theo tháng và chương trình</x:v>
      </x:c>
    </x:row>
    <x:row r="29">
      <x:c r="A29" t="n">
        <x:v>46082</x:v>
      </x:c>
      <x:c r="B29" t="str">
        <x:v>Q1</x:v>
      </x:c>
      <x:c r="C29" t="str">
        <x:v>MoU Signing</x:v>
      </x:c>
      <x:c r="D29" t="n">
        <x:v>75000000</x:v>
      </x:c>
      <x:c r="E29" t="n">
        <x:v>74943742</x:v>
      </x:c>
      <x:c r="F29" t="n">
        <x:f>E29-D29</x:f>
        <x:v>-56258</x:v>
      </x:c>
      <x:c r="G29" t="n">
        <x:f>IF(D29=0,0,E29/D29)</x:f>
        <x:v>0.9992498933333334</x:v>
      </x:c>
      <x:c r="H29" t="str">
        <x:f>IF(G29&gt;1.05,"Vượt kế hoạch",IF(G29&lt;0.8,"Giải ngân thấp","Đúng tiến độ"))</x:f>
        <x:v>Đúng tiến độ</x:v>
      </x:c>
      <x:c r="I29" t="str">
        <x:v>Theo dõi theo tháng và chương trình</x:v>
      </x:c>
    </x:row>
    <x:row r="30">
      <x:c r="A30" t="n">
        <x:v>46082</x:v>
      </x:c>
      <x:c r="B30" t="str">
        <x:v>Q1</x:v>
      </x:c>
      <x:c r="C30" t="str">
        <x:v>Company Visit</x:v>
      </x:c>
      <x:c r="D30" t="n">
        <x:v>100000000</x:v>
      </x:c>
      <x:c r="E30" t="n">
        <x:v>82074208</x:v>
      </x:c>
      <x:c r="F30" t="n">
        <x:f>E30-D30</x:f>
        <x:v>-17925792</x:v>
      </x:c>
      <x:c r="G30" t="n">
        <x:f>IF(D30=0,0,E30/D30)</x:f>
        <x:v>0.82074208</x:v>
      </x:c>
      <x:c r="H30" t="str">
        <x:f>IF(G30&gt;1.05,"Vượt kế hoạch",IF(G30&lt;0.8,"Giải ngân thấp","Đúng tiến độ"))</x:f>
        <x:v>Đúng tiến độ</x:v>
      </x:c>
      <x:c r="I30" t="str">
        <x:v>Theo dõi theo tháng và chương trình</x:v>
      </x:c>
    </x:row>
    <x:row r="31">
      <x:c r="A31" t="n">
        <x:v>46082</x:v>
      </x:c>
      <x:c r="B31" t="str">
        <x:v>Q1</x:v>
      </x:c>
      <x:c r="C31" t="str">
        <x:v>Industry Advisory Board</x:v>
      </x:c>
      <x:c r="D31" t="n">
        <x:v>75000000</x:v>
      </x:c>
      <x:c r="E31" t="n">
        <x:v>75420745</x:v>
      </x:c>
      <x:c r="F31" t="n">
        <x:f>E31-D31</x:f>
        <x:v>420745</x:v>
      </x:c>
      <x:c r="G31" t="n">
        <x:f>IF(D31=0,0,E31/D31)</x:f>
        <x:v>1.0056099333333333</x:v>
      </x:c>
      <x:c r="H31" t="str">
        <x:f>IF(G31&gt;1.05,"Vượt kế hoạch",IF(G31&lt;0.8,"Giải ngân thấp","Đúng tiến độ"))</x:f>
        <x:v>Đúng tiến độ</x:v>
      </x:c>
      <x:c r="I31" t="str">
        <x:v>Theo dõi theo tháng và chương trình</x:v>
      </x:c>
    </x:row>
    <x:row r="32">
      <x:c r="A32" t="n">
        <x:v>46113</x:v>
      </x:c>
      <x:c r="B32" t="str">
        <x:v>Q2</x:v>
      </x:c>
      <x:c r="C32" t="str">
        <x:v>Corporate Partnership</x:v>
      </x:c>
      <x:c r="D32" t="n">
        <x:v>400000000</x:v>
      </x:c>
      <x:c r="E32" t="n">
        <x:v>429214622</x:v>
      </x:c>
      <x:c r="F32" t="n">
        <x:f>E32-D32</x:f>
        <x:v>29214622</x:v>
      </x:c>
      <x:c r="G32" t="n">
        <x:f>IF(D32=0,0,E32/D32)</x:f>
        <x:v>1.073036555</x:v>
      </x:c>
      <x:c r="H32" t="str">
        <x:f>IF(G32&gt;1.05,"Vượt kế hoạch",IF(G32&lt;0.8,"Giải ngân thấp","Đúng tiến độ"))</x:f>
        <x:v>Vượt kế hoạch</x:v>
      </x:c>
      <x:c r="I32" t="str">
        <x:v>Theo dõi theo tháng và chương trình</x:v>
      </x:c>
    </x:row>
    <x:row r="33">
      <x:c r="A33" t="n">
        <x:v>46113</x:v>
      </x:c>
      <x:c r="B33" t="str">
        <x:v>Q2</x:v>
      </x:c>
      <x:c r="C33" t="str">
        <x:v>Career Fair</x:v>
      </x:c>
      <x:c r="D33" t="n">
        <x:v>240000000</x:v>
      </x:c>
      <x:c r="E33" t="n">
        <x:v>242158590</x:v>
      </x:c>
      <x:c r="F33" t="n">
        <x:f>E33-D33</x:f>
        <x:v>2158590</x:v>
      </x:c>
      <x:c r="G33" t="n">
        <x:f>IF(D33=0,0,E33/D33)</x:f>
        <x:v>1.008994125</x:v>
      </x:c>
      <x:c r="H33" t="str">
        <x:f>IF(G33&gt;1.05,"Vượt kế hoạch",IF(G33&lt;0.8,"Giải ngân thấp","Đúng tiến độ"))</x:f>
        <x:v>Đúng tiến độ</x:v>
      </x:c>
      <x:c r="I33" t="str">
        <x:v>Theo dõi theo tháng và chương trình</x:v>
      </x:c>
    </x:row>
    <x:row r="34">
      <x:c r="A34" t="n">
        <x:v>46113</x:v>
      </x:c>
      <x:c r="B34" t="str">
        <x:v>Q2</x:v>
      </x:c>
      <x:c r="C34" t="str">
        <x:v>Internship Program</x:v>
      </x:c>
      <x:c r="D34" t="n">
        <x:v>200000000</x:v>
      </x:c>
      <x:c r="E34" t="n">
        <x:v>203463336</x:v>
      </x:c>
      <x:c r="F34" t="n">
        <x:f>E34-D34</x:f>
        <x:v>3463336</x:v>
      </x:c>
      <x:c r="G34" t="n">
        <x:f>IF(D34=0,0,E34/D34)</x:f>
        <x:v>1.01731668</x:v>
      </x:c>
      <x:c r="H34" t="str">
        <x:f>IF(G34&gt;1.05,"Vượt kế hoạch",IF(G34&lt;0.8,"Giải ngân thấp","Đúng tiến độ"))</x:f>
        <x:v>Đúng tiến độ</x:v>
      </x:c>
      <x:c r="I34" t="str">
        <x:v>Theo dõi theo tháng và chương trình</x:v>
      </x:c>
    </x:row>
    <x:row r="35">
      <x:c r="A35" t="n">
        <x:v>46113</x:v>
      </x:c>
      <x:c r="B35" t="str">
        <x:v>Q2</x:v>
      </x:c>
      <x:c r="C35" t="str">
        <x:v>Employer Branding</x:v>
      </x:c>
      <x:c r="D35" t="n">
        <x:v>100000000</x:v>
      </x:c>
      <x:c r="E35" t="n">
        <x:v>108276082</x:v>
      </x:c>
      <x:c r="F35" t="n">
        <x:f>E35-D35</x:f>
        <x:v>8276082</x:v>
      </x:c>
      <x:c r="G35" t="n">
        <x:f>IF(D35=0,0,E35/D35)</x:f>
        <x:v>1.08276082</x:v>
      </x:c>
      <x:c r="H35" t="str">
        <x:f>IF(G35&gt;1.05,"Vượt kế hoạch",IF(G35&lt;0.8,"Giải ngân thấp","Đúng tiến độ"))</x:f>
        <x:v>Vượt kế hoạch</x:v>
      </x:c>
      <x:c r="I35" t="str">
        <x:v>Theo dõi theo tháng và chương trình</x:v>
      </x:c>
    </x:row>
    <x:row r="36">
      <x:c r="A36" t="n">
        <x:v>46113</x:v>
      </x:c>
      <x:c r="B36" t="str">
        <x:v>Q2</x:v>
      </x:c>
      <x:c r="C36" t="str">
        <x:v>Alumni Engagement</x:v>
      </x:c>
      <x:c r="D36" t="n">
        <x:v>50000000</x:v>
      </x:c>
      <x:c r="E36" t="n">
        <x:v>49330197</x:v>
      </x:c>
      <x:c r="F36" t="n">
        <x:f>E36-D36</x:f>
        <x:v>-669803</x:v>
      </x:c>
      <x:c r="G36" t="n">
        <x:f>IF(D36=0,0,E36/D36)</x:f>
        <x:v>0.98660394</x:v>
      </x:c>
      <x:c r="H36" t="str">
        <x:f>IF(G36&gt;1.05,"Vượt kế hoạch",IF(G36&lt;0.8,"Giải ngân thấp","Đúng tiến độ"))</x:f>
        <x:v>Đúng tiến độ</x:v>
      </x:c>
      <x:c r="I36" t="str">
        <x:v>Theo dõi theo tháng và chương trình</x:v>
      </x:c>
    </x:row>
    <x:row r="37">
      <x:c r="A37" t="n">
        <x:v>46113</x:v>
      </x:c>
      <x:c r="B37" t="str">
        <x:v>Q2</x:v>
      </x:c>
      <x:c r="C37" t="str">
        <x:v>Fundraising Campaign</x:v>
      </x:c>
      <x:c r="D37" t="n">
        <x:v>240000000</x:v>
      </x:c>
      <x:c r="E37" t="n">
        <x:v>182750724</x:v>
      </x:c>
      <x:c r="F37" t="n">
        <x:f>E37-D37</x:f>
        <x:v>-57249276</x:v>
      </x:c>
      <x:c r="G37" t="n">
        <x:f>IF(D37=0,0,E37/D37)</x:f>
        <x:v>0.76146135</x:v>
      </x:c>
      <x:c r="H37" t="str">
        <x:f>IF(G37&gt;1.05,"Vượt kế hoạch",IF(G37&lt;0.8,"Giải ngân thấp","Đúng tiến độ"))</x:f>
        <x:v>Giải ngân thấp</x:v>
      </x:c>
      <x:c r="I37" t="str">
        <x:v>Theo dõi theo tháng và chương trình</x:v>
      </x:c>
    </x:row>
    <x:row r="38">
      <x:c r="A38" t="n">
        <x:v>46113</x:v>
      </x:c>
      <x:c r="B38" t="str">
        <x:v>Q2</x:v>
      </x:c>
      <x:c r="C38" t="str">
        <x:v>Scholarship Donor Program</x:v>
      </x:c>
      <x:c r="D38" t="n">
        <x:v>100000000</x:v>
      </x:c>
      <x:c r="E38" t="n">
        <x:v>87029079</x:v>
      </x:c>
      <x:c r="F38" t="n">
        <x:f>E38-D38</x:f>
        <x:v>-12970921</x:v>
      </x:c>
      <x:c r="G38" t="n">
        <x:f>IF(D38=0,0,E38/D38)</x:f>
        <x:v>0.87029079</x:v>
      </x:c>
      <x:c r="H38" t="str">
        <x:f>IF(G38&gt;1.05,"Vượt kế hoạch",IF(G38&lt;0.8,"Giải ngân thấp","Đúng tiến độ"))</x:f>
        <x:v>Đúng tiến độ</x:v>
      </x:c>
      <x:c r="I38" t="str">
        <x:v>Theo dõi theo tháng và chương trình</x:v>
      </x:c>
    </x:row>
    <x:row r="39">
      <x:c r="A39" t="n">
        <x:v>46113</x:v>
      </x:c>
      <x:c r="B39" t="str">
        <x:v>Q2</x:v>
      </x:c>
      <x:c r="C39" t="str">
        <x:v>MoU Signing</x:v>
      </x:c>
      <x:c r="D39" t="n">
        <x:v>125000000</x:v>
      </x:c>
      <x:c r="E39" t="n">
        <x:v>100099304</x:v>
      </x:c>
      <x:c r="F39" t="n">
        <x:f>E39-D39</x:f>
        <x:v>-24900696</x:v>
      </x:c>
      <x:c r="G39" t="n">
        <x:f>IF(D39=0,0,E39/D39)</x:f>
        <x:v>0.800794432</x:v>
      </x:c>
      <x:c r="H39" t="str">
        <x:f>IF(G39&gt;1.05,"Vượt kế hoạch",IF(G39&lt;0.8,"Giải ngân thấp","Đúng tiến độ"))</x:f>
        <x:v>Đúng tiến độ</x:v>
      </x:c>
      <x:c r="I39" t="str">
        <x:v>Theo dõi theo tháng và chương trình</x:v>
      </x:c>
    </x:row>
    <x:row r="40">
      <x:c r="A40" t="n">
        <x:v>46113</x:v>
      </x:c>
      <x:c r="B40" t="str">
        <x:v>Q2</x:v>
      </x:c>
      <x:c r="C40" t="str">
        <x:v>Company Visit</x:v>
      </x:c>
      <x:c r="D40" t="n">
        <x:v>75000000</x:v>
      </x:c>
      <x:c r="E40" t="n">
        <x:v>81134691</x:v>
      </x:c>
      <x:c r="F40" t="n">
        <x:f>E40-D40</x:f>
        <x:v>6134691</x:v>
      </x:c>
      <x:c r="G40" t="n">
        <x:f>IF(D40=0,0,E40/D40)</x:f>
        <x:v>1.08179588</x:v>
      </x:c>
      <x:c r="H40" t="str">
        <x:f>IF(G40&gt;1.05,"Vượt kế hoạch",IF(G40&lt;0.8,"Giải ngân thấp","Đúng tiến độ"))</x:f>
        <x:v>Vượt kế hoạch</x:v>
      </x:c>
      <x:c r="I40" t="str">
        <x:v>Theo dõi theo tháng và chương trình</x:v>
      </x:c>
    </x:row>
    <x:row r="41">
      <x:c r="A41" t="n">
        <x:v>46113</x:v>
      </x:c>
      <x:c r="B41" t="str">
        <x:v>Q2</x:v>
      </x:c>
      <x:c r="C41" t="str">
        <x:v>Industry Advisory Board</x:v>
      </x:c>
      <x:c r="D41" t="n">
        <x:v>100000000</x:v>
      </x:c>
      <x:c r="E41" t="n">
        <x:v>96419209</x:v>
      </x:c>
      <x:c r="F41" t="n">
        <x:f>E41-D41</x:f>
        <x:v>-3580791</x:v>
      </x:c>
      <x:c r="G41" t="n">
        <x:f>IF(D41=0,0,E41/D41)</x:f>
        <x:v>0.96419209</x:v>
      </x:c>
      <x:c r="H41" t="str">
        <x:f>IF(G41&gt;1.05,"Vượt kế hoạch",IF(G41&lt;0.8,"Giải ngân thấp","Đúng tiến độ"))</x:f>
        <x:v>Đúng tiến độ</x:v>
      </x:c>
      <x:c r="I41" t="str">
        <x:v>Theo dõi theo tháng và chương trình</x:v>
      </x:c>
    </x:row>
    <x:row r="42">
      <x:c r="A42" t="n">
        <x:v>46143</x:v>
      </x:c>
      <x:c r="B42" t="str">
        <x:v>Q2</x:v>
      </x:c>
      <x:c r="C42" t="str">
        <x:v>Corporate Partnership</x:v>
      </x:c>
      <x:c r="D42" t="n">
        <x:v>120000000</x:v>
      </x:c>
      <x:c r="E42" t="n">
        <x:v>100584748</x:v>
      </x:c>
      <x:c r="F42" t="n">
        <x:f>E42-D42</x:f>
        <x:v>-19415252</x:v>
      </x:c>
      <x:c r="G42" t="n">
        <x:f>IF(D42=0,0,E42/D42)</x:f>
        <x:v>0.8382062333333333</x:v>
      </x:c>
      <x:c r="H42" t="str">
        <x:f>IF(G42&gt;1.05,"Vượt kế hoạch",IF(G42&lt;0.8,"Giải ngân thấp","Đúng tiến độ"))</x:f>
        <x:v>Đúng tiến độ</x:v>
      </x:c>
      <x:c r="I42" t="str">
        <x:v>Theo dõi theo tháng và chương trình</x:v>
      </x:c>
    </x:row>
    <x:row r="43">
      <x:c r="A43" t="n">
        <x:v>46143</x:v>
      </x:c>
      <x:c r="B43" t="str">
        <x:v>Q2</x:v>
      </x:c>
      <x:c r="C43" t="str">
        <x:v>Career Fair</x:v>
      </x:c>
      <x:c r="D43" t="n">
        <x:v>375000000</x:v>
      </x:c>
      <x:c r="E43" t="n">
        <x:v>436873753</x:v>
      </x:c>
      <x:c r="F43" t="n">
        <x:f>E43-D43</x:f>
        <x:v>61873753</x:v>
      </x:c>
      <x:c r="G43" t="n">
        <x:f>IF(D43=0,0,E43/D43)</x:f>
        <x:v>1.1649966746666667</x:v>
      </x:c>
      <x:c r="H43" t="str">
        <x:f>IF(G43&gt;1.05,"Vượt kế hoạch",IF(G43&lt;0.8,"Giải ngân thấp","Đúng tiến độ"))</x:f>
        <x:v>Vượt kế hoạch</x:v>
      </x:c>
      <x:c r="I43" t="str">
        <x:v>Theo dõi theo tháng và chương trình</x:v>
      </x:c>
    </x:row>
    <x:row r="44">
      <x:c r="A44" t="n">
        <x:v>46143</x:v>
      </x:c>
      <x:c r="B44" t="str">
        <x:v>Q2</x:v>
      </x:c>
      <x:c r="C44" t="str">
        <x:v>Internship Program</x:v>
      </x:c>
      <x:c r="D44" t="n">
        <x:v>100000000</x:v>
      </x:c>
      <x:c r="E44" t="n">
        <x:v>106341730</x:v>
      </x:c>
      <x:c r="F44" t="n">
        <x:f>E44-D44</x:f>
        <x:v>6341730</x:v>
      </x:c>
      <x:c r="G44" t="n">
        <x:f>IF(D44=0,0,E44/D44)</x:f>
        <x:v>1.0634173</x:v>
      </x:c>
      <x:c r="H44" t="str">
        <x:f>IF(G44&gt;1.05,"Vượt kế hoạch",IF(G44&lt;0.8,"Giải ngân thấp","Đúng tiến độ"))</x:f>
        <x:v>Vượt kế hoạch</x:v>
      </x:c>
      <x:c r="I44" t="str">
        <x:v>Theo dõi theo tháng và chương trình</x:v>
      </x:c>
    </x:row>
    <x:row r="45">
      <x:c r="A45" t="n">
        <x:v>46143</x:v>
      </x:c>
      <x:c r="B45" t="str">
        <x:v>Q2</x:v>
      </x:c>
      <x:c r="C45" t="str">
        <x:v>Employer Branding</x:v>
      </x:c>
      <x:c r="D45" t="n">
        <x:v>100000000</x:v>
      </x:c>
      <x:c r="E45" t="n">
        <x:v>108994696</x:v>
      </x:c>
      <x:c r="F45" t="n">
        <x:f>E45-D45</x:f>
        <x:v>8994696</x:v>
      </x:c>
      <x:c r="G45" t="n">
        <x:f>IF(D45=0,0,E45/D45)</x:f>
        <x:v>1.08994696</x:v>
      </x:c>
      <x:c r="H45" t="str">
        <x:f>IF(G45&gt;1.05,"Vượt kế hoạch",IF(G45&lt;0.8,"Giải ngân thấp","Đúng tiến độ"))</x:f>
        <x:v>Vượt kế hoạch</x:v>
      </x:c>
      <x:c r="I45" t="str">
        <x:v>Theo dõi theo tháng và chương trình</x:v>
      </x:c>
    </x:row>
    <x:row r="46">
      <x:c r="A46" t="n">
        <x:v>46143</x:v>
      </x:c>
      <x:c r="B46" t="str">
        <x:v>Q2</x:v>
      </x:c>
      <x:c r="C46" t="str">
        <x:v>Alumni Engagement</x:v>
      </x:c>
      <x:c r="D46" t="n">
        <x:v>125000000</x:v>
      </x:c>
      <x:c r="E46" t="n">
        <x:v>145366364</x:v>
      </x:c>
      <x:c r="F46" t="n">
        <x:f>E46-D46</x:f>
        <x:v>20366364</x:v>
      </x:c>
      <x:c r="G46" t="n">
        <x:f>IF(D46=0,0,E46/D46)</x:f>
        <x:v>1.162930912</x:v>
      </x:c>
      <x:c r="H46" t="str">
        <x:f>IF(G46&gt;1.05,"Vượt kế hoạch",IF(G46&lt;0.8,"Giải ngân thấp","Đúng tiến độ"))</x:f>
        <x:v>Vượt kế hoạch</x:v>
      </x:c>
      <x:c r="I46" t="str">
        <x:v>Theo dõi theo tháng và chương trình</x:v>
      </x:c>
    </x:row>
    <x:row r="47">
      <x:c r="A47" t="n">
        <x:v>46143</x:v>
      </x:c>
      <x:c r="B47" t="str">
        <x:v>Q2</x:v>
      </x:c>
      <x:c r="C47" t="str">
        <x:v>Fundraising Campaign</x:v>
      </x:c>
      <x:c r="D47" t="n">
        <x:v>90000000</x:v>
      </x:c>
      <x:c r="E47" t="n">
        <x:v>100409820</x:v>
      </x:c>
      <x:c r="F47" t="n">
        <x:f>E47-D47</x:f>
        <x:v>10409820</x:v>
      </x:c>
      <x:c r="G47" t="n">
        <x:f>IF(D47=0,0,E47/D47)</x:f>
        <x:v>1.1156646666666667</x:v>
      </x:c>
      <x:c r="H47" t="str">
        <x:f>IF(G47&gt;1.05,"Vượt kế hoạch",IF(G47&lt;0.8,"Giải ngân thấp","Đúng tiến độ"))</x:f>
        <x:v>Vượt kế hoạch</x:v>
      </x:c>
      <x:c r="I47" t="str">
        <x:v>Theo dõi theo tháng và chương trình</x:v>
      </x:c>
    </x:row>
    <x:row r="48">
      <x:c r="A48" t="n">
        <x:v>46143</x:v>
      </x:c>
      <x:c r="B48" t="str">
        <x:v>Q2</x:v>
      </x:c>
      <x:c r="C48" t="str">
        <x:v>Scholarship Donor Program</x:v>
      </x:c>
      <x:c r="D48" t="n">
        <x:v>200000000</x:v>
      </x:c>
      <x:c r="E48" t="n">
        <x:v>206045373</x:v>
      </x:c>
      <x:c r="F48" t="n">
        <x:f>E48-D48</x:f>
        <x:v>6045373</x:v>
      </x:c>
      <x:c r="G48" t="n">
        <x:f>IF(D48=0,0,E48/D48)</x:f>
        <x:v>1.030226865</x:v>
      </x:c>
      <x:c r="H48" t="str">
        <x:f>IF(G48&gt;1.05,"Vượt kế hoạch",IF(G48&lt;0.8,"Giải ngân thấp","Đúng tiến độ"))</x:f>
        <x:v>Đúng tiến độ</x:v>
      </x:c>
      <x:c r="I48" t="str">
        <x:v>Theo dõi theo tháng và chương trình</x:v>
      </x:c>
    </x:row>
    <x:row r="49">
      <x:c r="A49" t="n">
        <x:v>46143</x:v>
      </x:c>
      <x:c r="B49" t="str">
        <x:v>Q2</x:v>
      </x:c>
      <x:c r="C49" t="str">
        <x:v>MoU Signing</x:v>
      </x:c>
      <x:c r="D49" t="n">
        <x:v>125000000</x:v>
      </x:c>
      <x:c r="E49" t="n">
        <x:v>145618010</x:v>
      </x:c>
      <x:c r="F49" t="n">
        <x:f>E49-D49</x:f>
        <x:v>20618010</x:v>
      </x:c>
      <x:c r="G49" t="n">
        <x:f>IF(D49=0,0,E49/D49)</x:f>
        <x:v>1.16494408</x:v>
      </x:c>
      <x:c r="H49" t="str">
        <x:f>IF(G49&gt;1.05,"Vượt kế hoạch",IF(G49&lt;0.8,"Giải ngân thấp","Đúng tiến độ"))</x:f>
        <x:v>Vượt kế hoạch</x:v>
      </x:c>
      <x:c r="I49" t="str">
        <x:v>Theo dõi theo tháng và chương trình</x:v>
      </x:c>
    </x:row>
    <x:row r="50">
      <x:c r="A50" t="n">
        <x:v>46143</x:v>
      </x:c>
      <x:c r="B50" t="str">
        <x:v>Q2</x:v>
      </x:c>
      <x:c r="C50" t="str">
        <x:v>Company Visit</x:v>
      </x:c>
      <x:c r="D50" t="n">
        <x:v>250000000</x:v>
      </x:c>
      <x:c r="E50" t="n">
        <x:v>244090951</x:v>
      </x:c>
      <x:c r="F50" t="n">
        <x:f>E50-D50</x:f>
        <x:v>-5909049</x:v>
      </x:c>
      <x:c r="G50" t="n">
        <x:f>IF(D50=0,0,E50/D50)</x:f>
        <x:v>0.976363804</x:v>
      </x:c>
      <x:c r="H50" t="str">
        <x:f>IF(G50&gt;1.05,"Vượt kế hoạch",IF(G50&lt;0.8,"Giải ngân thấp","Đúng tiến độ"))</x:f>
        <x:v>Đúng tiến độ</x:v>
      </x:c>
      <x:c r="I50" t="str">
        <x:v>Theo dõi theo tháng và chương trình</x:v>
      </x:c>
    </x:row>
    <x:row r="51">
      <x:c r="A51" t="n">
        <x:v>46143</x:v>
      </x:c>
      <x:c r="B51" t="str">
        <x:v>Q2</x:v>
      </x:c>
      <x:c r="C51" t="str">
        <x:v>Industry Advisory Board</x:v>
      </x:c>
      <x:c r="D51" t="n">
        <x:v>50000000</x:v>
      </x:c>
      <x:c r="E51" t="n">
        <x:v>54185685</x:v>
      </x:c>
      <x:c r="F51" t="n">
        <x:f>E51-D51</x:f>
        <x:v>4185685</x:v>
      </x:c>
      <x:c r="G51" t="n">
        <x:f>IF(D51=0,0,E51/D51)</x:f>
        <x:v>1.0837137</x:v>
      </x:c>
      <x:c r="H51" t="str">
        <x:f>IF(G51&gt;1.05,"Vượt kế hoạch",IF(G51&lt;0.8,"Giải ngân thấp","Đúng tiến độ"))</x:f>
        <x:v>Vượt kế hoạch</x:v>
      </x:c>
      <x:c r="I51" t="str">
        <x:v>Theo dõi theo tháng và chương trình</x:v>
      </x:c>
    </x:row>
    <x:row r="52">
      <x:c r="A52" t="n">
        <x:v>46174</x:v>
      </x:c>
      <x:c r="B52" t="str">
        <x:v>Q2</x:v>
      </x:c>
      <x:c r="C52" t="str">
        <x:v>Corporate Partnership</x:v>
      </x:c>
      <x:c r="D52" t="n">
        <x:v>75000000</x:v>
      </x:c>
      <x:c r="E52" t="n">
        <x:v>72511744</x:v>
      </x:c>
      <x:c r="F52" t="n">
        <x:f>E52-D52</x:f>
        <x:v>-2488256</x:v>
      </x:c>
      <x:c r="G52" t="n">
        <x:f>IF(D52=0,0,E52/D52)</x:f>
        <x:v>0.9668232533333333</x:v>
      </x:c>
      <x:c r="H52" t="str">
        <x:f>IF(G52&gt;1.05,"Vượt kế hoạch",IF(G52&lt;0.8,"Giải ngân thấp","Đúng tiến độ"))</x:f>
        <x:v>Đúng tiến độ</x:v>
      </x:c>
      <x:c r="I52" t="str">
        <x:v>Theo dõi theo tháng và chương trình</x:v>
      </x:c>
    </x:row>
    <x:row r="53">
      <x:c r="A53" t="n">
        <x:v>46174</x:v>
      </x:c>
      <x:c r="B53" t="str">
        <x:v>Q2</x:v>
      </x:c>
      <x:c r="C53" t="str">
        <x:v>Career Fair</x:v>
      </x:c>
      <x:c r="D53" t="n">
        <x:v>187500000</x:v>
      </x:c>
      <x:c r="E53" t="n">
        <x:v>193031447</x:v>
      </x:c>
      <x:c r="F53" t="n">
        <x:f>E53-D53</x:f>
        <x:v>5531447</x:v>
      </x:c>
      <x:c r="G53" t="n">
        <x:f>IF(D53=0,0,E53/D53)</x:f>
        <x:v>1.0295010506666666</x:v>
      </x:c>
      <x:c r="H53" t="str">
        <x:f>IF(G53&gt;1.05,"Vượt kế hoạch",IF(G53&lt;0.8,"Giải ngân thấp","Đúng tiến độ"))</x:f>
        <x:v>Đúng tiến độ</x:v>
      </x:c>
      <x:c r="I53" t="str">
        <x:v>Theo dõi theo tháng và chương trình</x:v>
      </x:c>
    </x:row>
    <x:row r="54">
      <x:c r="A54" t="n">
        <x:v>46174</x:v>
      </x:c>
      <x:c r="B54" t="str">
        <x:v>Q2</x:v>
      </x:c>
      <x:c r="C54" t="str">
        <x:v>Internship Program</x:v>
      </x:c>
      <x:c r="D54" t="n">
        <x:v>200000000</x:v>
      </x:c>
      <x:c r="E54" t="n">
        <x:v>168118849</x:v>
      </x:c>
      <x:c r="F54" t="n">
        <x:f>E54-D54</x:f>
        <x:v>-31881151</x:v>
      </x:c>
      <x:c r="G54" t="n">
        <x:f>IF(D54=0,0,E54/D54)</x:f>
        <x:v>0.840594245</x:v>
      </x:c>
      <x:c r="H54" t="str">
        <x:f>IF(G54&gt;1.05,"Vượt kế hoạch",IF(G54&lt;0.8,"Giải ngân thấp","Đúng tiến độ"))</x:f>
        <x:v>Đúng tiến độ</x:v>
      </x:c>
      <x:c r="I54" t="str">
        <x:v>Theo dõi theo tháng và chương trình</x:v>
      </x:c>
    </x:row>
    <x:row r="55">
      <x:c r="A55" t="n">
        <x:v>46174</x:v>
      </x:c>
      <x:c r="B55" t="str">
        <x:v>Q2</x:v>
      </x:c>
      <x:c r="C55" t="str">
        <x:v>Employer Branding</x:v>
      </x:c>
      <x:c r="D55" t="n">
        <x:v>125000000</x:v>
      </x:c>
      <x:c r="E55" t="n">
        <x:v>137288994</x:v>
      </x:c>
      <x:c r="F55" t="n">
        <x:f>E55-D55</x:f>
        <x:v>12288994</x:v>
      </x:c>
      <x:c r="G55" t="n">
        <x:f>IF(D55=0,0,E55/D55)</x:f>
        <x:v>1.098311952</x:v>
      </x:c>
      <x:c r="H55" t="str">
        <x:f>IF(G55&gt;1.05,"Vượt kế hoạch",IF(G55&lt;0.8,"Giải ngân thấp","Đúng tiến độ"))</x:f>
        <x:v>Vượt kế hoạch</x:v>
      </x:c>
      <x:c r="I55" t="str">
        <x:v>Theo dõi theo tháng và chương trình</x:v>
      </x:c>
    </x:row>
    <x:row r="56">
      <x:c r="A56" t="n">
        <x:v>46174</x:v>
      </x:c>
      <x:c r="B56" t="str">
        <x:v>Q2</x:v>
      </x:c>
      <x:c r="C56" t="str">
        <x:v>Alumni Engagement</x:v>
      </x:c>
      <x:c r="D56" t="n">
        <x:v>100000000</x:v>
      </x:c>
      <x:c r="E56" t="n">
        <x:v>76983920</x:v>
      </x:c>
      <x:c r="F56" t="n">
        <x:f>E56-D56</x:f>
        <x:v>-23016080</x:v>
      </x:c>
      <x:c r="G56" t="n">
        <x:f>IF(D56=0,0,E56/D56)</x:f>
        <x:v>0.7698392</x:v>
      </x:c>
      <x:c r="H56" t="str">
        <x:f>IF(G56&gt;1.05,"Vượt kế hoạch",IF(G56&lt;0.8,"Giải ngân thấp","Đúng tiến độ"))</x:f>
        <x:v>Giải ngân thấp</x:v>
      </x:c>
      <x:c r="I56" t="str">
        <x:v>Theo dõi theo tháng và chương trình</x:v>
      </x:c>
    </x:row>
    <x:row r="57">
      <x:c r="A57" t="n">
        <x:v>46174</x:v>
      </x:c>
      <x:c r="B57" t="str">
        <x:v>Q2</x:v>
      </x:c>
      <x:c r="C57" t="str">
        <x:v>Fundraising Campaign</x:v>
      </x:c>
      <x:c r="D57" t="n">
        <x:v>112500000</x:v>
      </x:c>
      <x:c r="E57" t="n">
        <x:v>82295025</x:v>
      </x:c>
      <x:c r="F57" t="n">
        <x:f>E57-D57</x:f>
        <x:v>-30204975</x:v>
      </x:c>
      <x:c r="G57" t="n">
        <x:f>IF(D57=0,0,E57/D57)</x:f>
        <x:v>0.7315113333333333</x:v>
      </x:c>
      <x:c r="H57" t="str">
        <x:f>IF(G57&gt;1.05,"Vượt kế hoạch",IF(G57&lt;0.8,"Giải ngân thấp","Đúng tiến độ"))</x:f>
        <x:v>Giải ngân thấp</x:v>
      </x:c>
      <x:c r="I57" t="str">
        <x:v>Theo dõi theo tháng và chương trình</x:v>
      </x:c>
    </x:row>
    <x:row r="58">
      <x:c r="A58" t="n">
        <x:v>46174</x:v>
      </x:c>
      <x:c r="B58" t="str">
        <x:v>Q2</x:v>
      </x:c>
      <x:c r="C58" t="str">
        <x:v>Scholarship Donor Program</x:v>
      </x:c>
      <x:c r="D58" t="n">
        <x:v>150000000</x:v>
      </x:c>
      <x:c r="E58" t="n">
        <x:v>130632433</x:v>
      </x:c>
      <x:c r="F58" t="n">
        <x:f>E58-D58</x:f>
        <x:v>-19367567</x:v>
      </x:c>
      <x:c r="G58" t="n">
        <x:f>IF(D58=0,0,E58/D58)</x:f>
        <x:v>0.8708828866666667</x:v>
      </x:c>
      <x:c r="H58" t="str">
        <x:f>IF(G58&gt;1.05,"Vượt kế hoạch",IF(G58&lt;0.8,"Giải ngân thấp","Đúng tiến độ"))</x:f>
        <x:v>Đúng tiến độ</x:v>
      </x:c>
      <x:c r="I58" t="str">
        <x:v>Theo dõi theo tháng và chương trình</x:v>
      </x:c>
    </x:row>
    <x:row r="59">
      <x:c r="A59" t="n">
        <x:v>46174</x:v>
      </x:c>
      <x:c r="B59" t="str">
        <x:v>Q2</x:v>
      </x:c>
      <x:c r="C59" t="str">
        <x:v>MoU Signing</x:v>
      </x:c>
      <x:c r="D59" t="n">
        <x:v>150000000</x:v>
      </x:c>
      <x:c r="E59" t="n">
        <x:v>123274336</x:v>
      </x:c>
      <x:c r="F59" t="n">
        <x:f>E59-D59</x:f>
        <x:v>-26725664</x:v>
      </x:c>
      <x:c r="G59" t="n">
        <x:f>IF(D59=0,0,E59/D59)</x:f>
        <x:v>0.8218289066666666</x:v>
      </x:c>
      <x:c r="H59" t="str">
        <x:f>IF(G59&gt;1.05,"Vượt kế hoạch",IF(G59&lt;0.8,"Giải ngân thấp","Đúng tiến độ"))</x:f>
        <x:v>Đúng tiến độ</x:v>
      </x:c>
      <x:c r="I59" t="str">
        <x:v>Theo dõi theo tháng và chương trình</x:v>
      </x:c>
    </x:row>
    <x:row r="60">
      <x:c r="A60" t="n">
        <x:v>46174</x:v>
      </x:c>
      <x:c r="B60" t="str">
        <x:v>Q2</x:v>
      </x:c>
      <x:c r="C60" t="str">
        <x:v>Company Visit</x:v>
      </x:c>
      <x:c r="D60" t="n">
        <x:v>50000000</x:v>
      </x:c>
      <x:c r="E60" t="n">
        <x:v>50614290</x:v>
      </x:c>
      <x:c r="F60" t="n">
        <x:f>E60-D60</x:f>
        <x:v>614290</x:v>
      </x:c>
      <x:c r="G60" t="n">
        <x:f>IF(D60=0,0,E60/D60)</x:f>
        <x:v>1.0122858</x:v>
      </x:c>
      <x:c r="H60" t="str">
        <x:f>IF(G60&gt;1.05,"Vượt kế hoạch",IF(G60&lt;0.8,"Giải ngân thấp","Đúng tiến độ"))</x:f>
        <x:v>Đúng tiến độ</x:v>
      </x:c>
      <x:c r="I60" t="str">
        <x:v>Theo dõi theo tháng và chương trình</x:v>
      </x:c>
    </x:row>
    <x:row r="61">
      <x:c r="A61" t="n">
        <x:v>46174</x:v>
      </x:c>
      <x:c r="B61" t="str">
        <x:v>Q2</x:v>
      </x:c>
      <x:c r="C61" t="str">
        <x:v>Industry Advisory Board</x:v>
      </x:c>
      <x:c r="D61" t="n">
        <x:v>125000000</x:v>
      </x:c>
      <x:c r="E61" t="n">
        <x:v>142289789</x:v>
      </x:c>
      <x:c r="F61" t="n">
        <x:f>E61-D61</x:f>
        <x:v>17289789</x:v>
      </x:c>
      <x:c r="G61" t="n">
        <x:f>IF(D61=0,0,E61/D61)</x:f>
        <x:v>1.138318312</x:v>
      </x:c>
      <x:c r="H61" t="str">
        <x:f>IF(G61&gt;1.05,"Vượt kế hoạch",IF(G61&lt;0.8,"Giải ngân thấp","Đúng tiến độ"))</x:f>
        <x:v>Vượt kế hoạch</x:v>
      </x:c>
      <x:c r="I61" t="str">
        <x:v>Theo dõi theo tháng và chương trình</x:v>
      </x:c>
    </x:row>
    <x:row r="62">
      <x:c r="A62" t="n">
        <x:v>46204</x:v>
      </x:c>
      <x:c r="B62" t="str">
        <x:v>Q3</x:v>
      </x:c>
      <x:c r="C62" t="str">
        <x:v>Corporate Partnership</x:v>
      </x:c>
      <x:c r="D62" t="n">
        <x:v>200000000</x:v>
      </x:c>
      <x:c r="E62" t="n">
        <x:v>181563218</x:v>
      </x:c>
      <x:c r="F62" t="n">
        <x:f>E62-D62</x:f>
        <x:v>-18436782</x:v>
      </x:c>
      <x:c r="G62" t="n">
        <x:f>IF(D62=0,0,E62/D62)</x:f>
        <x:v>0.90781609</x:v>
      </x:c>
      <x:c r="H62" t="str">
        <x:f>IF(G62&gt;1.05,"Vượt kế hoạch",IF(G62&lt;0.8,"Giải ngân thấp","Đúng tiến độ"))</x:f>
        <x:v>Đúng tiến độ</x:v>
      </x:c>
      <x:c r="I62" t="str">
        <x:v>Theo dõi theo tháng và chương trình</x:v>
      </x:c>
    </x:row>
    <x:row r="63">
      <x:c r="A63" t="n">
        <x:v>46204</x:v>
      </x:c>
      <x:c r="B63" t="str">
        <x:v>Q3</x:v>
      </x:c>
      <x:c r="C63" t="str">
        <x:v>Career Fair</x:v>
      </x:c>
      <x:c r="D63" t="n">
        <x:v>90000000</x:v>
      </x:c>
      <x:c r="E63" t="n">
        <x:v>103975227</x:v>
      </x:c>
      <x:c r="F63" t="n">
        <x:f>E63-D63</x:f>
        <x:v>13975227</x:v>
      </x:c>
      <x:c r="G63" t="n">
        <x:f>IF(D63=0,0,E63/D63)</x:f>
        <x:v>1.1552803</x:v>
      </x:c>
      <x:c r="H63" t="str">
        <x:f>IF(G63&gt;1.05,"Vượt kế hoạch",IF(G63&lt;0.8,"Giải ngân thấp","Đúng tiến độ"))</x:f>
        <x:v>Vượt kế hoạch</x:v>
      </x:c>
      <x:c r="I63" t="str">
        <x:v>Theo dõi theo tháng và chương trình</x:v>
      </x:c>
    </x:row>
    <x:row r="64">
      <x:c r="A64" t="n">
        <x:v>46204</x:v>
      </x:c>
      <x:c r="B64" t="str">
        <x:v>Q3</x:v>
      </x:c>
      <x:c r="C64" t="str">
        <x:v>Internship Program</x:v>
      </x:c>
      <x:c r="D64" t="n">
        <x:v>100000000</x:v>
      </x:c>
      <x:c r="E64" t="n">
        <x:v>117812659</x:v>
      </x:c>
      <x:c r="F64" t="n">
        <x:f>E64-D64</x:f>
        <x:v>17812659</x:v>
      </x:c>
      <x:c r="G64" t="n">
        <x:f>IF(D64=0,0,E64/D64)</x:f>
        <x:v>1.17812659</x:v>
      </x:c>
      <x:c r="H64" t="str">
        <x:f>IF(G64&gt;1.05,"Vượt kế hoạch",IF(G64&lt;0.8,"Giải ngân thấp","Đúng tiến độ"))</x:f>
        <x:v>Vượt kế hoạch</x:v>
      </x:c>
      <x:c r="I64" t="str">
        <x:v>Theo dõi theo tháng và chương trình</x:v>
      </x:c>
    </x:row>
    <x:row r="65">
      <x:c r="A65" t="n">
        <x:v>46204</x:v>
      </x:c>
      <x:c r="B65" t="str">
        <x:v>Q3</x:v>
      </x:c>
      <x:c r="C65" t="str">
        <x:v>Employer Branding</x:v>
      </x:c>
      <x:c r="D65" t="n">
        <x:v>50000000</x:v>
      </x:c>
      <x:c r="E65" t="n">
        <x:v>38235415</x:v>
      </x:c>
      <x:c r="F65" t="n">
        <x:f>E65-D65</x:f>
        <x:v>-11764585</x:v>
      </x:c>
      <x:c r="G65" t="n">
        <x:f>IF(D65=0,0,E65/D65)</x:f>
        <x:v>0.7647083</x:v>
      </x:c>
      <x:c r="H65" t="str">
        <x:f>IF(G65&gt;1.05,"Vượt kế hoạch",IF(G65&lt;0.8,"Giải ngân thấp","Đúng tiến độ"))</x:f>
        <x:v>Giải ngân thấp</x:v>
      </x:c>
      <x:c r="I65" t="str">
        <x:v>Theo dõi theo tháng và chương trình</x:v>
      </x:c>
    </x:row>
    <x:row r="66">
      <x:c r="A66" t="n">
        <x:v>46204</x:v>
      </x:c>
      <x:c r="B66" t="str">
        <x:v>Q3</x:v>
      </x:c>
      <x:c r="C66" t="str">
        <x:v>Alumni Engagement</x:v>
      </x:c>
      <x:c r="D66" t="n">
        <x:v>150000000</x:v>
      </x:c>
      <x:c r="E66" t="n">
        <x:v>117360819</x:v>
      </x:c>
      <x:c r="F66" t="n">
        <x:f>E66-D66</x:f>
        <x:v>-32639181</x:v>
      </x:c>
      <x:c r="G66" t="n">
        <x:f>IF(D66=0,0,E66/D66)</x:f>
        <x:v>0.78240546</x:v>
      </x:c>
      <x:c r="H66" t="str">
        <x:f>IF(G66&gt;1.05,"Vượt kế hoạch",IF(G66&lt;0.8,"Giải ngân thấp","Đúng tiến độ"))</x:f>
        <x:v>Giải ngân thấp</x:v>
      </x:c>
      <x:c r="I66" t="str">
        <x:v>Theo dõi theo tháng và chương trình</x:v>
      </x:c>
    </x:row>
    <x:row r="67">
      <x:c r="A67" t="n">
        <x:v>46204</x:v>
      </x:c>
      <x:c r="B67" t="str">
        <x:v>Q3</x:v>
      </x:c>
      <x:c r="C67" t="str">
        <x:v>Fundraising Campaign</x:v>
      </x:c>
      <x:c r="D67" t="n">
        <x:v>187500000</x:v>
      </x:c>
      <x:c r="E67" t="n">
        <x:v>192829436</x:v>
      </x:c>
      <x:c r="F67" t="n">
        <x:f>E67-D67</x:f>
        <x:v>5329436</x:v>
      </x:c>
      <x:c r="G67" t="n">
        <x:f>IF(D67=0,0,E67/D67)</x:f>
        <x:v>1.0284236586666666</x:v>
      </x:c>
      <x:c r="H67" t="str">
        <x:f>IF(G67&gt;1.05,"Vượt kế hoạch",IF(G67&lt;0.8,"Giải ngân thấp","Đúng tiến độ"))</x:f>
        <x:v>Đúng tiến độ</x:v>
      </x:c>
      <x:c r="I67" t="str">
        <x:v>Theo dõi theo tháng và chương trình</x:v>
      </x:c>
    </x:row>
    <x:row r="68">
      <x:c r="A68" t="n">
        <x:v>46204</x:v>
      </x:c>
      <x:c r="B68" t="str">
        <x:v>Q3</x:v>
      </x:c>
      <x:c r="C68" t="str">
        <x:v>Scholarship Donor Program</x:v>
      </x:c>
      <x:c r="D68" t="n">
        <x:v>200000000</x:v>
      </x:c>
      <x:c r="E68" t="n">
        <x:v>208076527</x:v>
      </x:c>
      <x:c r="F68" t="n">
        <x:f>E68-D68</x:f>
        <x:v>8076527</x:v>
      </x:c>
      <x:c r="G68" t="n">
        <x:f>IF(D68=0,0,E68/D68)</x:f>
        <x:v>1.040382635</x:v>
      </x:c>
      <x:c r="H68" t="str">
        <x:f>IF(G68&gt;1.05,"Vượt kế hoạch",IF(G68&lt;0.8,"Giải ngân thấp","Đúng tiến độ"))</x:f>
        <x:v>Đúng tiến độ</x:v>
      </x:c>
      <x:c r="I68" t="str">
        <x:v>Theo dõi theo tháng và chương trình</x:v>
      </x:c>
    </x:row>
    <x:row r="69">
      <x:c r="A69" t="n">
        <x:v>46204</x:v>
      </x:c>
      <x:c r="B69" t="str">
        <x:v>Q3</x:v>
      </x:c>
      <x:c r="C69" t="str">
        <x:v>MoU Signing</x:v>
      </x:c>
      <x:c r="D69" t="n">
        <x:v>150000000</x:v>
      </x:c>
      <x:c r="E69" t="n">
        <x:v>136919745</x:v>
      </x:c>
      <x:c r="F69" t="n">
        <x:f>E69-D69</x:f>
        <x:v>-13080255</x:v>
      </x:c>
      <x:c r="G69" t="n">
        <x:f>IF(D69=0,0,E69/D69)</x:f>
        <x:v>0.9127983</x:v>
      </x:c>
      <x:c r="H69" t="str">
        <x:f>IF(G69&gt;1.05,"Vượt kế hoạch",IF(G69&lt;0.8,"Giải ngân thấp","Đúng tiến độ"))</x:f>
        <x:v>Đúng tiến độ</x:v>
      </x:c>
      <x:c r="I69" t="str">
        <x:v>Theo dõi theo tháng và chương trình</x:v>
      </x:c>
    </x:row>
    <x:row r="70">
      <x:c r="A70" t="n">
        <x:v>46204</x:v>
      </x:c>
      <x:c r="B70" t="str">
        <x:v>Q3</x:v>
      </x:c>
      <x:c r="C70" t="str">
        <x:v>Company Visit</x:v>
      </x:c>
      <x:c r="D70" t="n">
        <x:v>200000000</x:v>
      </x:c>
      <x:c r="E70" t="n">
        <x:v>210847121</x:v>
      </x:c>
      <x:c r="F70" t="n">
        <x:f>E70-D70</x:f>
        <x:v>10847121</x:v>
      </x:c>
      <x:c r="G70" t="n">
        <x:f>IF(D70=0,0,E70/D70)</x:f>
        <x:v>1.054235605</x:v>
      </x:c>
      <x:c r="H70" t="str">
        <x:f>IF(G70&gt;1.05,"Vượt kế hoạch",IF(G70&lt;0.8,"Giải ngân thấp","Đúng tiến độ"))</x:f>
        <x:v>Vượt kế hoạch</x:v>
      </x:c>
      <x:c r="I70" t="str">
        <x:v>Theo dõi theo tháng và chương trình</x:v>
      </x:c>
    </x:row>
    <x:row r="71">
      <x:c r="A71" t="n">
        <x:v>46204</x:v>
      </x:c>
      <x:c r="B71" t="str">
        <x:v>Q3</x:v>
      </x:c>
      <x:c r="C71" t="str">
        <x:v>Industry Advisory Board</x:v>
      </x:c>
      <x:c r="D71" t="n">
        <x:v>125000000</x:v>
      </x:c>
      <x:c r="E71" t="n">
        <x:v>127658009</x:v>
      </x:c>
      <x:c r="F71" t="n">
        <x:f>E71-D71</x:f>
        <x:v>2658009</x:v>
      </x:c>
      <x:c r="G71" t="n">
        <x:f>IF(D71=0,0,E71/D71)</x:f>
        <x:v>1.021264072</x:v>
      </x:c>
      <x:c r="H71" t="str">
        <x:f>IF(G71&gt;1.05,"Vượt kế hoạch",IF(G71&lt;0.8,"Giải ngân thấp","Đúng tiến độ"))</x:f>
        <x:v>Đúng tiến độ</x:v>
      </x:c>
      <x:c r="I71" t="str">
        <x:v>Theo dõi theo tháng và chương trình</x:v>
      </x:c>
    </x:row>
    <x:row r="72">
      <x:c r="A72" t="n">
        <x:v>46235</x:v>
      </x:c>
      <x:c r="B72" t="str">
        <x:v>Q3</x:v>
      </x:c>
      <x:c r="C72" t="str">
        <x:v>Corporate Partnership</x:v>
      </x:c>
      <x:c r="D72" t="n">
        <x:v>375000000</x:v>
      </x:c>
      <x:c r="E72" t="n">
        <x:v>376200006</x:v>
      </x:c>
      <x:c r="F72" t="n">
        <x:f>E72-D72</x:f>
        <x:v>1200006</x:v>
      </x:c>
      <x:c r="G72" t="n">
        <x:f>IF(D72=0,0,E72/D72)</x:f>
        <x:v>1.003200016</x:v>
      </x:c>
      <x:c r="H72" t="str">
        <x:f>IF(G72&gt;1.05,"Vượt kế hoạch",IF(G72&lt;0.8,"Giải ngân thấp","Đúng tiến độ"))</x:f>
        <x:v>Đúng tiến độ</x:v>
      </x:c>
      <x:c r="I72" t="str">
        <x:v>Theo dõi theo tháng và chương trình</x:v>
      </x:c>
    </x:row>
    <x:row r="73">
      <x:c r="A73" t="n">
        <x:v>46235</x:v>
      </x:c>
      <x:c r="B73" t="str">
        <x:v>Q3</x:v>
      </x:c>
      <x:c r="C73" t="str">
        <x:v>Career Fair</x:v>
      </x:c>
      <x:c r="D73" t="n">
        <x:v>120000000</x:v>
      </x:c>
      <x:c r="E73" t="n">
        <x:v>124503492</x:v>
      </x:c>
      <x:c r="F73" t="n">
        <x:f>E73-D73</x:f>
        <x:v>4503492</x:v>
      </x:c>
      <x:c r="G73" t="n">
        <x:f>IF(D73=0,0,E73/D73)</x:f>
        <x:v>1.0375291</x:v>
      </x:c>
      <x:c r="H73" t="str">
        <x:f>IF(G73&gt;1.05,"Vượt kế hoạch",IF(G73&lt;0.8,"Giải ngân thấp","Đúng tiến độ"))</x:f>
        <x:v>Đúng tiến độ</x:v>
      </x:c>
      <x:c r="I73" t="str">
        <x:v>Theo dõi theo tháng và chương trình</x:v>
      </x:c>
    </x:row>
    <x:row r="74">
      <x:c r="A74" t="n">
        <x:v>46235</x:v>
      </x:c>
      <x:c r="B74" t="str">
        <x:v>Q3</x:v>
      </x:c>
      <x:c r="C74" t="str">
        <x:v>Internship Program</x:v>
      </x:c>
      <x:c r="D74" t="n">
        <x:v>75000000</x:v>
      </x:c>
      <x:c r="E74" t="n">
        <x:v>69296716</x:v>
      </x:c>
      <x:c r="F74" t="n">
        <x:f>E74-D74</x:f>
        <x:v>-5703284</x:v>
      </x:c>
      <x:c r="G74" t="n">
        <x:f>IF(D74=0,0,E74/D74)</x:f>
        <x:v>0.9239562133333333</x:v>
      </x:c>
      <x:c r="H74" t="str">
        <x:f>IF(G74&gt;1.05,"Vượt kế hoạch",IF(G74&lt;0.8,"Giải ngân thấp","Đúng tiến độ"))</x:f>
        <x:v>Đúng tiến độ</x:v>
      </x:c>
      <x:c r="I74" t="str">
        <x:v>Theo dõi theo tháng và chương trình</x:v>
      </x:c>
    </x:row>
    <x:row r="75">
      <x:c r="A75" t="n">
        <x:v>46235</x:v>
      </x:c>
      <x:c r="B75" t="str">
        <x:v>Q3</x:v>
      </x:c>
      <x:c r="C75" t="str">
        <x:v>Employer Branding</x:v>
      </x:c>
      <x:c r="D75" t="n">
        <x:v>75000000</x:v>
      </x:c>
      <x:c r="E75" t="n">
        <x:v>83513031</x:v>
      </x:c>
      <x:c r="F75" t="n">
        <x:f>E75-D75</x:f>
        <x:v>8513031</x:v>
      </x:c>
      <x:c r="G75" t="n">
        <x:f>IF(D75=0,0,E75/D75)</x:f>
        <x:v>1.11350708</x:v>
      </x:c>
      <x:c r="H75" t="str">
        <x:f>IF(G75&gt;1.05,"Vượt kế hoạch",IF(G75&lt;0.8,"Giải ngân thấp","Đúng tiến độ"))</x:f>
        <x:v>Vượt kế hoạch</x:v>
      </x:c>
      <x:c r="I75" t="str">
        <x:v>Theo dõi theo tháng và chương trình</x:v>
      </x:c>
    </x:row>
    <x:row r="76">
      <x:c r="A76" t="n">
        <x:v>46235</x:v>
      </x:c>
      <x:c r="B76" t="str">
        <x:v>Q3</x:v>
      </x:c>
      <x:c r="C76" t="str">
        <x:v>Alumni Engagement</x:v>
      </x:c>
      <x:c r="D76" t="n">
        <x:v>50000000</x:v>
      </x:c>
      <x:c r="E76" t="n">
        <x:v>58561337</x:v>
      </x:c>
      <x:c r="F76" t="n">
        <x:f>E76-D76</x:f>
        <x:v>8561337</x:v>
      </x:c>
      <x:c r="G76" t="n">
        <x:f>IF(D76=0,0,E76/D76)</x:f>
        <x:v>1.17122674</x:v>
      </x:c>
      <x:c r="H76" t="str">
        <x:f>IF(G76&gt;1.05,"Vượt kế hoạch",IF(G76&lt;0.8,"Giải ngân thấp","Đúng tiến độ"))</x:f>
        <x:v>Vượt kế hoạch</x:v>
      </x:c>
      <x:c r="I76" t="str">
        <x:v>Theo dõi theo tháng và chương trình</x:v>
      </x:c>
    </x:row>
    <x:row r="77">
      <x:c r="A77" t="n">
        <x:v>46235</x:v>
      </x:c>
      <x:c r="B77" t="str">
        <x:v>Q3</x:v>
      </x:c>
      <x:c r="C77" t="str">
        <x:v>Fundraising Campaign</x:v>
      </x:c>
      <x:c r="D77" t="n">
        <x:v>200000000</x:v>
      </x:c>
      <x:c r="E77" t="n">
        <x:v>226956051</x:v>
      </x:c>
      <x:c r="F77" t="n">
        <x:f>E77-D77</x:f>
        <x:v>26956051</x:v>
      </x:c>
      <x:c r="G77" t="n">
        <x:f>IF(D77=0,0,E77/D77)</x:f>
        <x:v>1.134780255</x:v>
      </x:c>
      <x:c r="H77" t="str">
        <x:f>IF(G77&gt;1.05,"Vượt kế hoạch",IF(G77&lt;0.8,"Giải ngân thấp","Đúng tiến độ"))</x:f>
        <x:v>Vượt kế hoạch</x:v>
      </x:c>
      <x:c r="I77" t="str">
        <x:v>Theo dõi theo tháng và chương trình</x:v>
      </x:c>
    </x:row>
    <x:row r="78">
      <x:c r="A78" t="n">
        <x:v>46235</x:v>
      </x:c>
      <x:c r="B78" t="str">
        <x:v>Q3</x:v>
      </x:c>
      <x:c r="C78" t="str">
        <x:v>Scholarship Donor Program</x:v>
      </x:c>
      <x:c r="D78" t="n">
        <x:v>200000000</x:v>
      </x:c>
      <x:c r="E78" t="n">
        <x:v>176997993</x:v>
      </x:c>
      <x:c r="F78" t="n">
        <x:f>E78-D78</x:f>
        <x:v>-23002007</x:v>
      </x:c>
      <x:c r="G78" t="n">
        <x:f>IF(D78=0,0,E78/D78)</x:f>
        <x:v>0.884989965</x:v>
      </x:c>
      <x:c r="H78" t="str">
        <x:f>IF(G78&gt;1.05,"Vượt kế hoạch",IF(G78&lt;0.8,"Giải ngân thấp","Đúng tiến độ"))</x:f>
        <x:v>Đúng tiến độ</x:v>
      </x:c>
      <x:c r="I78" t="str">
        <x:v>Theo dõi theo tháng và chương trình</x:v>
      </x:c>
    </x:row>
    <x:row r="79">
      <x:c r="A79" t="n">
        <x:v>46235</x:v>
      </x:c>
      <x:c r="B79" t="str">
        <x:v>Q3</x:v>
      </x:c>
      <x:c r="C79" t="str">
        <x:v>MoU Signing</x:v>
      </x:c>
      <x:c r="D79" t="n">
        <x:v>125000000</x:v>
      </x:c>
      <x:c r="E79" t="n">
        <x:v>105863182</x:v>
      </x:c>
      <x:c r="F79" t="n">
        <x:f>E79-D79</x:f>
        <x:v>-19136818</x:v>
      </x:c>
      <x:c r="G79" t="n">
        <x:f>IF(D79=0,0,E79/D79)</x:f>
        <x:v>0.846905456</x:v>
      </x:c>
      <x:c r="H79" t="str">
        <x:f>IF(G79&gt;1.05,"Vượt kế hoạch",IF(G79&lt;0.8,"Giải ngân thấp","Đúng tiến độ"))</x:f>
        <x:v>Đúng tiến độ</x:v>
      </x:c>
      <x:c r="I79" t="str">
        <x:v>Theo dõi theo tháng và chương trình</x:v>
      </x:c>
    </x:row>
    <x:row r="80">
      <x:c r="A80" t="n">
        <x:v>46235</x:v>
      </x:c>
      <x:c r="B80" t="str">
        <x:v>Q3</x:v>
      </x:c>
      <x:c r="C80" t="str">
        <x:v>Company Visit</x:v>
      </x:c>
      <x:c r="D80" t="n">
        <x:v>50000000</x:v>
      </x:c>
      <x:c r="E80" t="n">
        <x:v>57827248</x:v>
      </x:c>
      <x:c r="F80" t="n">
        <x:f>E80-D80</x:f>
        <x:v>7827248</x:v>
      </x:c>
      <x:c r="G80" t="n">
        <x:f>IF(D80=0,0,E80/D80)</x:f>
        <x:v>1.15654496</x:v>
      </x:c>
      <x:c r="H80" t="str">
        <x:f>IF(G80&gt;1.05,"Vượt kế hoạch",IF(G80&lt;0.8,"Giải ngân thấp","Đúng tiến độ"))</x:f>
        <x:v>Vượt kế hoạch</x:v>
      </x:c>
      <x:c r="I80" t="str">
        <x:v>Theo dõi theo tháng và chương trình</x:v>
      </x:c>
    </x:row>
    <x:row r="81">
      <x:c r="A81" t="n">
        <x:v>46235</x:v>
      </x:c>
      <x:c r="B81" t="str">
        <x:v>Q3</x:v>
      </x:c>
      <x:c r="C81" t="str">
        <x:v>Industry Advisory Board</x:v>
      </x:c>
      <x:c r="D81" t="n">
        <x:v>250000000</x:v>
      </x:c>
      <x:c r="E81" t="n">
        <x:v>232292497</x:v>
      </x:c>
      <x:c r="F81" t="n">
        <x:f>E81-D81</x:f>
        <x:v>-17707503</x:v>
      </x:c>
      <x:c r="G81" t="n">
        <x:f>IF(D81=0,0,E81/D81)</x:f>
        <x:v>0.929169988</x:v>
      </x:c>
      <x:c r="H81" t="str">
        <x:f>IF(G81&gt;1.05,"Vượt kế hoạch",IF(G81&lt;0.8,"Giải ngân thấp","Đúng tiến độ"))</x:f>
        <x:v>Đúng tiến độ</x:v>
      </x:c>
      <x:c r="I81" t="str">
        <x:v>Theo dõi theo tháng và chương trình</x:v>
      </x:c>
    </x:row>
    <x:row r="82">
      <x:c r="A82" t="n">
        <x:v>46266</x:v>
      </x:c>
      <x:c r="B82" t="str">
        <x:v>Q3</x:v>
      </x:c>
      <x:c r="C82" t="str">
        <x:v>Corporate Partnership</x:v>
      </x:c>
      <x:c r="D82" t="n">
        <x:v>240000000</x:v>
      </x:c>
      <x:c r="E82" t="n">
        <x:v>243644173</x:v>
      </x:c>
      <x:c r="F82" t="n">
        <x:f>E82-D82</x:f>
        <x:v>3644173</x:v>
      </x:c>
      <x:c r="G82" t="n">
        <x:f>IF(D82=0,0,E82/D82)</x:f>
        <x:v>1.0151840541666666</x:v>
      </x:c>
      <x:c r="H82" t="str">
        <x:f>IF(G82&gt;1.05,"Vượt kế hoạch",IF(G82&lt;0.8,"Giải ngân thấp","Đúng tiến độ"))</x:f>
        <x:v>Đúng tiến độ</x:v>
      </x:c>
      <x:c r="I82" t="str">
        <x:v>Theo dõi theo tháng và chương trình</x:v>
      </x:c>
    </x:row>
    <x:row r="83">
      <x:c r="A83" t="n">
        <x:v>46266</x:v>
      </x:c>
      <x:c r="B83" t="str">
        <x:v>Q3</x:v>
      </x:c>
      <x:c r="C83" t="str">
        <x:v>Career Fair</x:v>
      </x:c>
      <x:c r="D83" t="n">
        <x:v>180000000</x:v>
      </x:c>
      <x:c r="E83" t="n">
        <x:v>133787900</x:v>
      </x:c>
      <x:c r="F83" t="n">
        <x:f>E83-D83</x:f>
        <x:v>-46212100</x:v>
      </x:c>
      <x:c r="G83" t="n">
        <x:f>IF(D83=0,0,E83/D83)</x:f>
        <x:v>0.7432661111111111</x:v>
      </x:c>
      <x:c r="H83" t="str">
        <x:f>IF(G83&gt;1.05,"Vượt kế hoạch",IF(G83&lt;0.8,"Giải ngân thấp","Đúng tiến độ"))</x:f>
        <x:v>Giải ngân thấp</x:v>
      </x:c>
      <x:c r="I83" t="str">
        <x:v>Theo dõi theo tháng và chương trình</x:v>
      </x:c>
    </x:row>
    <x:row r="84">
      <x:c r="A84" t="n">
        <x:v>46266</x:v>
      </x:c>
      <x:c r="B84" t="str">
        <x:v>Q3</x:v>
      </x:c>
      <x:c r="C84" t="str">
        <x:v>Internship Program</x:v>
      </x:c>
      <x:c r="D84" t="n">
        <x:v>100000000</x:v>
      </x:c>
      <x:c r="E84" t="n">
        <x:v>83204169</x:v>
      </x:c>
      <x:c r="F84" t="n">
        <x:f>E84-D84</x:f>
        <x:v>-16795831</x:v>
      </x:c>
      <x:c r="G84" t="n">
        <x:f>IF(D84=0,0,E84/D84)</x:f>
        <x:v>0.83204169</x:v>
      </x:c>
      <x:c r="H84" t="str">
        <x:f>IF(G84&gt;1.05,"Vượt kế hoạch",IF(G84&lt;0.8,"Giải ngân thấp","Đúng tiến độ"))</x:f>
        <x:v>Đúng tiến độ</x:v>
      </x:c>
      <x:c r="I84" t="str">
        <x:v>Theo dõi theo tháng và chương trình</x:v>
      </x:c>
    </x:row>
    <x:row r="85">
      <x:c r="A85" t="n">
        <x:v>46266</x:v>
      </x:c>
      <x:c r="B85" t="str">
        <x:v>Q3</x:v>
      </x:c>
      <x:c r="C85" t="str">
        <x:v>Employer Branding</x:v>
      </x:c>
      <x:c r="D85" t="n">
        <x:v>75000000</x:v>
      </x:c>
      <x:c r="E85" t="n">
        <x:v>81150744</x:v>
      </x:c>
      <x:c r="F85" t="n">
        <x:f>E85-D85</x:f>
        <x:v>6150744</x:v>
      </x:c>
      <x:c r="G85" t="n">
        <x:f>IF(D85=0,0,E85/D85)</x:f>
        <x:v>1.08200992</x:v>
      </x:c>
      <x:c r="H85" t="str">
        <x:f>IF(G85&gt;1.05,"Vượt kế hoạch",IF(G85&lt;0.8,"Giải ngân thấp","Đúng tiến độ"))</x:f>
        <x:v>Vượt kế hoạch</x:v>
      </x:c>
      <x:c r="I85" t="str">
        <x:v>Theo dõi theo tháng và chương trình</x:v>
      </x:c>
    </x:row>
    <x:row r="86">
      <x:c r="A86" t="n">
        <x:v>46266</x:v>
      </x:c>
      <x:c r="B86" t="str">
        <x:v>Q3</x:v>
      </x:c>
      <x:c r="C86" t="str">
        <x:v>Alumni Engagement</x:v>
      </x:c>
      <x:c r="D86" t="n">
        <x:v>75000000</x:v>
      </x:c>
      <x:c r="E86" t="n">
        <x:v>56367050</x:v>
      </x:c>
      <x:c r="F86" t="n">
        <x:f>E86-D86</x:f>
        <x:v>-18632950</x:v>
      </x:c>
      <x:c r="G86" t="n">
        <x:f>IF(D86=0,0,E86/D86)</x:f>
        <x:v>0.7515606666666667</x:v>
      </x:c>
      <x:c r="H86" t="str">
        <x:f>IF(G86&gt;1.05,"Vượt kế hoạch",IF(G86&lt;0.8,"Giải ngân thấp","Đúng tiến độ"))</x:f>
        <x:v>Giải ngân thấp</x:v>
      </x:c>
      <x:c r="I86" t="str">
        <x:v>Theo dõi theo tháng và chương trình</x:v>
      </x:c>
    </x:row>
    <x:row r="87">
      <x:c r="A87" t="n">
        <x:v>46266</x:v>
      </x:c>
      <x:c r="B87" t="str">
        <x:v>Q3</x:v>
      </x:c>
      <x:c r="C87" t="str">
        <x:v>Fundraising Campaign</x:v>
      </x:c>
      <x:c r="D87" t="n">
        <x:v>500000000</x:v>
      </x:c>
      <x:c r="E87" t="n">
        <x:v>407646195</x:v>
      </x:c>
      <x:c r="F87" t="n">
        <x:f>E87-D87</x:f>
        <x:v>-92353805</x:v>
      </x:c>
      <x:c r="G87" t="n">
        <x:f>IF(D87=0,0,E87/D87)</x:f>
        <x:v>0.81529239</x:v>
      </x:c>
      <x:c r="H87" t="str">
        <x:f>IF(G87&gt;1.05,"Vượt kế hoạch",IF(G87&lt;0.8,"Giải ngân thấp","Đúng tiến độ"))</x:f>
        <x:v>Đúng tiến độ</x:v>
      </x:c>
      <x:c r="I87" t="str">
        <x:v>Theo dõi theo tháng và chương trình</x:v>
      </x:c>
    </x:row>
    <x:row r="88">
      <x:c r="A88" t="n">
        <x:v>46266</x:v>
      </x:c>
      <x:c r="B88" t="str">
        <x:v>Q3</x:v>
      </x:c>
      <x:c r="C88" t="str">
        <x:v>Scholarship Donor Program</x:v>
      </x:c>
      <x:c r="D88" t="n">
        <x:v>75000000</x:v>
      </x:c>
      <x:c r="E88" t="n">
        <x:v>82050327</x:v>
      </x:c>
      <x:c r="F88" t="n">
        <x:f>E88-D88</x:f>
        <x:v>7050327</x:v>
      </x:c>
      <x:c r="G88" t="n">
        <x:f>IF(D88=0,0,E88/D88)</x:f>
        <x:v>1.09400436</x:v>
      </x:c>
      <x:c r="H88" t="str">
        <x:f>IF(G88&gt;1.05,"Vượt kế hoạch",IF(G88&lt;0.8,"Giải ngân thấp","Đúng tiến độ"))</x:f>
        <x:v>Vượt kế hoạch</x:v>
      </x:c>
      <x:c r="I88" t="str">
        <x:v>Theo dõi theo tháng và chương trình</x:v>
      </x:c>
    </x:row>
    <x:row r="89">
      <x:c r="A89" t="n">
        <x:v>46266</x:v>
      </x:c>
      <x:c r="B89" t="str">
        <x:v>Q3</x:v>
      </x:c>
      <x:c r="C89" t="str">
        <x:v>MoU Signing</x:v>
      </x:c>
      <x:c r="D89" t="n">
        <x:v>75000000</x:v>
      </x:c>
      <x:c r="E89" t="n">
        <x:v>65335304</x:v>
      </x:c>
      <x:c r="F89" t="n">
        <x:f>E89-D89</x:f>
        <x:v>-9664696</x:v>
      </x:c>
      <x:c r="G89" t="n">
        <x:f>IF(D89=0,0,E89/D89)</x:f>
        <x:v>0.8711373866666666</x:v>
      </x:c>
      <x:c r="H89" t="str">
        <x:f>IF(G89&gt;1.05,"Vượt kế hoạch",IF(G89&lt;0.8,"Giải ngân thấp","Đúng tiến độ"))</x:f>
        <x:v>Đúng tiến độ</x:v>
      </x:c>
      <x:c r="I89" t="str">
        <x:v>Theo dõi theo tháng và chương trình</x:v>
      </x:c>
    </x:row>
    <x:row r="90">
      <x:c r="A90" t="n">
        <x:v>46266</x:v>
      </x:c>
      <x:c r="B90" t="str">
        <x:v>Q3</x:v>
      </x:c>
      <x:c r="C90" t="str">
        <x:v>Company Visit</x:v>
      </x:c>
      <x:c r="D90" t="n">
        <x:v>75000000</x:v>
      </x:c>
      <x:c r="E90" t="n">
        <x:v>81208209</x:v>
      </x:c>
      <x:c r="F90" t="n">
        <x:f>E90-D90</x:f>
        <x:v>6208209</x:v>
      </x:c>
      <x:c r="G90" t="n">
        <x:f>IF(D90=0,0,E90/D90)</x:f>
        <x:v>1.08277612</x:v>
      </x:c>
      <x:c r="H90" t="str">
        <x:f>IF(G90&gt;1.05,"Vượt kế hoạch",IF(G90&lt;0.8,"Giải ngân thấp","Đúng tiến độ"))</x:f>
        <x:v>Vượt kế hoạch</x:v>
      </x:c>
      <x:c r="I90" t="str">
        <x:v>Theo dõi theo tháng và chương trình</x:v>
      </x:c>
    </x:row>
    <x:row r="91">
      <x:c r="A91" t="n">
        <x:v>46266</x:v>
      </x:c>
      <x:c r="B91" t="str">
        <x:v>Q3</x:v>
      </x:c>
      <x:c r="C91" t="str">
        <x:v>Industry Advisory Board</x:v>
      </x:c>
      <x:c r="D91" t="n">
        <x:v>150000000</x:v>
      </x:c>
      <x:c r="E91" t="n">
        <x:v>108195653</x:v>
      </x:c>
      <x:c r="F91" t="n">
        <x:f>E91-D91</x:f>
        <x:v>-41804347</x:v>
      </x:c>
      <x:c r="G91" t="n">
        <x:f>IF(D91=0,0,E91/D91)</x:f>
        <x:v>0.7213043533333333</x:v>
      </x:c>
      <x:c r="H91" t="str">
        <x:f>IF(G91&gt;1.05,"Vượt kế hoạch",IF(G91&lt;0.8,"Giải ngân thấp","Đúng tiến độ"))</x:f>
        <x:v>Giải ngân thấp</x:v>
      </x:c>
      <x:c r="I91" t="str">
        <x:v>Theo dõi theo tháng và chương trình</x:v>
      </x:c>
    </x:row>
    <x:row r="92">
      <x:c r="A92" t="n">
        <x:v>46296</x:v>
      </x:c>
      <x:c r="B92" t="str">
        <x:v>Q4</x:v>
      </x:c>
      <x:c r="C92" t="str">
        <x:v>Corporate Partnership</x:v>
      </x:c>
      <x:c r="D92" t="n">
        <x:v>300000000</x:v>
      </x:c>
      <x:c r="E92" t="n">
        <x:v>352278768</x:v>
      </x:c>
      <x:c r="F92" t="n">
        <x:f>E92-D92</x:f>
        <x:v>52278768</x:v>
      </x:c>
      <x:c r="G92" t="n">
        <x:f>IF(D92=0,0,E92/D92)</x:f>
        <x:v>1.17426256</x:v>
      </x:c>
      <x:c r="H92" t="str">
        <x:f>IF(G92&gt;1.05,"Vượt kế hoạch",IF(G92&lt;0.8,"Giải ngân thấp","Đúng tiến độ"))</x:f>
        <x:v>Vượt kế hoạch</x:v>
      </x:c>
      <x:c r="I92" t="str">
        <x:v>Theo dõi theo tháng và chương trình</x:v>
      </x:c>
    </x:row>
    <x:row r="93">
      <x:c r="A93" t="n">
        <x:v>46296</x:v>
      </x:c>
      <x:c r="B93" t="str">
        <x:v>Q4</x:v>
      </x:c>
      <x:c r="C93" t="str">
        <x:v>Career Fair</x:v>
      </x:c>
      <x:c r="D93" t="n">
        <x:v>225000000</x:v>
      </x:c>
      <x:c r="E93" t="n">
        <x:v>244646180</x:v>
      </x:c>
      <x:c r="F93" t="n">
        <x:f>E93-D93</x:f>
        <x:v>19646180</x:v>
      </x:c>
      <x:c r="G93" t="n">
        <x:f>IF(D93=0,0,E93/D93)</x:f>
        <x:v>1.0873163555555556</x:v>
      </x:c>
      <x:c r="H93" t="str">
        <x:f>IF(G93&gt;1.05,"Vượt kế hoạch",IF(G93&lt;0.8,"Giải ngân thấp","Đúng tiến độ"))</x:f>
        <x:v>Vượt kế hoạch</x:v>
      </x:c>
      <x:c r="I93" t="str">
        <x:v>Theo dõi theo tháng và chương trình</x:v>
      </x:c>
    </x:row>
    <x:row r="94">
      <x:c r="A94" t="n">
        <x:v>46296</x:v>
      </x:c>
      <x:c r="B94" t="str">
        <x:v>Q4</x:v>
      </x:c>
      <x:c r="C94" t="str">
        <x:v>Internship Program</x:v>
      </x:c>
      <x:c r="D94" t="n">
        <x:v>50000000</x:v>
      </x:c>
      <x:c r="E94" t="n">
        <x:v>51204325</x:v>
      </x:c>
      <x:c r="F94" t="n">
        <x:f>E94-D94</x:f>
        <x:v>1204325</x:v>
      </x:c>
      <x:c r="G94" t="n">
        <x:f>IF(D94=0,0,E94/D94)</x:f>
        <x:v>1.0240865</x:v>
      </x:c>
      <x:c r="H94" t="str">
        <x:f>IF(G94&gt;1.05,"Vượt kế hoạch",IF(G94&lt;0.8,"Giải ngân thấp","Đúng tiến độ"))</x:f>
        <x:v>Đúng tiến độ</x:v>
      </x:c>
      <x:c r="I94" t="str">
        <x:v>Theo dõi theo tháng và chương trình</x:v>
      </x:c>
    </x:row>
    <x:row r="95">
      <x:c r="A95" t="n">
        <x:v>46296</x:v>
      </x:c>
      <x:c r="B95" t="str">
        <x:v>Q4</x:v>
      </x:c>
      <x:c r="C95" t="str">
        <x:v>Employer Branding</x:v>
      </x:c>
      <x:c r="D95" t="n">
        <x:v>50000000</x:v>
      </x:c>
      <x:c r="E95" t="n">
        <x:v>39031474</x:v>
      </x:c>
      <x:c r="F95" t="n">
        <x:f>E95-D95</x:f>
        <x:v>-10968526</x:v>
      </x:c>
      <x:c r="G95" t="n">
        <x:f>IF(D95=0,0,E95/D95)</x:f>
        <x:v>0.78062948</x:v>
      </x:c>
      <x:c r="H95" t="str">
        <x:f>IF(G95&gt;1.05,"Vượt kế hoạch",IF(G95&lt;0.8,"Giải ngân thấp","Đúng tiến độ"))</x:f>
        <x:v>Giải ngân thấp</x:v>
      </x:c>
      <x:c r="I95" t="str">
        <x:v>Theo dõi theo tháng và chương trình</x:v>
      </x:c>
    </x:row>
    <x:row r="96">
      <x:c r="A96" t="n">
        <x:v>46296</x:v>
      </x:c>
      <x:c r="B96" t="str">
        <x:v>Q4</x:v>
      </x:c>
      <x:c r="C96" t="str">
        <x:v>Alumni Engagement</x:v>
      </x:c>
      <x:c r="D96" t="n">
        <x:v>100000000</x:v>
      </x:c>
      <x:c r="E96" t="n">
        <x:v>108339294</x:v>
      </x:c>
      <x:c r="F96" t="n">
        <x:f>E96-D96</x:f>
        <x:v>8339294</x:v>
      </x:c>
      <x:c r="G96" t="n">
        <x:f>IF(D96=0,0,E96/D96)</x:f>
        <x:v>1.08339294</x:v>
      </x:c>
      <x:c r="H96" t="str">
        <x:f>IF(G96&gt;1.05,"Vượt kế hoạch",IF(G96&lt;0.8,"Giải ngân thấp","Đúng tiến độ"))</x:f>
        <x:v>Vượt kế hoạch</x:v>
      </x:c>
      <x:c r="I96" t="str">
        <x:v>Theo dõi theo tháng và chương trình</x:v>
      </x:c>
    </x:row>
    <x:row r="97">
      <x:c r="A97" t="n">
        <x:v>46296</x:v>
      </x:c>
      <x:c r="B97" t="str">
        <x:v>Q4</x:v>
      </x:c>
      <x:c r="C97" t="str">
        <x:v>Fundraising Campaign</x:v>
      </x:c>
      <x:c r="D97" t="n">
        <x:v>150000000</x:v>
      </x:c>
      <x:c r="E97" t="n">
        <x:v>130340230</x:v>
      </x:c>
      <x:c r="F97" t="n">
        <x:f>E97-D97</x:f>
        <x:v>-19659770</x:v>
      </x:c>
      <x:c r="G97" t="n">
        <x:f>IF(D97=0,0,E97/D97)</x:f>
        <x:v>0.8689348666666666</x:v>
      </x:c>
      <x:c r="H97" t="str">
        <x:f>IF(G97&gt;1.05,"Vượt kế hoạch",IF(G97&lt;0.8,"Giải ngân thấp","Đúng tiến độ"))</x:f>
        <x:v>Đúng tiến độ</x:v>
      </x:c>
      <x:c r="I97" t="str">
        <x:v>Theo dõi theo tháng và chương trình</x:v>
      </x:c>
    </x:row>
    <x:row r="98">
      <x:c r="A98" t="n">
        <x:v>46296</x:v>
      </x:c>
      <x:c r="B98" t="str">
        <x:v>Q4</x:v>
      </x:c>
      <x:c r="C98" t="str">
        <x:v>Scholarship Donor Program</x:v>
      </x:c>
      <x:c r="D98" t="n">
        <x:v>75000000</x:v>
      </x:c>
      <x:c r="E98" t="n">
        <x:v>63155179</x:v>
      </x:c>
      <x:c r="F98" t="n">
        <x:f>E98-D98</x:f>
        <x:v>-11844821</x:v>
      </x:c>
      <x:c r="G98" t="n">
        <x:f>IF(D98=0,0,E98/D98)</x:f>
        <x:v>0.8420690533333334</x:v>
      </x:c>
      <x:c r="H98" t="str">
        <x:f>IF(G98&gt;1.05,"Vượt kế hoạch",IF(G98&lt;0.8,"Giải ngân thấp","Đúng tiến độ"))</x:f>
        <x:v>Đúng tiến độ</x:v>
      </x:c>
      <x:c r="I98" t="str">
        <x:v>Theo dõi theo tháng và chương trình</x:v>
      </x:c>
    </x:row>
    <x:row r="99">
      <x:c r="A99" t="n">
        <x:v>46296</x:v>
      </x:c>
      <x:c r="B99" t="str">
        <x:v>Q4</x:v>
      </x:c>
      <x:c r="C99" t="str">
        <x:v>MoU Signing</x:v>
      </x:c>
      <x:c r="D99" t="n">
        <x:v>75000000</x:v>
      </x:c>
      <x:c r="E99" t="n">
        <x:v>79589272</x:v>
      </x:c>
      <x:c r="F99" t="n">
        <x:f>E99-D99</x:f>
        <x:v>4589272</x:v>
      </x:c>
      <x:c r="G99" t="n">
        <x:f>IF(D99=0,0,E99/D99)</x:f>
        <x:v>1.0611902933333333</x:v>
      </x:c>
      <x:c r="H99" t="str">
        <x:f>IF(G99&gt;1.05,"Vượt kế hoạch",IF(G99&lt;0.8,"Giải ngân thấp","Đúng tiến độ"))</x:f>
        <x:v>Vượt kế hoạch</x:v>
      </x:c>
      <x:c r="I99" t="str">
        <x:v>Theo dõi theo tháng và chương trình</x:v>
      </x:c>
    </x:row>
    <x:row r="100">
      <x:c r="A100" t="n">
        <x:v>46296</x:v>
      </x:c>
      <x:c r="B100" t="str">
        <x:v>Q4</x:v>
      </x:c>
      <x:c r="C100" t="str">
        <x:v>Company Visit</x:v>
      </x:c>
      <x:c r="D100" t="n">
        <x:v>150000000</x:v>
      </x:c>
      <x:c r="E100" t="n">
        <x:v>115841802</x:v>
      </x:c>
      <x:c r="F100" t="n">
        <x:f>E100-D100</x:f>
        <x:v>-34158198</x:v>
      </x:c>
      <x:c r="G100" t="n">
        <x:f>IF(D100=0,0,E100/D100)</x:f>
        <x:v>0.77227868</x:v>
      </x:c>
      <x:c r="H100" t="str">
        <x:f>IF(G100&gt;1.05,"Vượt kế hoạch",IF(G100&lt;0.8,"Giải ngân thấp","Đúng tiến độ"))</x:f>
        <x:v>Giải ngân thấp</x:v>
      </x:c>
      <x:c r="I100" t="str">
        <x:v>Theo dõi theo tháng và chương trình</x:v>
      </x:c>
    </x:row>
    <x:row r="101">
      <x:c r="A101" t="n">
        <x:v>46296</x:v>
      </x:c>
      <x:c r="B101" t="str">
        <x:v>Q4</x:v>
      </x:c>
      <x:c r="C101" t="str">
        <x:v>Industry Advisory Board</x:v>
      </x:c>
      <x:c r="D101" t="n">
        <x:v>50000000</x:v>
      </x:c>
      <x:c r="E101" t="n">
        <x:v>46953657</x:v>
      </x:c>
      <x:c r="F101" t="n">
        <x:f>E101-D101</x:f>
        <x:v>-3046343</x:v>
      </x:c>
      <x:c r="G101" t="n">
        <x:f>IF(D101=0,0,E101/D101)</x:f>
        <x:v>0.93907314</x:v>
      </x:c>
      <x:c r="H101" t="str">
        <x:f>IF(G101&gt;1.05,"Vượt kế hoạch",IF(G101&lt;0.8,"Giải ngân thấp","Đúng tiến độ"))</x:f>
        <x:v>Đúng tiến độ</x:v>
      </x:c>
      <x:c r="I101" t="str">
        <x:v>Theo dõi theo tháng và chương trình</x:v>
      </x:c>
    </x:row>
    <x:row r="102">
      <x:c r="A102" t="n">
        <x:v>46327</x:v>
      </x:c>
      <x:c r="B102" t="str">
        <x:v>Q4</x:v>
      </x:c>
      <x:c r="C102" t="str">
        <x:v>Corporate Partnership</x:v>
      </x:c>
      <x:c r="D102" t="n">
        <x:v>375000000</x:v>
      </x:c>
      <x:c r="E102" t="n">
        <x:v>358533547</x:v>
      </x:c>
      <x:c r="F102" t="n">
        <x:f>E102-D102</x:f>
        <x:v>-16466453</x:v>
      </x:c>
      <x:c r="G102" t="n">
        <x:f>IF(D102=0,0,E102/D102)</x:f>
        <x:v>0.9560894586666666</x:v>
      </x:c>
      <x:c r="H102" t="str">
        <x:f>IF(G102&gt;1.05,"Vượt kế hoạch",IF(G102&lt;0.8,"Giải ngân thấp","Đúng tiến độ"))</x:f>
        <x:v>Đúng tiến độ</x:v>
      </x:c>
      <x:c r="I102" t="str">
        <x:v>Theo dõi theo tháng và chương trình</x:v>
      </x:c>
    </x:row>
    <x:row r="103">
      <x:c r="A103" t="n">
        <x:v>46327</x:v>
      </x:c>
      <x:c r="B103" t="str">
        <x:v>Q4</x:v>
      </x:c>
      <x:c r="C103" t="str">
        <x:v>Career Fair</x:v>
      </x:c>
      <x:c r="D103" t="n">
        <x:v>75000000</x:v>
      </x:c>
      <x:c r="E103" t="n">
        <x:v>71382434</x:v>
      </x:c>
      <x:c r="F103" t="n">
        <x:f>E103-D103</x:f>
        <x:v>-3617566</x:v>
      </x:c>
      <x:c r="G103" t="n">
        <x:f>IF(D103=0,0,E103/D103)</x:f>
        <x:v>0.9517657866666667</x:v>
      </x:c>
      <x:c r="H103" t="str">
        <x:f>IF(G103&gt;1.05,"Vượt kế hoạch",IF(G103&lt;0.8,"Giải ngân thấp","Đúng tiến độ"))</x:f>
        <x:v>Đúng tiến độ</x:v>
      </x:c>
      <x:c r="I103" t="str">
        <x:v>Theo dõi theo tháng và chương trình</x:v>
      </x:c>
    </x:row>
    <x:row r="104">
      <x:c r="A104" t="n">
        <x:v>46327</x:v>
      </x:c>
      <x:c r="B104" t="str">
        <x:v>Q4</x:v>
      </x:c>
      <x:c r="C104" t="str">
        <x:v>Internship Program</x:v>
      </x:c>
      <x:c r="D104" t="n">
        <x:v>150000000</x:v>
      </x:c>
      <x:c r="E104" t="n">
        <x:v>110992187</x:v>
      </x:c>
      <x:c r="F104" t="n">
        <x:f>E104-D104</x:f>
        <x:v>-39007813</x:v>
      </x:c>
      <x:c r="G104" t="n">
        <x:f>IF(D104=0,0,E104/D104)</x:f>
        <x:v>0.7399479133333333</x:v>
      </x:c>
      <x:c r="H104" t="str">
        <x:f>IF(G104&gt;1.05,"Vượt kế hoạch",IF(G104&lt;0.8,"Giải ngân thấp","Đúng tiến độ"))</x:f>
        <x:v>Giải ngân thấp</x:v>
      </x:c>
      <x:c r="I104" t="str">
        <x:v>Theo dõi theo tháng và chương trình</x:v>
      </x:c>
    </x:row>
    <x:row r="105">
      <x:c r="A105" t="n">
        <x:v>46327</x:v>
      </x:c>
      <x:c r="B105" t="str">
        <x:v>Q4</x:v>
      </x:c>
      <x:c r="C105" t="str">
        <x:v>Employer Branding</x:v>
      </x:c>
      <x:c r="D105" t="n">
        <x:v>250000000</x:v>
      </x:c>
      <x:c r="E105" t="n">
        <x:v>284506444</x:v>
      </x:c>
      <x:c r="F105" t="n">
        <x:f>E105-D105</x:f>
        <x:v>34506444</x:v>
      </x:c>
      <x:c r="G105" t="n">
        <x:f>IF(D105=0,0,E105/D105)</x:f>
        <x:v>1.138025776</x:v>
      </x:c>
      <x:c r="H105" t="str">
        <x:f>IF(G105&gt;1.05,"Vượt kế hoạch",IF(G105&lt;0.8,"Giải ngân thấp","Đúng tiến độ"))</x:f>
        <x:v>Vượt kế hoạch</x:v>
      </x:c>
      <x:c r="I105" t="str">
        <x:v>Theo dõi theo tháng và chương trình</x:v>
      </x:c>
    </x:row>
    <x:row r="106">
      <x:c r="A106" t="n">
        <x:v>46327</x:v>
      </x:c>
      <x:c r="B106" t="str">
        <x:v>Q4</x:v>
      </x:c>
      <x:c r="C106" t="str">
        <x:v>Alumni Engagement</x:v>
      </x:c>
      <x:c r="D106" t="n">
        <x:v>200000000</x:v>
      </x:c>
      <x:c r="E106" t="n">
        <x:v>191973511</x:v>
      </x:c>
      <x:c r="F106" t="n">
        <x:f>E106-D106</x:f>
        <x:v>-8026489</x:v>
      </x:c>
      <x:c r="G106" t="n">
        <x:f>IF(D106=0,0,E106/D106)</x:f>
        <x:v>0.959867555</x:v>
      </x:c>
      <x:c r="H106" t="str">
        <x:f>IF(G106&gt;1.05,"Vượt kế hoạch",IF(G106&lt;0.8,"Giải ngân thấp","Đúng tiến độ"))</x:f>
        <x:v>Đúng tiến độ</x:v>
      </x:c>
      <x:c r="I106" t="str">
        <x:v>Theo dõi theo tháng và chương trình</x:v>
      </x:c>
    </x:row>
    <x:row r="107">
      <x:c r="A107" t="n">
        <x:v>46327</x:v>
      </x:c>
      <x:c r="B107" t="str">
        <x:v>Q4</x:v>
      </x:c>
      <x:c r="C107" t="str">
        <x:v>Fundraising Campaign</x:v>
      </x:c>
      <x:c r="D107" t="n">
        <x:v>250000000</x:v>
      </x:c>
      <x:c r="E107" t="n">
        <x:v>290863011</x:v>
      </x:c>
      <x:c r="F107" t="n">
        <x:f>E107-D107</x:f>
        <x:v>40863011</x:v>
      </x:c>
      <x:c r="G107" t="n">
        <x:f>IF(D107=0,0,E107/D107)</x:f>
        <x:v>1.163452044</x:v>
      </x:c>
      <x:c r="H107" t="str">
        <x:f>IF(G107&gt;1.05,"Vượt kế hoạch",IF(G107&lt;0.8,"Giải ngân thấp","Đúng tiến độ"))</x:f>
        <x:v>Vượt kế hoạch</x:v>
      </x:c>
      <x:c r="I107" t="str">
        <x:v>Theo dõi theo tháng và chương trình</x:v>
      </x:c>
    </x:row>
    <x:row r="108">
      <x:c r="A108" t="n">
        <x:v>46327</x:v>
      </x:c>
      <x:c r="B108" t="str">
        <x:v>Q4</x:v>
      </x:c>
      <x:c r="C108" t="str">
        <x:v>Scholarship Donor Program</x:v>
      </x:c>
      <x:c r="D108" t="n">
        <x:v>50000000</x:v>
      </x:c>
      <x:c r="E108" t="n">
        <x:v>58967495</x:v>
      </x:c>
      <x:c r="F108" t="n">
        <x:f>E108-D108</x:f>
        <x:v>8967495</x:v>
      </x:c>
      <x:c r="G108" t="n">
        <x:f>IF(D108=0,0,E108/D108)</x:f>
        <x:v>1.1793499</x:v>
      </x:c>
      <x:c r="H108" t="str">
        <x:f>IF(G108&gt;1.05,"Vượt kế hoạch",IF(G108&lt;0.8,"Giải ngân thấp","Đúng tiến độ"))</x:f>
        <x:v>Vượt kế hoạch</x:v>
      </x:c>
      <x:c r="I108" t="str">
        <x:v>Theo dõi theo tháng và chương trình</x:v>
      </x:c>
    </x:row>
    <x:row r="109">
      <x:c r="A109" t="n">
        <x:v>46327</x:v>
      </x:c>
      <x:c r="B109" t="str">
        <x:v>Q4</x:v>
      </x:c>
      <x:c r="C109" t="str">
        <x:v>MoU Signing</x:v>
      </x:c>
      <x:c r="D109" t="n">
        <x:v>250000000</x:v>
      </x:c>
      <x:c r="E109" t="n">
        <x:v>226185984</x:v>
      </x:c>
      <x:c r="F109" t="n">
        <x:f>E109-D109</x:f>
        <x:v>-23814016</x:v>
      </x:c>
      <x:c r="G109" t="n">
        <x:f>IF(D109=0,0,E109/D109)</x:f>
        <x:v>0.904743936</x:v>
      </x:c>
      <x:c r="H109" t="str">
        <x:f>IF(G109&gt;1.05,"Vượt kế hoạch",IF(G109&lt;0.8,"Giải ngân thấp","Đúng tiến độ"))</x:f>
        <x:v>Đúng tiến độ</x:v>
      </x:c>
      <x:c r="I109" t="str">
        <x:v>Theo dõi theo tháng và chương trình</x:v>
      </x:c>
    </x:row>
    <x:row r="110">
      <x:c r="A110" t="n">
        <x:v>46327</x:v>
      </x:c>
      <x:c r="B110" t="str">
        <x:v>Q4</x:v>
      </x:c>
      <x:c r="C110" t="str">
        <x:v>Company Visit</x:v>
      </x:c>
      <x:c r="D110" t="n">
        <x:v>200000000</x:v>
      </x:c>
      <x:c r="E110" t="n">
        <x:v>153932488</x:v>
      </x:c>
      <x:c r="F110" t="n">
        <x:f>E110-D110</x:f>
        <x:v>-46067512</x:v>
      </x:c>
      <x:c r="G110" t="n">
        <x:f>IF(D110=0,0,E110/D110)</x:f>
        <x:v>0.76966244</x:v>
      </x:c>
      <x:c r="H110" t="str">
        <x:f>IF(G110&gt;1.05,"Vượt kế hoạch",IF(G110&lt;0.8,"Giải ngân thấp","Đúng tiến độ"))</x:f>
        <x:v>Giải ngân thấp</x:v>
      </x:c>
      <x:c r="I110" t="str">
        <x:v>Theo dõi theo tháng và chương trình</x:v>
      </x:c>
    </x:row>
    <x:row r="111">
      <x:c r="A111" t="n">
        <x:v>46327</x:v>
      </x:c>
      <x:c r="B111" t="str">
        <x:v>Q4</x:v>
      </x:c>
      <x:c r="C111" t="str">
        <x:v>Industry Advisory Board</x:v>
      </x:c>
      <x:c r="D111" t="n">
        <x:v>200000000</x:v>
      </x:c>
      <x:c r="E111" t="n">
        <x:v>227692476</x:v>
      </x:c>
      <x:c r="F111" t="n">
        <x:f>E111-D111</x:f>
        <x:v>27692476</x:v>
      </x:c>
      <x:c r="G111" t="n">
        <x:f>IF(D111=0,0,E111/D111)</x:f>
        <x:v>1.13846238</x:v>
      </x:c>
      <x:c r="H111" t="str">
        <x:f>IF(G111&gt;1.05,"Vượt kế hoạch",IF(G111&lt;0.8,"Giải ngân thấp","Đúng tiến độ"))</x:f>
        <x:v>Vượt kế hoạch</x:v>
      </x:c>
      <x:c r="I111" t="str">
        <x:v>Theo dõi theo tháng và chương trình</x:v>
      </x:c>
    </x:row>
    <x:row r="112">
      <x:c r="A112" t="n">
        <x:v>46357</x:v>
      </x:c>
      <x:c r="B112" t="str">
        <x:v>Q4</x:v>
      </x:c>
      <x:c r="C112" t="str">
        <x:v>Corporate Partnership</x:v>
      </x:c>
      <x:c r="D112" t="n">
        <x:v>60000000</x:v>
      </x:c>
      <x:c r="E112" t="n">
        <x:v>52090286</x:v>
      </x:c>
      <x:c r="F112" t="n">
        <x:f>E112-D112</x:f>
        <x:v>-7909714</x:v>
      </x:c>
      <x:c r="G112" t="n">
        <x:f>IF(D112=0,0,E112/D112)</x:f>
        <x:v>0.8681714333333334</x:v>
      </x:c>
      <x:c r="H112" t="str">
        <x:f>IF(G112&gt;1.05,"Vượt kế hoạch",IF(G112&lt;0.8,"Giải ngân thấp","Đúng tiến độ"))</x:f>
        <x:v>Đúng tiến độ</x:v>
      </x:c>
      <x:c r="I112" t="str">
        <x:v>Theo dõi theo tháng và chương trình</x:v>
      </x:c>
    </x:row>
    <x:row r="113">
      <x:c r="A113" t="n">
        <x:v>46357</x:v>
      </x:c>
      <x:c r="B113" t="str">
        <x:v>Q4</x:v>
      </x:c>
      <x:c r="C113" t="str">
        <x:v>Career Fair</x:v>
      </x:c>
      <x:c r="D113" t="n">
        <x:v>90000000</x:v>
      </x:c>
      <x:c r="E113" t="n">
        <x:v>70024331</x:v>
      </x:c>
      <x:c r="F113" t="n">
        <x:f>E113-D113</x:f>
        <x:v>-19975669</x:v>
      </x:c>
      <x:c r="G113" t="n">
        <x:f>IF(D113=0,0,E113/D113)</x:f>
        <x:v>0.7780481222222222</x:v>
      </x:c>
      <x:c r="H113" t="str">
        <x:f>IF(G113&gt;1.05,"Vượt kế hoạch",IF(G113&lt;0.8,"Giải ngân thấp","Đúng tiến độ"))</x:f>
        <x:v>Giải ngân thấp</x:v>
      </x:c>
      <x:c r="I113" t="str">
        <x:v>Theo dõi theo tháng và chương trình</x:v>
      </x:c>
    </x:row>
    <x:row r="114">
      <x:c r="A114" t="n">
        <x:v>46357</x:v>
      </x:c>
      <x:c r="B114" t="str">
        <x:v>Q4</x:v>
      </x:c>
      <x:c r="C114" t="str">
        <x:v>Internship Program</x:v>
      </x:c>
      <x:c r="D114" t="n">
        <x:v>150000000</x:v>
      </x:c>
      <x:c r="E114" t="n">
        <x:v>151682293</x:v>
      </x:c>
      <x:c r="F114" t="n">
        <x:f>E114-D114</x:f>
        <x:v>1682293</x:v>
      </x:c>
      <x:c r="G114" t="n">
        <x:f>IF(D114=0,0,E114/D114)</x:f>
        <x:v>1.0112152866666666</x:v>
      </x:c>
      <x:c r="H114" t="str">
        <x:f>IF(G114&gt;1.05,"Vượt kế hoạch",IF(G114&lt;0.8,"Giải ngân thấp","Đúng tiến độ"))</x:f>
        <x:v>Đúng tiến độ</x:v>
      </x:c>
      <x:c r="I114" t="str">
        <x:v>Theo dõi theo tháng và chương trình</x:v>
      </x:c>
    </x:row>
    <x:row r="115">
      <x:c r="A115" t="n">
        <x:v>46357</x:v>
      </x:c>
      <x:c r="B115" t="str">
        <x:v>Q4</x:v>
      </x:c>
      <x:c r="C115" t="str">
        <x:v>Employer Branding</x:v>
      </x:c>
      <x:c r="D115" t="n">
        <x:v>150000000</x:v>
      </x:c>
      <x:c r="E115" t="n">
        <x:v>157138542</x:v>
      </x:c>
      <x:c r="F115" t="n">
        <x:f>E115-D115</x:f>
        <x:v>7138542</x:v>
      </x:c>
      <x:c r="G115" t="n">
        <x:f>IF(D115=0,0,E115/D115)</x:f>
        <x:v>1.04759028</x:v>
      </x:c>
      <x:c r="H115" t="str">
        <x:f>IF(G115&gt;1.05,"Vượt kế hoạch",IF(G115&lt;0.8,"Giải ngân thấp","Đúng tiến độ"))</x:f>
        <x:v>Đúng tiến độ</x:v>
      </x:c>
      <x:c r="I115" t="str">
        <x:v>Theo dõi theo tháng và chương trình</x:v>
      </x:c>
    </x:row>
    <x:row r="116">
      <x:c r="A116" t="n">
        <x:v>46357</x:v>
      </x:c>
      <x:c r="B116" t="str">
        <x:v>Q4</x:v>
      </x:c>
      <x:c r="C116" t="str">
        <x:v>Alumni Engagement</x:v>
      </x:c>
      <x:c r="D116" t="n">
        <x:v>125000000</x:v>
      </x:c>
      <x:c r="E116" t="n">
        <x:v>147191095</x:v>
      </x:c>
      <x:c r="F116" t="n">
        <x:f>E116-D116</x:f>
        <x:v>22191095</x:v>
      </x:c>
      <x:c r="G116" t="n">
        <x:f>IF(D116=0,0,E116/D116)</x:f>
        <x:v>1.17752876</x:v>
      </x:c>
      <x:c r="H116" t="str">
        <x:f>IF(G116&gt;1.05,"Vượt kế hoạch",IF(G116&lt;0.8,"Giải ngân thấp","Đúng tiến độ"))</x:f>
        <x:v>Vượt kế hoạch</x:v>
      </x:c>
      <x:c r="I116" t="str">
        <x:v>Theo dõi theo tháng và chương trình</x:v>
      </x:c>
    </x:row>
    <x:row r="117">
      <x:c r="A117" t="n">
        <x:v>46357</x:v>
      </x:c>
      <x:c r="B117" t="str">
        <x:v>Q4</x:v>
      </x:c>
      <x:c r="C117" t="str">
        <x:v>Fundraising Campaign</x:v>
      </x:c>
      <x:c r="D117" t="n">
        <x:v>225000000</x:v>
      </x:c>
      <x:c r="E117" t="n">
        <x:v>208959545</x:v>
      </x:c>
      <x:c r="F117" t="n">
        <x:f>E117-D117</x:f>
        <x:v>-16040455</x:v>
      </x:c>
      <x:c r="G117" t="n">
        <x:f>IF(D117=0,0,E117/D117)</x:f>
        <x:v>0.9287090888888889</x:v>
      </x:c>
      <x:c r="H117" t="str">
        <x:f>IF(G117&gt;1.05,"Vượt kế hoạch",IF(G117&lt;0.8,"Giải ngân thấp","Đúng tiến độ"))</x:f>
        <x:v>Đúng tiến độ</x:v>
      </x:c>
      <x:c r="I117" t="str">
        <x:v>Theo dõi theo tháng và chương trình</x:v>
      </x:c>
    </x:row>
    <x:row r="118">
      <x:c r="A118" t="n">
        <x:v>46357</x:v>
      </x:c>
      <x:c r="B118" t="str">
        <x:v>Q4</x:v>
      </x:c>
      <x:c r="C118" t="str">
        <x:v>Scholarship Donor Program</x:v>
      </x:c>
      <x:c r="D118" t="n">
        <x:v>150000000</x:v>
      </x:c>
      <x:c r="E118" t="n">
        <x:v>137683753</x:v>
      </x:c>
      <x:c r="F118" t="n">
        <x:f>E118-D118</x:f>
        <x:v>-12316247</x:v>
      </x:c>
      <x:c r="G118" t="n">
        <x:f>IF(D118=0,0,E118/D118)</x:f>
        <x:v>0.9178916866666667</x:v>
      </x:c>
      <x:c r="H118" t="str">
        <x:f>IF(G118&gt;1.05,"Vượt kế hoạch",IF(G118&lt;0.8,"Giải ngân thấp","Đúng tiến độ"))</x:f>
        <x:v>Đúng tiến độ</x:v>
      </x:c>
      <x:c r="I118" t="str">
        <x:v>Theo dõi theo tháng và chương trình</x:v>
      </x:c>
    </x:row>
    <x:row r="119">
      <x:c r="A119" t="n">
        <x:v>46357</x:v>
      </x:c>
      <x:c r="B119" t="str">
        <x:v>Q4</x:v>
      </x:c>
      <x:c r="C119" t="str">
        <x:v>MoU Signing</x:v>
      </x:c>
      <x:c r="D119" t="n">
        <x:v>250000000</x:v>
      </x:c>
      <x:c r="E119" t="n">
        <x:v>260704633</x:v>
      </x:c>
      <x:c r="F119" t="n">
        <x:f>E119-D119</x:f>
        <x:v>10704633</x:v>
      </x:c>
      <x:c r="G119" t="n">
        <x:f>IF(D119=0,0,E119/D119)</x:f>
        <x:v>1.042818532</x:v>
      </x:c>
      <x:c r="H119" t="str">
        <x:f>IF(G119&gt;1.05,"Vượt kế hoạch",IF(G119&lt;0.8,"Giải ngân thấp","Đúng tiến độ"))</x:f>
        <x:v>Đúng tiến độ</x:v>
      </x:c>
      <x:c r="I119" t="str">
        <x:v>Theo dõi theo tháng và chương trình</x:v>
      </x:c>
    </x:row>
    <x:row r="120">
      <x:c r="A120" t="n">
        <x:v>46357</x:v>
      </x:c>
      <x:c r="B120" t="str">
        <x:v>Q4</x:v>
      </x:c>
      <x:c r="C120" t="str">
        <x:v>Company Visit</x:v>
      </x:c>
      <x:c r="D120" t="n">
        <x:v>250000000</x:v>
      </x:c>
      <x:c r="E120" t="n">
        <x:v>255291990</x:v>
      </x:c>
      <x:c r="F120" t="n">
        <x:f>E120-D120</x:f>
        <x:v>5291990</x:v>
      </x:c>
      <x:c r="G120" t="n">
        <x:f>IF(D120=0,0,E120/D120)</x:f>
        <x:v>1.02116796</x:v>
      </x:c>
      <x:c r="H120" t="str">
        <x:f>IF(G120&gt;1.05,"Vượt kế hoạch",IF(G120&lt;0.8,"Giải ngân thấp","Đúng tiến độ"))</x:f>
        <x:v>Đúng tiến độ</x:v>
      </x:c>
      <x:c r="I120" t="str">
        <x:v>Theo dõi theo tháng và chương trình</x:v>
      </x:c>
    </x:row>
    <x:row r="121">
      <x:c r="A121" t="n">
        <x:v>46357</x:v>
      </x:c>
      <x:c r="B121" t="str">
        <x:v>Q4</x:v>
      </x:c>
      <x:c r="C121" t="str">
        <x:v>Industry Advisory Board</x:v>
      </x:c>
      <x:c r="D121" t="n">
        <x:v>250000000</x:v>
      </x:c>
      <x:c r="E121" t="n">
        <x:v>243403551</x:v>
      </x:c>
      <x:c r="F121" t="n">
        <x:f>E121-D121</x:f>
        <x:v>-6596449</x:v>
      </x:c>
      <x:c r="G121" t="n">
        <x:f>IF(D121=0,0,E121/D121)</x:f>
        <x:v>0.973614204</x:v>
      </x:c>
      <x:c r="H121" t="str">
        <x:f>IF(G121&gt;1.05,"Vượt kế hoạch",IF(G121&lt;0.8,"Giải ngân thấp","Đúng tiến độ"))</x:f>
        <x:v>Đúng tiến độ</x:v>
      </x:c>
      <x:c r="I121" t="str">
        <x:v>Theo dõi theo tháng và chương trình</x:v>
      </x:c>
    </x:row>
  </x:sheetData>
  <x:conditionalFormatting sqref="G2:G121">
    <x:cfRule type="dataBar" priority="1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{46DFA29D-E20D-CC40-89E6-6BF035522FD1}</x14:id>
        </x:ext>
      </x:extLst>
    </x:cfRule>
  </x:conditionalFormatting>
  <x:conditionalFormatting sqref="H2:H121">
    <x:cfRule type="expression" dxfId="0" priority="2">
      <x:formula>H2="Vượt kế hoạch"</x:formula>
    </x:cfRule>
    <x:cfRule type="expression" dxfId="1" priority="3">
      <x:formula>H2="Giải ngân thấp"</x:formula>
    </x:cfRule>
  </x:conditionalFormatting>
  <x:dataValidations count="1">
    <x:dataValidation type="list" sqref="C2:C121">
      <x:formula1>Danh_muc!$A$2:$A$16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2f57e60e1440b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DFA29D-E20D-CC40-89E6-6BF035522FD1}">
            <x14:dataBar gradient="1">
              <x14:cfvo type="min"/>
              <x14:cfvo type="max"/>
              <x14:fillColor rgb="4472C4"/>
            </x14:dataBar>
          </x14:cfRule>
          <xm:sqref>G2:G121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4" hidden="0" customWidth="1"/>
    <x:col min="4" max="4" width="20" hidden="0" customWidth="1"/>
    <x:col min="5" max="5" width="28" hidden="0" customWidth="1"/>
    <x:col min="6" max="6" width="42" hidden="0" customWidth="1"/>
    <x:col min="7" max="7" width="20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  <x:col min="12" max="12" width="20" hidden="0" customWidth="1"/>
    <x:col min="13" max="13" width="14" hidden="0" customWidth="1"/>
    <x:col min="14" max="14" width="12" hidden="0" customWidth="1"/>
    <x:col min="15" max="15" width="38" hidden="0" customWidth="1"/>
  </x:cols>
  <x:sheetData>
    <x:row r="1">
      <x:c r="A1" s="10" t="str">
        <x:v>Ma_de_nghi</x:v>
      </x:c>
      <x:c r="B1" s="28" t="str">
        <x:v>Ngay_de_nghi</x:v>
      </x:c>
      <x:c r="C1" s="10" t="str">
        <x:v>Chuong_trinh</x:v>
      </x:c>
      <x:c r="D1" s="10" t="str">
        <x:v>Hang_muc</x:v>
      </x:c>
      <x:c r="E1" s="10" t="str">
        <x:v>Nha_cung_cap</x:v>
      </x:c>
      <x:c r="F1" s="10" t="str">
        <x:v>Noi_dung_thanh_toan</x:v>
      </x:c>
      <x:c r="G1" s="20" t="str">
        <x:v>Gia_tri_truoc_VAT_VND</x:v>
      </x:c>
      <x:c r="H1" s="20" t="str">
        <x:v>VAT_10_VND</x:v>
      </x:c>
      <x:c r="I1" s="20" t="str">
        <x:v>Tong_thanh_toan_VND</x:v>
      </x:c>
      <x:c r="J1" s="10" t="str">
        <x:v>Trang_thai</x:v>
      </x:c>
      <x:c r="K1" s="10" t="str">
        <x:v>Nguoi_de_nghi</x:v>
      </x:c>
      <x:c r="L1" s="10" t="str">
        <x:v>Ma_du_toan_lien_quan</x:v>
      </x:c>
      <x:c r="M1" s="10" t="str">
        <x:v>Can_hop_dong</x:v>
      </x:c>
      <x:c r="N1" s="10" t="str">
        <x:v>Can_hoa_don</x:v>
      </x:c>
      <x:c r="O1" s="10" t="str">
        <x:v>Ghi_chu</x:v>
      </x:c>
    </x:row>
    <x:row r="2">
      <x:c r="A2" t="str">
        <x:v>PR-CAID-2026-001</x:v>
      </x:c>
      <x:c r="B2" t="n">
        <x:v>46032</x:v>
      </x:c>
      <x:c r="C2" t="str">
        <x:v>Donor Stewardship</x:v>
      </x:c>
      <x:c r="D2" t="str">
        <x:v>Thuê địa điểm</x:v>
      </x:c>
      <x:c r="E2" t="str">
        <x:v>Công ty Logistics FastGo</x:v>
      </x:c>
      <x:c r="F2" t="str">
        <x:v>Thanh toán thuê địa điểm cho Donor Stewardship</x:v>
      </x:c>
      <x:c r="G2" t="n">
        <x:v>35000000</x:v>
      </x:c>
      <x:c r="H2" t="n">
        <x:f>G2*10%</x:f>
        <x:v>3500000</x:v>
      </x:c>
      <x:c r="I2" t="n">
        <x:f>G2+H2</x:f>
        <x:v>38500000</x:v>
      </x:c>
      <x:c r="J2" t="str">
        <x:v>Cần bổ sung hồ sơ</x:v>
      </x:c>
      <x:c r="K2" t="str">
        <x:v>Phạm Quang Huy</x:v>
      </x:c>
      <x:c r="L2" t="str">
        <x:v>DT-CAID-2026-087</x:v>
      </x:c>
      <x:c r="M2" t="str">
        <x:v>Không</x:v>
      </x:c>
      <x:c r="N2" t="str">
        <x:v>Không</x:v>
      </x:c>
      <x:c r="O2" t="str">
        <x:v>Hồ sơ mẫu dùng cho quy trình đề nghị thanh toán</x:v>
      </x:c>
    </x:row>
    <x:row r="3">
      <x:c r="A3" t="str">
        <x:v>PR-CAID-2026-002</x:v>
      </x:c>
      <x:c r="B3" t="n">
        <x:v>46070</x:v>
      </x:c>
      <x:c r="C3" t="str">
        <x:v>Scholarship Donor Program</x:v>
      </x:c>
      <x:c r="D3" t="str">
        <x:v>Chăm sóc nhà tài trợ</x:v>
      </x:c>
      <x:c r="E3" t="str">
        <x:v>Nền tảng CRM EduPartner</x:v>
      </x:c>
      <x:c r="F3" t="str">
        <x:v>Thanh toán chăm sóc nhà tài trợ cho Scholarship Donor Program</x:v>
      </x:c>
      <x:c r="G3" t="n">
        <x:v>5000000</x:v>
      </x:c>
      <x:c r="H3" t="n">
        <x:f>G3*10%</x:f>
        <x:v>500000</x:v>
      </x:c>
      <x:c r="I3" t="n">
        <x:f>G3+H3</x:f>
        <x:v>5500000</x:v>
      </x:c>
      <x:c r="J3" t="str">
        <x:v>Đã duyệt</x:v>
      </x:c>
      <x:c r="K3" t="str">
        <x:v>Vũ Khánh Linh</x:v>
      </x:c>
      <x:c r="L3" t="str">
        <x:v>DT-CAID-2026-066</x:v>
      </x:c>
      <x:c r="M3" t="str">
        <x:v>Không</x:v>
      </x:c>
      <x:c r="N3" t="str">
        <x:v>Có</x:v>
      </x:c>
      <x:c r="O3" t="str">
        <x:v>Hồ sơ mẫu dùng cho quy trình đề nghị thanh toán</x:v>
      </x:c>
    </x:row>
    <x:row r="4">
      <x:c r="A4" t="str">
        <x:v>PR-CAID-2026-003</x:v>
      </x:c>
      <x:c r="B4" t="n">
        <x:v>46105</x:v>
      </x:c>
      <x:c r="C4" t="str">
        <x:v>Mentorship Program</x:v>
      </x:c>
      <x:c r="D4" t="str">
        <x:v>In ấn tài liệu</x:v>
      </x:c>
      <x:c r="E4" t="str">
        <x:v>Công ty Truyền thông Apex</x:v>
      </x:c>
      <x:c r="F4" t="str">
        <x:v>Thanh toán in ấn tài liệu cho Mentorship Program</x:v>
      </x:c>
      <x:c r="G4" t="n">
        <x:v>5000000</x:v>
      </x:c>
      <x:c r="H4" t="n">
        <x:f>G4*10%</x:f>
        <x:v>500000</x:v>
      </x:c>
      <x:c r="I4" t="n">
        <x:f>G4+H4</x:f>
        <x:v>5500000</x:v>
      </x:c>
      <x:c r="J4" t="str">
        <x:v>Từ chối</x:v>
      </x:c>
      <x:c r="K4" t="str">
        <x:v>Nguyễn Minh Anh</x:v>
      </x:c>
      <x:c r="L4" t="str">
        <x:v>DT-CAID-2026-111</x:v>
      </x:c>
      <x:c r="M4" t="str">
        <x:v>Có</x:v>
      </x:c>
      <x:c r="N4" t="str">
        <x:v>Không</x:v>
      </x:c>
      <x:c r="O4" t="str">
        <x:v>Hồ sơ mẫu dùng cho quy trình đề nghị thanh toán</x:v>
      </x:c>
    </x:row>
    <x:row r="5">
      <x:c r="A5" t="str">
        <x:v>PR-CAID-2026-004</x:v>
      </x:c>
      <x:c r="B5" t="n">
        <x:v>46118</x:v>
      </x:c>
      <x:c r="C5" t="str">
        <x:v>Development Event</x:v>
      </x:c>
      <x:c r="D5" t="str">
        <x:v>Truyền thông &amp; thiết kế</x:v>
      </x:c>
      <x:c r="E5" t="str">
        <x:v>Công ty CareerHub Việt Nam</x:v>
      </x:c>
      <x:c r="F5" t="str">
        <x:v>Thanh toán truyền thông &amp; thiết kế cho Development Event</x:v>
      </x:c>
      <x:c r="G5" t="n">
        <x:v>50000000</x:v>
      </x:c>
      <x:c r="H5" t="n">
        <x:f>G5*10%</x:f>
        <x:v>5000000</x:v>
      </x:c>
      <x:c r="I5" t="n">
        <x:f>G5+H5</x:f>
        <x:v>55000000</x:v>
      </x:c>
      <x:c r="J5" t="str">
        <x:v>Cần bổ sung hồ sơ</x:v>
      </x:c>
      <x:c r="K5" t="str">
        <x:v>Đỗ Bảo Ngọc</x:v>
      </x:c>
      <x:c r="L5" t="str">
        <x:v>DT-CAID-2026-085</x:v>
      </x:c>
      <x:c r="M5" t="str">
        <x:v>Có</x:v>
      </x:c>
      <x:c r="N5" t="str">
        <x:v>Không</x:v>
      </x:c>
      <x:c r="O5" t="str">
        <x:v>Hồ sơ mẫu dùng cho quy trình đề nghị thanh toán</x:v>
      </x:c>
    </x:row>
    <x:row r="6">
      <x:c r="A6" t="str">
        <x:v>PR-CAID-2026-005</x:v>
      </x:c>
      <x:c r="B6" t="n">
        <x:v>46155</x:v>
      </x:c>
      <x:c r="C6" t="str">
        <x:v>Fundraising Campaign</x:v>
      </x:c>
      <x:c r="D6" t="str">
        <x:v>Hội thảo doanh nghiệp</x:v>
      </x:c>
      <x:c r="E6" t="str">
        <x:v>Công ty Sự kiện BizConnect</x:v>
      </x:c>
      <x:c r="F6" t="str">
        <x:v>Thanh toán hội thảo doanh nghiệp cho Fundraising Campaign</x:v>
      </x:c>
      <x:c r="G6" t="n">
        <x:v>300000000</x:v>
      </x:c>
      <x:c r="H6" t="n">
        <x:f>G6*10%</x:f>
        <x:v>30000000</x:v>
      </x:c>
      <x:c r="I6" t="n">
        <x:f>G6+H6</x:f>
        <x:v>330000000</x:v>
      </x:c>
      <x:c r="J6" t="str">
        <x:v>Cần bổ sung hồ sơ</x:v>
      </x:c>
      <x:c r="K6" t="str">
        <x:v>Đỗ Bảo Ngọc</x:v>
      </x:c>
      <x:c r="L6" t="str">
        <x:v>DT-CAID-2026-080</x:v>
      </x:c>
      <x:c r="M6" t="str">
        <x:v>Không</x:v>
      </x:c>
      <x:c r="N6" t="str">
        <x:v>Có</x:v>
      </x:c>
      <x:c r="O6" t="str">
        <x:v>Hồ sơ mẫu dùng cho quy trình đề nghị thanh toán</x:v>
      </x:c>
    </x:row>
    <x:row r="7">
      <x:c r="A7" t="str">
        <x:v>PR-CAID-2026-006</x:v>
      </x:c>
      <x:c r="B7" t="n">
        <x:v>46193</x:v>
      </x:c>
      <x:c r="C7" t="str">
        <x:v>Industry Advisory Board</x:v>
      </x:c>
      <x:c r="D7" t="str">
        <x:v>Phần mềm CRM</x:v>
      </x:c>
      <x:c r="E7" t="str">
        <x:v>Khách sạn Grand Hanoi</x:v>
      </x:c>
      <x:c r="F7" t="str">
        <x:v>Thanh toán phần mềm crm cho Industry Advisory Board</x:v>
      </x:c>
      <x:c r="G7" t="n">
        <x:v>12000000</x:v>
      </x:c>
      <x:c r="H7" t="n">
        <x:f>G7*10%</x:f>
        <x:v>1200000</x:v>
      </x:c>
      <x:c r="I7" t="n">
        <x:f>G7+H7</x:f>
        <x:v>13200000</x:v>
      </x:c>
      <x:c r="J7" t="str">
        <x:v>Đã thanh toán</x:v>
      </x:c>
      <x:c r="K7" t="str">
        <x:v>Trần Hoàng Long</x:v>
      </x:c>
      <x:c r="L7" t="str">
        <x:v>DT-CAID-2026-028</x:v>
      </x:c>
      <x:c r="M7" t="str">
        <x:v>Không</x:v>
      </x:c>
      <x:c r="N7" t="str">
        <x:v>Không</x:v>
      </x:c>
      <x:c r="O7" t="str">
        <x:v>Hồ sơ mẫu dùng cho quy trình đề nghị thanh toán</x:v>
      </x:c>
    </x:row>
    <x:row r="8">
      <x:c r="A8" t="str">
        <x:v>PR-CAID-2026-007</x:v>
      </x:c>
      <x:c r="B8" t="n">
        <x:v>46230</x:v>
      </x:c>
      <x:c r="C8" t="str">
        <x:v>Career Fair</x:v>
      </x:c>
      <x:c r="D8" t="str">
        <x:v>Quà tặng đối tác</x:v>
      </x:c>
      <x:c r="E8" t="str">
        <x:v>Công ty Alumni Network</x:v>
      </x:c>
      <x:c r="F8" t="str">
        <x:v>Thanh toán quà tặng đối tác cho Career Fair</x:v>
      </x:c>
      <x:c r="G8" t="n">
        <x:v>75000000</x:v>
      </x:c>
      <x:c r="H8" t="n">
        <x:f>G8*10%</x:f>
        <x:v>7500000</x:v>
      </x:c>
      <x:c r="I8" t="n">
        <x:f>G8+H8</x:f>
        <x:v>82500000</x:v>
      </x:c>
      <x:c r="J8" t="str">
        <x:v>Đã duyệt</x:v>
      </x:c>
      <x:c r="K8" t="str">
        <x:v>Đỗ Bảo Ngọc</x:v>
      </x:c>
      <x:c r="L8" t="str">
        <x:v>DT-CAID-2026-143</x:v>
      </x:c>
      <x:c r="M8" t="str">
        <x:v>Có</x:v>
      </x:c>
      <x:c r="N8" t="str">
        <x:v>Không</x:v>
      </x:c>
      <x:c r="O8" t="str">
        <x:v>Hồ sơ mẫu dùng cho quy trình đề nghị thanh toán</x:v>
      </x:c>
    </x:row>
    <x:row r="9">
      <x:c r="A9" t="str">
        <x:v>PR-CAID-2026-008</x:v>
      </x:c>
      <x:c r="B9" t="n">
        <x:v>46243</x:v>
      </x:c>
      <x:c r="C9" t="str">
        <x:v>Corporate Partnership</x:v>
      </x:c>
      <x:c r="D9" t="str">
        <x:v>Truyền thông &amp; thiết kế</x:v>
      </x:c>
      <x:c r="E9" t="str">
        <x:v>Công ty Digital Growth</x:v>
      </x:c>
      <x:c r="F9" t="str">
        <x:v>Thanh toán truyền thông &amp; thiết kế cho Corporate Partnership</x:v>
      </x:c>
      <x:c r="G9" t="n">
        <x:v>15000000</x:v>
      </x:c>
      <x:c r="H9" t="n">
        <x:f>G9*10%</x:f>
        <x:v>1500000</x:v>
      </x:c>
      <x:c r="I9" t="n">
        <x:f>G9+H9</x:f>
        <x:v>16500000</x:v>
      </x:c>
      <x:c r="J9" t="str">
        <x:v>Đã thanh toán</x:v>
      </x:c>
      <x:c r="K9" t="str">
        <x:v>Lê Thu Hà</x:v>
      </x:c>
      <x:c r="L9" t="str">
        <x:v>DT-CAID-2026-090</x:v>
      </x:c>
      <x:c r="M9" t="str">
        <x:v>Có</x:v>
      </x:c>
      <x:c r="N9" t="str">
        <x:v>Có</x:v>
      </x:c>
      <x:c r="O9" t="str">
        <x:v>Hồ sơ mẫu dùng cho quy trình đề nghị thanh toán</x:v>
      </x:c>
    </x:row>
    <x:row r="10">
      <x:c r="A10" t="str">
        <x:v>PR-CAID-2026-009</x:v>
      </x:c>
      <x:c r="B10" t="n">
        <x:v>46281</x:v>
      </x:c>
      <x:c r="C10" t="str">
        <x:v>Donor Stewardship</x:v>
      </x:c>
      <x:c r="D10" t="str">
        <x:v>Truyền thông &amp; thiết kế</x:v>
      </x:c>
      <x:c r="E10" t="str">
        <x:v>Công ty HR Bridge</x:v>
      </x:c>
      <x:c r="F10" t="str">
        <x:v>Thanh toán truyền thông &amp; thiết kế cho Donor Stewardship</x:v>
      </x:c>
      <x:c r="G10" t="n">
        <x:v>100000000</x:v>
      </x:c>
      <x:c r="H10" t="n">
        <x:f>G10*10%</x:f>
        <x:v>10000000</x:v>
      </x:c>
      <x:c r="I10" t="n">
        <x:f>G10+H10</x:f>
        <x:v>110000000</x:v>
      </x:c>
      <x:c r="J10" t="str">
        <x:v>Đã duyệt</x:v>
      </x:c>
      <x:c r="K10" t="str">
        <x:v>Trần Hoàng Long</x:v>
      </x:c>
      <x:c r="L10" t="str">
        <x:v>DT-CAID-2026-008</x:v>
      </x:c>
      <x:c r="M10" t="str">
        <x:v>Có</x:v>
      </x:c>
      <x:c r="N10" t="str">
        <x:v>Có</x:v>
      </x:c>
      <x:c r="O10" t="str">
        <x:v>Hồ sơ mẫu dùng cho quy trình đề nghị thanh toán</x:v>
      </x:c>
    </x:row>
    <x:row r="11">
      <x:c r="A11" t="str">
        <x:v>PR-CAID-2026-010</x:v>
      </x:c>
      <x:c r="B11" t="n">
        <x:v>46318</x:v>
      </x:c>
      <x:c r="C11" t="str">
        <x:v>Scholarship Donor Program</x:v>
      </x:c>
      <x:c r="D11" t="str">
        <x:v>Di chuyển công tác</x:v>
      </x:c>
      <x:c r="E11" t="str">
        <x:v>Nền tảng CRM EduPartner</x:v>
      </x:c>
      <x:c r="F11" t="str">
        <x:v>Thanh toán di chuyển công tác cho Scholarship Donor Program</x:v>
      </x:c>
      <x:c r="G11" t="n">
        <x:v>50000000</x:v>
      </x:c>
      <x:c r="H11" t="n">
        <x:f>G11*10%</x:f>
        <x:v>5000000</x:v>
      </x:c>
      <x:c r="I11" t="n">
        <x:f>G11+H11</x:f>
        <x:v>55000000</x:v>
      </x:c>
      <x:c r="J11" t="str">
        <x:v>Đã gửi duyệt</x:v>
      </x:c>
      <x:c r="K11" t="str">
        <x:v>Lê Thu Hà</x:v>
      </x:c>
      <x:c r="L11" t="str">
        <x:v>DT-CAID-2026-084</x:v>
      </x:c>
      <x:c r="M11" t="str">
        <x:v>Có</x:v>
      </x:c>
      <x:c r="N11" t="str">
        <x:v>Có</x:v>
      </x:c>
      <x:c r="O11" t="str">
        <x:v>Hồ sơ mẫu dùng cho quy trình đề nghị thanh toán</x:v>
      </x:c>
    </x:row>
    <x:row r="12">
      <x:c r="A12" t="str">
        <x:v>PR-CAID-2026-011</x:v>
      </x:c>
      <x:c r="B12" t="n">
        <x:v>46331</x:v>
      </x:c>
      <x:c r="C12" t="str">
        <x:v>Internship Program</x:v>
      </x:c>
      <x:c r="D12" t="str">
        <x:v>Truyền thông &amp; thiết kế</x:v>
      </x:c>
      <x:c r="E12" t="str">
        <x:v>Công ty Sự kiện BizConnect</x:v>
      </x:c>
      <x:c r="F12" t="str">
        <x:v>Thanh toán truyền thông &amp; thiết kế cho Internship Program</x:v>
      </x:c>
      <x:c r="G12" t="n">
        <x:v>100000000</x:v>
      </x:c>
      <x:c r="H12" t="n">
        <x:f>G12*10%</x:f>
        <x:v>10000000</x:v>
      </x:c>
      <x:c r="I12" t="n">
        <x:f>G12+H12</x:f>
        <x:v>110000000</x:v>
      </x:c>
      <x:c r="J12" t="str">
        <x:v>Đã thanh toán</x:v>
      </x:c>
      <x:c r="K12" t="str">
        <x:v>Lê Thu Hà</x:v>
      </x:c>
      <x:c r="L12" t="str">
        <x:v>DT-CAID-2026-114</x:v>
      </x:c>
      <x:c r="M12" t="str">
        <x:v>Không</x:v>
      </x:c>
      <x:c r="N12" t="str">
        <x:v>Không</x:v>
      </x:c>
      <x:c r="O12" t="str">
        <x:v>Hồ sơ mẫu dùng cho quy trình đề nghị thanh toán</x:v>
      </x:c>
    </x:row>
    <x:row r="13">
      <x:c r="A13" t="str">
        <x:v>PR-CAID-2026-012</x:v>
      </x:c>
      <x:c r="B13" t="n">
        <x:v>46368</x:v>
      </x:c>
      <x:c r="C13" t="str">
        <x:v>Industry Advisory Board</x:v>
      </x:c>
      <x:c r="D13" t="str">
        <x:v>In ấn tài liệu</x:v>
      </x:c>
      <x:c r="E13" t="str">
        <x:v>Công ty Quà tặng Việt</x:v>
      </x:c>
      <x:c r="F13" t="str">
        <x:v>Thanh toán in ấn tài liệu cho Industry Advisory Board</x:v>
      </x:c>
      <x:c r="G13" t="n">
        <x:v>35000000</x:v>
      </x:c>
      <x:c r="H13" t="n">
        <x:f>G13*10%</x:f>
        <x:v>3500000</x:v>
      </x:c>
      <x:c r="I13" t="n">
        <x:f>G13+H13</x:f>
        <x:v>38500000</x:v>
      </x:c>
      <x:c r="J13" t="str">
        <x:v>Đã duyệt</x:v>
      </x:c>
      <x:c r="K13" t="str">
        <x:v>Đỗ Bảo Ngọc</x:v>
      </x:c>
      <x:c r="L13" t="str">
        <x:v>DT-CAID-2026-030</x:v>
      </x:c>
      <x:c r="M13" t="str">
        <x:v>Không</x:v>
      </x:c>
      <x:c r="N13" t="str">
        <x:v>Không</x:v>
      </x:c>
      <x:c r="O13" t="str">
        <x:v>Hồ sơ mẫu dùng cho quy trình đề nghị thanh toán</x:v>
      </x:c>
    </x:row>
    <x:row r="14">
      <x:c r="A14" t="str">
        <x:v>PR-CAID-2026-013</x:v>
      </x:c>
      <x:c r="B14" t="n">
        <x:v>46041</x:v>
      </x:c>
      <x:c r="C14" t="str">
        <x:v>Career Fair</x:v>
      </x:c>
      <x:c r="D14" t="str">
        <x:v>Quà tặng đối tác</x:v>
      </x:c>
      <x:c r="E14" t="str">
        <x:v>Công ty CareerHub Việt Nam</x:v>
      </x:c>
      <x:c r="F14" t="str">
        <x:v>Thanh toán quà tặng đối tác cho Career Fair</x:v>
      </x:c>
      <x:c r="G14" t="n">
        <x:v>300000000</x:v>
      </x:c>
      <x:c r="H14" t="n">
        <x:f>G14*10%</x:f>
        <x:v>30000000</x:v>
      </x:c>
      <x:c r="I14" t="n">
        <x:f>G14+H14</x:f>
        <x:v>330000000</x:v>
      </x:c>
      <x:c r="J14" t="str">
        <x:v>Đã thanh toán</x:v>
      </x:c>
      <x:c r="K14" t="str">
        <x:v>Vũ Khánh Linh</x:v>
      </x:c>
      <x:c r="L14" t="str">
        <x:v>DT-CAID-2026-079</x:v>
      </x:c>
      <x:c r="M14" t="str">
        <x:v>Có</x:v>
      </x:c>
      <x:c r="N14" t="str">
        <x:v>Có</x:v>
      </x:c>
      <x:c r="O14" t="str">
        <x:v>Hồ sơ mẫu dùng cho quy trình đề nghị thanh toán</x:v>
      </x:c>
    </x:row>
    <x:row r="15">
      <x:c r="A15" t="str">
        <x:v>PR-CAID-2026-014</x:v>
      </x:c>
      <x:c r="B15" t="n">
        <x:v>46079</x:v>
      </x:c>
      <x:c r="C15" t="str">
        <x:v>Scholarship Donor Program</x:v>
      </x:c>
      <x:c r="D15" t="str">
        <x:v>Tài trợ sinh viên</x:v>
      </x:c>
      <x:c r="E15" t="str">
        <x:v>Công ty Sự kiện BizConnect</x:v>
      </x:c>
      <x:c r="F15" t="str">
        <x:v>Thanh toán tài trợ sinh viên cho Scholarship Donor Program</x:v>
      </x:c>
      <x:c r="G15" t="n">
        <x:v>3000000</x:v>
      </x:c>
      <x:c r="H15" t="n">
        <x:f>G15*10%</x:f>
        <x:v>300000</x:v>
      </x:c>
      <x:c r="I15" t="n">
        <x:f>G15+H15</x:f>
        <x:v>3300000</x:v>
      </x:c>
      <x:c r="J15" t="str">
        <x:v>Đã duyệt</x:v>
      </x:c>
      <x:c r="K15" t="str">
        <x:v>Trần Hoàng Long</x:v>
      </x:c>
      <x:c r="L15" t="str">
        <x:v>DT-CAID-2026-036</x:v>
      </x:c>
      <x:c r="M15" t="str">
        <x:v>Không</x:v>
      </x:c>
      <x:c r="N15" t="str">
        <x:v>Không</x:v>
      </x:c>
      <x:c r="O15" t="str">
        <x:v>Hồ sơ mẫu dùng cho quy trình đề nghị thanh toán</x:v>
      </x:c>
    </x:row>
    <x:row r="16">
      <x:c r="A16" t="str">
        <x:v>PR-CAID-2026-015</x:v>
      </x:c>
      <x:c r="B16" t="n">
        <x:v>46089</x:v>
      </x:c>
      <x:c r="C16" t="str">
        <x:v>Fundraising Campaign</x:v>
      </x:c>
      <x:c r="D16" t="str">
        <x:v>Tiếp khách doanh nghiệp</x:v>
      </x:c>
      <x:c r="E16" t="str">
        <x:v>Công ty Digital Growth</x:v>
      </x:c>
      <x:c r="F16" t="str">
        <x:v>Thanh toán tiếp khách doanh nghiệp cho Fundraising Campaign</x:v>
      </x:c>
      <x:c r="G16" t="n">
        <x:v>150000000</x:v>
      </x:c>
      <x:c r="H16" t="n">
        <x:f>G16*10%</x:f>
        <x:v>15000000</x:v>
      </x:c>
      <x:c r="I16" t="n">
        <x:f>G16+H16</x:f>
        <x:v>165000000</x:v>
      </x:c>
      <x:c r="J16" t="str">
        <x:v>Đã duyệt</x:v>
      </x:c>
      <x:c r="K16" t="str">
        <x:v>Trần Hoàng Long</x:v>
      </x:c>
      <x:c r="L16" t="str">
        <x:v>DT-CAID-2026-098</x:v>
      </x:c>
      <x:c r="M16" t="str">
        <x:v>Có</x:v>
      </x:c>
      <x:c r="N16" t="str">
        <x:v>Không</x:v>
      </x:c>
      <x:c r="O16" t="str">
        <x:v>Hồ sơ mẫu dùng cho quy trình đề nghị thanh toán</x:v>
      </x:c>
    </x:row>
    <x:row r="17">
      <x:c r="A17" t="str">
        <x:v>PR-CAID-2026-016</x:v>
      </x:c>
      <x:c r="B17" t="n">
        <x:v>46127</x:v>
      </x:c>
      <x:c r="C17" t="str">
        <x:v>Career Fair</x:v>
      </x:c>
      <x:c r="D17" t="str">
        <x:v>Di chuyển công tác</x:v>
      </x:c>
      <x:c r="E17" t="str">
        <x:v>Công ty Sự kiện BizConnect</x:v>
      </x:c>
      <x:c r="F17" t="str">
        <x:v>Thanh toán di chuyển công tác cho Career Fair</x:v>
      </x:c>
      <x:c r="G17" t="n">
        <x:v>150000000</x:v>
      </x:c>
      <x:c r="H17" t="n">
        <x:f>G17*10%</x:f>
        <x:v>15000000</x:v>
      </x:c>
      <x:c r="I17" t="n">
        <x:f>G17+H17</x:f>
        <x:v>165000000</x:v>
      </x:c>
      <x:c r="J17" t="str">
        <x:v>Đã thanh toán</x:v>
      </x:c>
      <x:c r="K17" t="str">
        <x:v>Nguyễn Minh Anh</x:v>
      </x:c>
      <x:c r="L17" t="str">
        <x:v>DT-CAID-2026-081</x:v>
      </x:c>
      <x:c r="M17" t="str">
        <x:v>Không</x:v>
      </x:c>
      <x:c r="N17" t="str">
        <x:v>Không</x:v>
      </x:c>
      <x:c r="O17" t="str">
        <x:v>Hồ sơ mẫu dùng cho quy trình đề nghị thanh toán</x:v>
      </x:c>
    </x:row>
    <x:row r="18">
      <x:c r="A18" t="str">
        <x:v>PR-CAID-2026-017</x:v>
      </x:c>
      <x:c r="B18" t="n">
        <x:v>46164</x:v>
      </x:c>
      <x:c r="C18" t="str">
        <x:v>Corporate Training</x:v>
      </x:c>
      <x:c r="D18" t="str">
        <x:v>Hội thảo doanh nghiệp</x:v>
      </x:c>
      <x:c r="E18" t="str">
        <x:v>Công ty Quà tặng Việt</x:v>
      </x:c>
      <x:c r="F18" t="str">
        <x:v>Thanh toán hội thảo doanh nghiệp cho Corporate Training</x:v>
      </x:c>
      <x:c r="G18" t="n">
        <x:v>35000000</x:v>
      </x:c>
      <x:c r="H18" t="n">
        <x:f>G18*10%</x:f>
        <x:v>3500000</x:v>
      </x:c>
      <x:c r="I18" t="n">
        <x:f>G18+H18</x:f>
        <x:v>38500000</x:v>
      </x:c>
      <x:c r="J18" t="str">
        <x:v>Đã gửi duyệt</x:v>
      </x:c>
      <x:c r="K18" t="str">
        <x:v>Nguyễn Minh Anh</x:v>
      </x:c>
      <x:c r="L18" t="str">
        <x:v>DT-CAID-2026-084</x:v>
      </x:c>
      <x:c r="M18" t="str">
        <x:v>Có</x:v>
      </x:c>
      <x:c r="N18" t="str">
        <x:v>Không</x:v>
      </x:c>
      <x:c r="O18" t="str">
        <x:v>Hồ sơ mẫu dùng cho quy trình đề nghị thanh toán</x:v>
      </x:c>
    </x:row>
    <x:row r="19">
      <x:c r="A19" t="str">
        <x:v>PR-CAID-2026-018</x:v>
      </x:c>
      <x:c r="B19" t="n">
        <x:v>46177</x:v>
      </x:c>
      <x:c r="C19" t="str">
        <x:v>Donor Stewardship</x:v>
      </x:c>
      <x:c r="D19" t="str">
        <x:v>Chăm sóc nhà tài trợ</x:v>
      </x:c>
      <x:c r="E19" t="str">
        <x:v>Công ty Truyền thông Apex</x:v>
      </x:c>
      <x:c r="F19" t="str">
        <x:v>Thanh toán chăm sóc nhà tài trợ cho Donor Stewardship</x:v>
      </x:c>
      <x:c r="G19" t="n">
        <x:v>20000000</x:v>
      </x:c>
      <x:c r="H19" t="n">
        <x:f>G19*10%</x:f>
        <x:v>2000000</x:v>
      </x:c>
      <x:c r="I19" t="n">
        <x:f>G19+H19</x:f>
        <x:v>22000000</x:v>
      </x:c>
      <x:c r="J19" t="str">
        <x:v>Đã duyệt</x:v>
      </x:c>
      <x:c r="K19" t="str">
        <x:v>Nguyễn Minh Anh</x:v>
      </x:c>
      <x:c r="L19" t="str">
        <x:v>DT-CAID-2026-063</x:v>
      </x:c>
      <x:c r="M19" t="str">
        <x:v>Không</x:v>
      </x:c>
      <x:c r="N19" t="str">
        <x:v>Không</x:v>
      </x:c>
      <x:c r="O19" t="str">
        <x:v>Hồ sơ mẫu dùng cho quy trình đề nghị thanh toán</x:v>
      </x:c>
    </x:row>
    <x:row r="20">
      <x:c r="A20" t="str">
        <x:v>PR-CAID-2026-019</x:v>
      </x:c>
      <x:c r="B20" t="n">
        <x:v>46214</x:v>
      </x:c>
      <x:c r="C20" t="str">
        <x:v>Company Visit</x:v>
      </x:c>
      <x:c r="D20" t="str">
        <x:v>Tiếp khách doanh nghiệp</x:v>
      </x:c>
      <x:c r="E20" t="str">
        <x:v>Công ty Fundraising Solutions</x:v>
      </x:c>
      <x:c r="F20" t="str">
        <x:v>Thanh toán tiếp khách doanh nghiệp cho Company Visit</x:v>
      </x:c>
      <x:c r="G20" t="n">
        <x:v>35000000</x:v>
      </x:c>
      <x:c r="H20" t="n">
        <x:f>G20*10%</x:f>
        <x:v>3500000</x:v>
      </x:c>
      <x:c r="I20" t="n">
        <x:f>G20+H20</x:f>
        <x:v>38500000</x:v>
      </x:c>
      <x:c r="J20" t="str">
        <x:v>Đã duyệt</x:v>
      </x:c>
      <x:c r="K20" t="str">
        <x:v>Lê Thu Hà</x:v>
      </x:c>
      <x:c r="L20" t="str">
        <x:v>DT-CAID-2026-057</x:v>
      </x:c>
      <x:c r="M20" t="str">
        <x:v>Không</x:v>
      </x:c>
      <x:c r="N20" t="str">
        <x:v>Có</x:v>
      </x:c>
      <x:c r="O20" t="str">
        <x:v>Hồ sơ mẫu dùng cho quy trình đề nghị thanh toán</x:v>
      </x:c>
    </x:row>
    <x:row r="21">
      <x:c r="A21" t="str">
        <x:v>PR-CAID-2026-020</x:v>
      </x:c>
      <x:c r="B21" t="n">
        <x:v>46252</x:v>
      </x:c>
      <x:c r="C21" t="str">
        <x:v>Career Fair</x:v>
      </x:c>
      <x:c r="D21" t="str">
        <x:v>Phần mềm CRM</x:v>
      </x:c>
      <x:c r="E21" t="str">
        <x:v>Công ty Thiết kế BrandLab</x:v>
      </x:c>
      <x:c r="F21" t="str">
        <x:v>Thanh toán phần mềm crm cho Career Fair</x:v>
      </x:c>
      <x:c r="G21" t="n">
        <x:v>50000000</x:v>
      </x:c>
      <x:c r="H21" t="n">
        <x:f>G21*10%</x:f>
        <x:v>5000000</x:v>
      </x:c>
      <x:c r="I21" t="n">
        <x:f>G21+H21</x:f>
        <x:v>55000000</x:v>
      </x:c>
      <x:c r="J21" t="str">
        <x:v>Đã thanh toán</x:v>
      </x:c>
      <x:c r="K21" t="str">
        <x:v>Hoàng Gia Bảo</x:v>
      </x:c>
      <x:c r="L21" t="str">
        <x:v>DT-CAID-2026-090</x:v>
      </x:c>
      <x:c r="M21" t="str">
        <x:v>Không</x:v>
      </x:c>
      <x:c r="N21" t="str">
        <x:v>Có</x:v>
      </x:c>
      <x:c r="O21" t="str">
        <x:v>Hồ sơ mẫu dùng cho quy trình đề nghị thanh toán</x:v>
      </x:c>
    </x:row>
    <x:row r="22">
      <x:c r="A22" t="str">
        <x:v>PR-CAID-2026-021</x:v>
      </x:c>
      <x:c r="B22" t="n">
        <x:v>46290</x:v>
      </x:c>
      <x:c r="C22" t="str">
        <x:v>Employer Branding</x:v>
      </x:c>
      <x:c r="D22" t="str">
        <x:v>Tiếp khách doanh nghiệp</x:v>
      </x:c>
      <x:c r="E22" t="str">
        <x:v>Công ty Quà tặng Việt</x:v>
      </x:c>
      <x:c r="F22" t="str">
        <x:v>Thanh toán tiếp khách doanh nghiệp cho Employer Branding</x:v>
      </x:c>
      <x:c r="G22" t="n">
        <x:v>8000000</x:v>
      </x:c>
      <x:c r="H22" t="n">
        <x:f>G22*10%</x:f>
        <x:v>800000</x:v>
      </x:c>
      <x:c r="I22" t="n">
        <x:f>G22+H22</x:f>
        <x:v>8800000</x:v>
      </x:c>
      <x:c r="J22" t="str">
        <x:v>Đã gửi duyệt</x:v>
      </x:c>
      <x:c r="K22" t="str">
        <x:v>Đỗ Bảo Ngọc</x:v>
      </x:c>
      <x:c r="L22" t="str">
        <x:v>DT-CAID-2026-040</x:v>
      </x:c>
      <x:c r="M22" t="str">
        <x:v>Có</x:v>
      </x:c>
      <x:c r="N22" t="str">
        <x:v>Có</x:v>
      </x:c>
      <x:c r="O22" t="str">
        <x:v>Hồ sơ mẫu dùng cho quy trình đề nghị thanh toán</x:v>
      </x:c>
    </x:row>
    <x:row r="23">
      <x:c r="A23" t="str">
        <x:v>PR-CAID-2026-022</x:v>
      </x:c>
      <x:c r="B23" t="n">
        <x:v>46302</x:v>
      </x:c>
      <x:c r="C23" t="str">
        <x:v>Development Event</x:v>
      </x:c>
      <x:c r="D23" t="str">
        <x:v>Hội thảo doanh nghiệp</x:v>
      </x:c>
      <x:c r="E23" t="str">
        <x:v>Công ty Alumni Network</x:v>
      </x:c>
      <x:c r="F23" t="str">
        <x:v>Thanh toán hội thảo doanh nghiệp cho Development Event</x:v>
      </x:c>
      <x:c r="G23" t="n">
        <x:v>150000000</x:v>
      </x:c>
      <x:c r="H23" t="n">
        <x:f>G23*10%</x:f>
        <x:v>15000000</x:v>
      </x:c>
      <x:c r="I23" t="n">
        <x:f>G23+H23</x:f>
        <x:v>165000000</x:v>
      </x:c>
      <x:c r="J23" t="str">
        <x:v>Đã thanh toán</x:v>
      </x:c>
      <x:c r="K23" t="str">
        <x:v>Đỗ Bảo Ngọc</x:v>
      </x:c>
      <x:c r="L23" t="str">
        <x:v>DT-CAID-2026-115</x:v>
      </x:c>
      <x:c r="M23" t="str">
        <x:v>Không</x:v>
      </x:c>
      <x:c r="N23" t="str">
        <x:v>Không</x:v>
      </x:c>
      <x:c r="O23" t="str">
        <x:v>Hồ sơ mẫu dùng cho quy trình đề nghị thanh toán</x:v>
      </x:c>
    </x:row>
    <x:row r="24">
      <x:c r="A24" t="str">
        <x:v>PR-CAID-2026-023</x:v>
      </x:c>
      <x:c r="B24" t="n">
        <x:v>46340</x:v>
      </x:c>
      <x:c r="C24" t="str">
        <x:v>Internship Program</x:v>
      </x:c>
      <x:c r="D24" t="str">
        <x:v>In ấn tài liệu</x:v>
      </x:c>
      <x:c r="E24" t="str">
        <x:v>Công ty Logistics FastGo</x:v>
      </x:c>
      <x:c r="F24" t="str">
        <x:v>Thanh toán in ấn tài liệu cho Internship Program</x:v>
      </x:c>
      <x:c r="G24" t="n">
        <x:v>5000000</x:v>
      </x:c>
      <x:c r="H24" t="n">
        <x:f>G24*10%</x:f>
        <x:v>500000</x:v>
      </x:c>
      <x:c r="I24" t="n">
        <x:f>G24+H24</x:f>
        <x:v>5500000</x:v>
      </x:c>
      <x:c r="J24" t="str">
        <x:v>Đã duyệt</x:v>
      </x:c>
      <x:c r="K24" t="str">
        <x:v>Lê Thu Hà</x:v>
      </x:c>
      <x:c r="L24" t="str">
        <x:v>DT-CAID-2026-071</x:v>
      </x:c>
      <x:c r="M24" t="str">
        <x:v>Có</x:v>
      </x:c>
      <x:c r="N24" t="str">
        <x:v>Không</x:v>
      </x:c>
      <x:c r="O24" t="str">
        <x:v>Hồ sơ mẫu dùng cho quy trình đề nghị thanh toán</x:v>
      </x:c>
    </x:row>
    <x:row r="25">
      <x:c r="A25" t="str">
        <x:v>PR-CAID-2026-024</x:v>
      </x:c>
      <x:c r="B25" t="n">
        <x:v>46377</x:v>
      </x:c>
      <x:c r="C25" t="str">
        <x:v>Company Visit</x:v>
      </x:c>
      <x:c r="D25" t="str">
        <x:v>Tiếp khách doanh nghiệp</x:v>
      </x:c>
      <x:c r="E25" t="str">
        <x:v>Công ty Logistics FastGo</x:v>
      </x:c>
      <x:c r="F25" t="str">
        <x:v>Thanh toán tiếp khách doanh nghiệp cho Company Visit</x:v>
      </x:c>
      <x:c r="G25" t="n">
        <x:v>15000000</x:v>
      </x:c>
      <x:c r="H25" t="n">
        <x:f>G25*10%</x:f>
        <x:v>1500000</x:v>
      </x:c>
      <x:c r="I25" t="n">
        <x:f>G25+H25</x:f>
        <x:v>16500000</x:v>
      </x:c>
      <x:c r="J25" t="str">
        <x:v>Đã thanh toán</x:v>
      </x:c>
      <x:c r="K25" t="str">
        <x:v>Nguyễn Minh Anh</x:v>
      </x:c>
      <x:c r="L25" t="str">
        <x:v>DT-CAID-2026-095</x:v>
      </x:c>
      <x:c r="M25" t="str">
        <x:v>Không</x:v>
      </x:c>
      <x:c r="N25" t="str">
        <x:v>Có</x:v>
      </x:c>
      <x:c r="O25" t="str">
        <x:v>Hồ sơ mẫu dùng cho quy trình đề nghị thanh toán</x:v>
      </x:c>
    </x:row>
    <x:row r="26">
      <x:c r="A26" t="str">
        <x:v>PR-CAID-2026-025</x:v>
      </x:c>
      <x:c r="B26" t="n">
        <x:v>46025</x:v>
      </x:c>
      <x:c r="C26" t="str">
        <x:v>Mentorship Program</x:v>
      </x:c>
      <x:c r="D26" t="str">
        <x:v>Tiếp khách doanh nghiệp</x:v>
      </x:c>
      <x:c r="E26" t="str">
        <x:v>Công ty CareerHub Việt Nam</x:v>
      </x:c>
      <x:c r="F26" t="str">
        <x:v>Thanh toán tiếp khách doanh nghiệp cho Mentorship Program</x:v>
      </x:c>
      <x:c r="G26" t="n">
        <x:v>100000000</x:v>
      </x:c>
      <x:c r="H26" t="n">
        <x:f>G26*10%</x:f>
        <x:v>10000000</x:v>
      </x:c>
      <x:c r="I26" t="n">
        <x:f>G26+H26</x:f>
        <x:v>110000000</x:v>
      </x:c>
      <x:c r="J26" t="str">
        <x:v>Đã thanh toán</x:v>
      </x:c>
      <x:c r="K26" t="str">
        <x:v>Phạm Quang Huy</x:v>
      </x:c>
      <x:c r="L26" t="str">
        <x:v>DT-CAID-2026-149</x:v>
      </x:c>
      <x:c r="M26" t="str">
        <x:v>Có</x:v>
      </x:c>
      <x:c r="N26" t="str">
        <x:v>Không</x:v>
      </x:c>
      <x:c r="O26" t="str">
        <x:v>Hồ sơ mẫu dùng cho quy trình đề nghị thanh toán</x:v>
      </x:c>
    </x:row>
    <x:row r="27">
      <x:c r="A27" t="str">
        <x:v>PR-CAID-2026-026</x:v>
      </x:c>
      <x:c r="B27" t="n">
        <x:v>46063</x:v>
      </x:c>
      <x:c r="C27" t="str">
        <x:v>Innovation Challenge</x:v>
      </x:c>
      <x:c r="D27" t="str">
        <x:v>Tài trợ sinh viên</x:v>
      </x:c>
      <x:c r="E27" t="str">
        <x:v>Công ty In ấn Minh Long</x:v>
      </x:c>
      <x:c r="F27" t="str">
        <x:v>Thanh toán tài trợ sinh viên cho Innovation Challenge</x:v>
      </x:c>
      <x:c r="G27" t="n">
        <x:v>150000000</x:v>
      </x:c>
      <x:c r="H27" t="n">
        <x:f>G27*10%</x:f>
        <x:v>15000000</x:v>
      </x:c>
      <x:c r="I27" t="n">
        <x:f>G27+H27</x:f>
        <x:v>165000000</x:v>
      </x:c>
      <x:c r="J27" t="str">
        <x:v>Đã duyệt</x:v>
      </x:c>
      <x:c r="K27" t="str">
        <x:v>Phạm Quang Huy</x:v>
      </x:c>
      <x:c r="L27" t="str">
        <x:v>DT-CAID-2026-129</x:v>
      </x:c>
      <x:c r="M27" t="str">
        <x:v>Có</x:v>
      </x:c>
      <x:c r="N27" t="str">
        <x:v>Có</x:v>
      </x:c>
      <x:c r="O27" t="str">
        <x:v>Hồ sơ mẫu dùng cho quy trình đề nghị thanh toán</x:v>
      </x:c>
    </x:row>
    <x:row r="28">
      <x:c r="A28" t="str">
        <x:v>PR-CAID-2026-027</x:v>
      </x:c>
      <x:c r="B28" t="n">
        <x:v>46098</x:v>
      </x:c>
      <x:c r="C28" t="str">
        <x:v>MoU Signing</x:v>
      </x:c>
      <x:c r="D28" t="str">
        <x:v>Tiếp khách doanh nghiệp</x:v>
      </x:c>
      <x:c r="E28" t="str">
        <x:v>Công ty Digital Growth</x:v>
      </x:c>
      <x:c r="F28" t="str">
        <x:v>Thanh toán tiếp khách doanh nghiệp cho MoU Signing</x:v>
      </x:c>
      <x:c r="G28" t="n">
        <x:v>20000000</x:v>
      </x:c>
      <x:c r="H28" t="n">
        <x:f>G28*10%</x:f>
        <x:v>2000000</x:v>
      </x:c>
      <x:c r="I28" t="n">
        <x:f>G28+H28</x:f>
        <x:v>22000000</x:v>
      </x:c>
      <x:c r="J28" t="str">
        <x:v>Đã gửi duyệt</x:v>
      </x:c>
      <x:c r="K28" t="str">
        <x:v>Vũ Khánh Linh</x:v>
      </x:c>
      <x:c r="L28" t="str">
        <x:v>DT-CAID-2026-045</x:v>
      </x:c>
      <x:c r="M28" t="str">
        <x:v>Có</x:v>
      </x:c>
      <x:c r="N28" t="str">
        <x:v>Có</x:v>
      </x:c>
      <x:c r="O28" t="str">
        <x:v>Hồ sơ mẫu dùng cho quy trình đề nghị thanh toán</x:v>
      </x:c>
    </x:row>
    <x:row r="29">
      <x:c r="A29" t="str">
        <x:v>PR-CAID-2026-028</x:v>
      </x:c>
      <x:c r="B29" t="n">
        <x:v>46136</x:v>
      </x:c>
      <x:c r="C29" t="str">
        <x:v>Corporate Training</x:v>
      </x:c>
      <x:c r="D29" t="str">
        <x:v>In ấn tài liệu</x:v>
      </x:c>
      <x:c r="E29" t="str">
        <x:v>Công ty Thiết kế BrandLab</x:v>
      </x:c>
      <x:c r="F29" t="str">
        <x:v>Thanh toán in ấn tài liệu cho Corporate Training</x:v>
      </x:c>
      <x:c r="G29" t="n">
        <x:v>50000000</x:v>
      </x:c>
      <x:c r="H29" t="n">
        <x:f>G29*10%</x:f>
        <x:v>5000000</x:v>
      </x:c>
      <x:c r="I29" t="n">
        <x:f>G29+H29</x:f>
        <x:v>55000000</x:v>
      </x:c>
      <x:c r="J29" t="str">
        <x:v>Đã thanh toán</x:v>
      </x:c>
      <x:c r="K29" t="str">
        <x:v>Trần Hoàng Long</x:v>
      </x:c>
      <x:c r="L29" t="str">
        <x:v>DT-CAID-2026-094</x:v>
      </x:c>
      <x:c r="M29" t="str">
        <x:v>Không</x:v>
      </x:c>
      <x:c r="N29" t="str">
        <x:v>Không</x:v>
      </x:c>
      <x:c r="O29" t="str">
        <x:v>Hồ sơ mẫu dùng cho quy trình đề nghị thanh toán</x:v>
      </x:c>
    </x:row>
    <x:row r="30">
      <x:c r="A30" t="str">
        <x:v>PR-CAID-2026-029</x:v>
      </x:c>
      <x:c r="B30" t="n">
        <x:v>46148</x:v>
      </x:c>
      <x:c r="C30" t="str">
        <x:v>Scholarship Donor Program</x:v>
      </x:c>
      <x:c r="D30" t="str">
        <x:v>Di chuyển công tác</x:v>
      </x:c>
      <x:c r="E30" t="str">
        <x:v>Công ty HR Bridge</x:v>
      </x:c>
      <x:c r="F30" t="str">
        <x:v>Thanh toán di chuyển công tác cho Scholarship Donor Program</x:v>
      </x:c>
      <x:c r="G30" t="n">
        <x:v>20000000</x:v>
      </x:c>
      <x:c r="H30" t="n">
        <x:f>G30*10%</x:f>
        <x:v>2000000</x:v>
      </x:c>
      <x:c r="I30" t="n">
        <x:f>G30+H30</x:f>
        <x:v>22000000</x:v>
      </x:c>
      <x:c r="J30" t="str">
        <x:v>Đã thanh toán</x:v>
      </x:c>
      <x:c r="K30" t="str">
        <x:v>Hoàng Gia Bảo</x:v>
      </x:c>
      <x:c r="L30" t="str">
        <x:v>DT-CAID-2026-086</x:v>
      </x:c>
      <x:c r="M30" t="str">
        <x:v>Có</x:v>
      </x:c>
      <x:c r="N30" t="str">
        <x:v>Không</x:v>
      </x:c>
      <x:c r="O30" t="str">
        <x:v>Hồ sơ mẫu dùng cho quy trình đề nghị thanh toán</x:v>
      </x:c>
    </x:row>
    <x:row r="31">
      <x:c r="A31" t="str">
        <x:v>PR-CAID-2026-030</x:v>
      </x:c>
      <x:c r="B31" t="n">
        <x:v>46186</x:v>
      </x:c>
      <x:c r="C31" t="str">
        <x:v>Career Fair</x:v>
      </x:c>
      <x:c r="D31" t="str">
        <x:v>Phần mềm CRM</x:v>
      </x:c>
      <x:c r="E31" t="str">
        <x:v>Công ty Quà tặng Việt</x:v>
      </x:c>
      <x:c r="F31" t="str">
        <x:v>Thanh toán phần mềm crm cho Career Fair</x:v>
      </x:c>
      <x:c r="G31" t="n">
        <x:v>150000000</x:v>
      </x:c>
      <x:c r="H31" t="n">
        <x:f>G31*10%</x:f>
        <x:v>15000000</x:v>
      </x:c>
      <x:c r="I31" t="n">
        <x:f>G31+H31</x:f>
        <x:v>165000000</x:v>
      </x:c>
      <x:c r="J31" t="str">
        <x:v>Đã duyệt</x:v>
      </x:c>
      <x:c r="K31" t="str">
        <x:v>Hoàng Gia Bảo</x:v>
      </x:c>
      <x:c r="L31" t="str">
        <x:v>DT-CAID-2026-039</x:v>
      </x:c>
      <x:c r="M31" t="str">
        <x:v>Không</x:v>
      </x:c>
      <x:c r="N31" t="str">
        <x:v>Có</x:v>
      </x:c>
      <x:c r="O31" t="str">
        <x:v>Hồ sơ mẫu dùng cho quy trình đề nghị thanh toán</x:v>
      </x:c>
    </x:row>
    <x:row r="32">
      <x:c r="A32" t="str">
        <x:v>PR-CAID-2026-031</x:v>
      </x:c>
      <x:c r="B32" t="n">
        <x:v>46223</x:v>
      </x:c>
      <x:c r="C32" t="str">
        <x:v>Industry Advisory Board</x:v>
      </x:c>
      <x:c r="D32" t="str">
        <x:v>Hội thảo doanh nghiệp</x:v>
      </x:c>
      <x:c r="E32" t="str">
        <x:v>Công ty EventPro</x:v>
      </x:c>
      <x:c r="F32" t="str">
        <x:v>Thanh toán hội thảo doanh nghiệp cho Industry Advisory Board</x:v>
      </x:c>
      <x:c r="G32" t="n">
        <x:v>8000000</x:v>
      </x:c>
      <x:c r="H32" t="n">
        <x:f>G32*10%</x:f>
        <x:v>800000</x:v>
      </x:c>
      <x:c r="I32" t="n">
        <x:f>G32+H32</x:f>
        <x:v>8800000</x:v>
      </x:c>
      <x:c r="J32" t="str">
        <x:v>Đã duyệt</x:v>
      </x:c>
      <x:c r="K32" t="str">
        <x:v>Vũ Khánh Linh</x:v>
      </x:c>
      <x:c r="L32" t="str">
        <x:v>DT-CAID-2026-101</x:v>
      </x:c>
      <x:c r="M32" t="str">
        <x:v>Có</x:v>
      </x:c>
      <x:c r="N32" t="str">
        <x:v>Có</x:v>
      </x:c>
      <x:c r="O32" t="str">
        <x:v>Hồ sơ mẫu dùng cho quy trình đề nghị thanh toán</x:v>
      </x:c>
    </x:row>
    <x:row r="33">
      <x:c r="A33" t="str">
        <x:v>PR-CAID-2026-032</x:v>
      </x:c>
      <x:c r="B33" t="n">
        <x:v>46261</x:v>
      </x:c>
      <x:c r="C33" t="str">
        <x:v>Alumni Engagement</x:v>
      </x:c>
      <x:c r="D33" t="str">
        <x:v>Phần mềm CRM</x:v>
      </x:c>
      <x:c r="E33" t="str">
        <x:v>Công ty HR Bridge</x:v>
      </x:c>
      <x:c r="F33" t="str">
        <x:v>Thanh toán phần mềm crm cho Alumni Engagement</x:v>
      </x:c>
      <x:c r="G33" t="n">
        <x:v>35000000</x:v>
      </x:c>
      <x:c r="H33" t="n">
        <x:f>G33*10%</x:f>
        <x:v>3500000</x:v>
      </x:c>
      <x:c r="I33" t="n">
        <x:f>G33+H33</x:f>
        <x:v>38500000</x:v>
      </x:c>
      <x:c r="J33" t="str">
        <x:v>Đã thanh toán</x:v>
      </x:c>
      <x:c r="K33" t="str">
        <x:v>Hoàng Gia Bảo</x:v>
      </x:c>
      <x:c r="L33" t="str">
        <x:v>DT-CAID-2026-033</x:v>
      </x:c>
      <x:c r="M33" t="str">
        <x:v>Có</x:v>
      </x:c>
      <x:c r="N33" t="str">
        <x:v>Không</x:v>
      </x:c>
      <x:c r="O33" t="str">
        <x:v>Hồ sơ mẫu dùng cho quy trình đề nghị thanh toán</x:v>
      </x:c>
    </x:row>
    <x:row r="34">
      <x:c r="A34" t="str">
        <x:v>PR-CAID-2026-033</x:v>
      </x:c>
      <x:c r="B34" t="n">
        <x:v>46274</x:v>
      </x:c>
      <x:c r="C34" t="str">
        <x:v>Company Visit</x:v>
      </x:c>
      <x:c r="D34" t="str">
        <x:v>Diễn giả/chuyên gia</x:v>
      </x:c>
      <x:c r="E34" t="str">
        <x:v>Nền tảng CRM EduPartner</x:v>
      </x:c>
      <x:c r="F34" t="str">
        <x:v>Thanh toán diễn giả/chuyên gia cho Company Visit</x:v>
      </x:c>
      <x:c r="G34" t="n">
        <x:v>3000000</x:v>
      </x:c>
      <x:c r="H34" t="n">
        <x:f>G34*10%</x:f>
        <x:v>300000</x:v>
      </x:c>
      <x:c r="I34" t="n">
        <x:f>G34+H34</x:f>
        <x:v>3300000</x:v>
      </x:c>
      <x:c r="J34" t="str">
        <x:v>Đã duyệt</x:v>
      </x:c>
      <x:c r="K34" t="str">
        <x:v>Trần Hoàng Long</x:v>
      </x:c>
      <x:c r="L34" t="str">
        <x:v>DT-CAID-2026-088</x:v>
      </x:c>
      <x:c r="M34" t="str">
        <x:v>Không</x:v>
      </x:c>
      <x:c r="N34" t="str">
        <x:v>Có</x:v>
      </x:c>
      <x:c r="O34" t="str">
        <x:v>Hồ sơ mẫu dùng cho quy trình đề nghị thanh toán</x:v>
      </x:c>
    </x:row>
    <x:row r="35">
      <x:c r="A35" t="str">
        <x:v>PR-CAID-2026-034</x:v>
      </x:c>
      <x:c r="B35" t="n">
        <x:v>46311</x:v>
      </x:c>
      <x:c r="C35" t="str">
        <x:v>Employer Branding</x:v>
      </x:c>
      <x:c r="D35" t="str">
        <x:v>Truyền thông &amp; thiết kế</x:v>
      </x:c>
      <x:c r="E35" t="str">
        <x:v>Công ty Truyền thông Apex</x:v>
      </x:c>
      <x:c r="F35" t="str">
        <x:v>Thanh toán truyền thông &amp; thiết kế cho Employer Branding</x:v>
      </x:c>
      <x:c r="G35" t="n">
        <x:v>8000000</x:v>
      </x:c>
      <x:c r="H35" t="n">
        <x:f>G35*10%</x:f>
        <x:v>800000</x:v>
      </x:c>
      <x:c r="I35" t="n">
        <x:f>G35+H35</x:f>
        <x:v>8800000</x:v>
      </x:c>
      <x:c r="J35" t="str">
        <x:v>Đã duyệt</x:v>
      </x:c>
      <x:c r="K35" t="str">
        <x:v>Hoàng Gia Bảo</x:v>
      </x:c>
      <x:c r="L35" t="str">
        <x:v>DT-CAID-2026-026</x:v>
      </x:c>
      <x:c r="M35" t="str">
        <x:v>Có</x:v>
      </x:c>
      <x:c r="N35" t="str">
        <x:v>Không</x:v>
      </x:c>
      <x:c r="O35" t="str">
        <x:v>Hồ sơ mẫu dùng cho quy trình đề nghị thanh toán</x:v>
      </x:c>
    </x:row>
    <x:row r="36">
      <x:c r="A36" t="str">
        <x:v>PR-CAID-2026-035</x:v>
      </x:c>
      <x:c r="B36" t="n">
        <x:v>46349</x:v>
      </x:c>
      <x:c r="C36" t="str">
        <x:v>Innovation Challenge</x:v>
      </x:c>
      <x:c r="D36" t="str">
        <x:v>Tài trợ sinh viên</x:v>
      </x:c>
      <x:c r="E36" t="str">
        <x:v>Công ty CareerHub Việt Nam</x:v>
      </x:c>
      <x:c r="F36" t="str">
        <x:v>Thanh toán tài trợ sinh viên cho Innovation Challenge</x:v>
      </x:c>
      <x:c r="G36" t="n">
        <x:v>8000000</x:v>
      </x:c>
      <x:c r="H36" t="n">
        <x:f>G36*10%</x:f>
        <x:v>800000</x:v>
      </x:c>
      <x:c r="I36" t="n">
        <x:f>G36+H36</x:f>
        <x:v>8800000</x:v>
      </x:c>
      <x:c r="J36" t="str">
        <x:v>Đã duyệt</x:v>
      </x:c>
      <x:c r="K36" t="str">
        <x:v>Trần Hoàng Long</x:v>
      </x:c>
      <x:c r="L36" t="str">
        <x:v>DT-CAID-2026-047</x:v>
      </x:c>
      <x:c r="M36" t="str">
        <x:v>Có</x:v>
      </x:c>
      <x:c r="N36" t="str">
        <x:v>Không</x:v>
      </x:c>
      <x:c r="O36" t="str">
        <x:v>Hồ sơ mẫu dùng cho quy trình đề nghị thanh toán</x:v>
      </x:c>
    </x:row>
    <x:row r="37">
      <x:c r="A37" t="str">
        <x:v>PR-CAID-2026-036</x:v>
      </x:c>
      <x:c r="B37" t="n">
        <x:v>46361</x:v>
      </x:c>
      <x:c r="C37" t="str">
        <x:v>Corporate Partnership</x:v>
      </x:c>
      <x:c r="D37" t="str">
        <x:v>Di chuyển công tác</x:v>
      </x:c>
      <x:c r="E37" t="str">
        <x:v>Công ty HR Bridge</x:v>
      </x:c>
      <x:c r="F37" t="str">
        <x:v>Thanh toán di chuyển công tác cho Corporate Partnership</x:v>
      </x:c>
      <x:c r="G37" t="n">
        <x:v>20000000</x:v>
      </x:c>
      <x:c r="H37" t="n">
        <x:f>G37*10%</x:f>
        <x:v>2000000</x:v>
      </x:c>
      <x:c r="I37" t="n">
        <x:f>G37+H37</x:f>
        <x:v>22000000</x:v>
      </x:c>
      <x:c r="J37" t="str">
        <x:v>Đã thanh toán</x:v>
      </x:c>
      <x:c r="K37" t="str">
        <x:v>Phạm Quang Huy</x:v>
      </x:c>
      <x:c r="L37" t="str">
        <x:v>DT-CAID-2026-073</x:v>
      </x:c>
      <x:c r="M37" t="str">
        <x:v>Không</x:v>
      </x:c>
      <x:c r="N37" t="str">
        <x:v>Có</x:v>
      </x:c>
      <x:c r="O37" t="str">
        <x:v>Hồ sơ mẫu dùng cho quy trình đề nghị thanh toán</x:v>
      </x:c>
    </x:row>
    <x:row r="38">
      <x:c r="A38" t="str">
        <x:v>PR-CAID-2026-037</x:v>
      </x:c>
      <x:c r="B38" t="n">
        <x:v>46034</x:v>
      </x:c>
      <x:c r="C38" t="str">
        <x:v>Company Visit</x:v>
      </x:c>
      <x:c r="D38" t="str">
        <x:v>Thuê địa điểm</x:v>
      </x:c>
      <x:c r="E38" t="str">
        <x:v>Công ty Alumni Network</x:v>
      </x:c>
      <x:c r="F38" t="str">
        <x:v>Thanh toán thuê địa điểm cho Company Visit</x:v>
      </x:c>
      <x:c r="G38" t="n">
        <x:v>15000000</x:v>
      </x:c>
      <x:c r="H38" t="n">
        <x:f>G38*10%</x:f>
        <x:v>1500000</x:v>
      </x:c>
      <x:c r="I38" t="n">
        <x:f>G38+H38</x:f>
        <x:v>16500000</x:v>
      </x:c>
      <x:c r="J38" t="str">
        <x:v>Đã thanh toán</x:v>
      </x:c>
      <x:c r="K38" t="str">
        <x:v>Hoàng Gia Bảo</x:v>
      </x:c>
      <x:c r="L38" t="str">
        <x:v>DT-CAID-2026-050</x:v>
      </x:c>
      <x:c r="M38" t="str">
        <x:v>Không</x:v>
      </x:c>
      <x:c r="N38" t="str">
        <x:v>Không</x:v>
      </x:c>
      <x:c r="O38" t="str">
        <x:v>Hồ sơ mẫu dùng cho quy trình đề nghị thanh toán</x:v>
      </x:c>
    </x:row>
    <x:row r="39">
      <x:c r="A39" t="str">
        <x:v>PR-CAID-2026-038</x:v>
      </x:c>
      <x:c r="B39" t="n">
        <x:v>46072</x:v>
      </x:c>
      <x:c r="C39" t="str">
        <x:v>MoU Signing</x:v>
      </x:c>
      <x:c r="D39" t="str">
        <x:v>Quà tặng đối tác</x:v>
      </x:c>
      <x:c r="E39" t="str">
        <x:v>Công ty Thiết kế BrandLab</x:v>
      </x:c>
      <x:c r="F39" t="str">
        <x:v>Thanh toán quà tặng đối tác cho MoU Signing</x:v>
      </x:c>
      <x:c r="G39" t="n">
        <x:v>35000000</x:v>
      </x:c>
      <x:c r="H39" t="n">
        <x:f>G39*10%</x:f>
        <x:v>3500000</x:v>
      </x:c>
      <x:c r="I39" t="n">
        <x:f>G39+H39</x:f>
        <x:v>38500000</x:v>
      </x:c>
      <x:c r="J39" t="str">
        <x:v>Đã thanh toán</x:v>
      </x:c>
      <x:c r="K39" t="str">
        <x:v>Trần Hoàng Long</x:v>
      </x:c>
      <x:c r="L39" t="str">
        <x:v>DT-CAID-2026-052</x:v>
      </x:c>
      <x:c r="M39" t="str">
        <x:v>Có</x:v>
      </x:c>
      <x:c r="N39" t="str">
        <x:v>Không</x:v>
      </x:c>
      <x:c r="O39" t="str">
        <x:v>Hồ sơ mẫu dùng cho quy trình đề nghị thanh toán</x:v>
      </x:c>
    </x:row>
    <x:row r="40">
      <x:c r="A40" t="str">
        <x:v>PR-CAID-2026-039</x:v>
      </x:c>
      <x:c r="B40" t="n">
        <x:v>46107</x:v>
      </x:c>
      <x:c r="C40" t="str">
        <x:v>Corporate Partnership</x:v>
      </x:c>
      <x:c r="D40" t="str">
        <x:v>Hội thảo doanh nghiệp</x:v>
      </x:c>
      <x:c r="E40" t="str">
        <x:v>Công ty Fundraising Solutions</x:v>
      </x:c>
      <x:c r="F40" t="str">
        <x:v>Thanh toán hội thảo doanh nghiệp cho Corporate Partnership</x:v>
      </x:c>
      <x:c r="G40" t="n">
        <x:v>50000000</x:v>
      </x:c>
      <x:c r="H40" t="n">
        <x:f>G40*10%</x:f>
        <x:v>5000000</x:v>
      </x:c>
      <x:c r="I40" t="n">
        <x:f>G40+H40</x:f>
        <x:v>55000000</x:v>
      </x:c>
      <x:c r="J40" t="str">
        <x:v>Đã duyệt</x:v>
      </x:c>
      <x:c r="K40" t="str">
        <x:v>Nguyễn Minh Anh</x:v>
      </x:c>
      <x:c r="L40" t="str">
        <x:v>DT-CAID-2026-133</x:v>
      </x:c>
      <x:c r="M40" t="str">
        <x:v>Có</x:v>
      </x:c>
      <x:c r="N40" t="str">
        <x:v>Không</x:v>
      </x:c>
      <x:c r="O40" t="str">
        <x:v>Hồ sơ mẫu dùng cho quy trình đề nghị thanh toán</x:v>
      </x:c>
    </x:row>
    <x:row r="41">
      <x:c r="A41" t="str">
        <x:v>PR-CAID-2026-040</x:v>
      </x:c>
      <x:c r="B41" t="n">
        <x:v>46120</x:v>
      </x:c>
      <x:c r="C41" t="str">
        <x:v>Career Fair</x:v>
      </x:c>
      <x:c r="D41" t="str">
        <x:v>Truyền thông &amp; thiết kế</x:v>
      </x:c>
      <x:c r="E41" t="str">
        <x:v>Công ty EventPro</x:v>
      </x:c>
      <x:c r="F41" t="str">
        <x:v>Thanh toán truyền thông &amp; thiết kế cho Career Fair</x:v>
      </x:c>
      <x:c r="G41" t="n">
        <x:v>150000000</x:v>
      </x:c>
      <x:c r="H41" t="n">
        <x:f>G41*10%</x:f>
        <x:v>15000000</x:v>
      </x:c>
      <x:c r="I41" t="n">
        <x:f>G41+H41</x:f>
        <x:v>165000000</x:v>
      </x:c>
      <x:c r="J41" t="str">
        <x:v>Đã thanh toán</x:v>
      </x:c>
      <x:c r="K41" t="str">
        <x:v>Hoàng Gia Bảo</x:v>
      </x:c>
      <x:c r="L41" t="str">
        <x:v>DT-CAID-2026-112</x:v>
      </x:c>
      <x:c r="M41" t="str">
        <x:v>Có</x:v>
      </x:c>
      <x:c r="N41" t="str">
        <x:v>Có</x:v>
      </x:c>
      <x:c r="O41" t="str">
        <x:v>Hồ sơ mẫu dùng cho quy trình đề nghị thanh toán</x:v>
      </x:c>
    </x:row>
    <x:row r="42">
      <x:c r="A42" t="str">
        <x:v>PR-CAID-2026-041</x:v>
      </x:c>
      <x:c r="B42" t="n">
        <x:v>46157</x:v>
      </x:c>
      <x:c r="C42" t="str">
        <x:v>Donor Stewardship</x:v>
      </x:c>
      <x:c r="D42" t="str">
        <x:v>In ấn tài liệu</x:v>
      </x:c>
      <x:c r="E42" t="str">
        <x:v>Công ty EventPro</x:v>
      </x:c>
      <x:c r="F42" t="str">
        <x:v>Thanh toán in ấn tài liệu cho Donor Stewardship</x:v>
      </x:c>
      <x:c r="G42" t="n">
        <x:v>20000000</x:v>
      </x:c>
      <x:c r="H42" t="n">
        <x:f>G42*10%</x:f>
        <x:v>2000000</x:v>
      </x:c>
      <x:c r="I42" t="n">
        <x:f>G42+H42</x:f>
        <x:v>22000000</x:v>
      </x:c>
      <x:c r="J42" t="str">
        <x:v>Nháp</x:v>
      </x:c>
      <x:c r="K42" t="str">
        <x:v>Nguyễn Minh Anh</x:v>
      </x:c>
      <x:c r="L42" t="str">
        <x:v>DT-CAID-2026-102</x:v>
      </x:c>
      <x:c r="M42" t="str">
        <x:v>Không</x:v>
      </x:c>
      <x:c r="N42" t="str">
        <x:v>Có</x:v>
      </x:c>
      <x:c r="O42" t="str">
        <x:v>Hồ sơ mẫu dùng cho quy trình đề nghị thanh toán</x:v>
      </x:c>
    </x:row>
    <x:row r="43">
      <x:c r="A43" t="str">
        <x:v>PR-CAID-2026-042</x:v>
      </x:c>
      <x:c r="B43" t="n">
        <x:v>46195</x:v>
      </x:c>
      <x:c r="C43" t="str">
        <x:v>Scholarship Donor Program</x:v>
      </x:c>
      <x:c r="D43" t="str">
        <x:v>Tiếp khách doanh nghiệp</x:v>
      </x:c>
      <x:c r="E43" t="str">
        <x:v>Công ty In ấn Minh Long</x:v>
      </x:c>
      <x:c r="F43" t="str">
        <x:v>Thanh toán tiếp khách doanh nghiệp cho Scholarship Donor Program</x:v>
      </x:c>
      <x:c r="G43" t="n">
        <x:v>20000000</x:v>
      </x:c>
      <x:c r="H43" t="n">
        <x:f>G43*10%</x:f>
        <x:v>2000000</x:v>
      </x:c>
      <x:c r="I43" t="n">
        <x:f>G43+H43</x:f>
        <x:v>22000000</x:v>
      </x:c>
      <x:c r="J43" t="str">
        <x:v>Nháp</x:v>
      </x:c>
      <x:c r="K43" t="str">
        <x:v>Nguyễn Minh Anh</x:v>
      </x:c>
      <x:c r="L43" t="str">
        <x:v>DT-CAID-2026-086</x:v>
      </x:c>
      <x:c r="M43" t="str">
        <x:v>Có</x:v>
      </x:c>
      <x:c r="N43" t="str">
        <x:v>Có</x:v>
      </x:c>
      <x:c r="O43" t="str">
        <x:v>Hồ sơ mẫu dùng cho quy trình đề nghị thanh toán</x:v>
      </x:c>
    </x:row>
    <x:row r="44">
      <x:c r="A44" t="str">
        <x:v>PR-CAID-2026-043</x:v>
      </x:c>
      <x:c r="B44" t="n">
        <x:v>46207</x:v>
      </x:c>
      <x:c r="C44" t="str">
        <x:v>Corporate Partnership</x:v>
      </x:c>
      <x:c r="D44" t="str">
        <x:v>Quà tặng đối tác</x:v>
      </x:c>
      <x:c r="E44" t="str">
        <x:v>Công ty Digital Growth</x:v>
      </x:c>
      <x:c r="F44" t="str">
        <x:v>Thanh toán quà tặng đối tác cho Corporate Partnership</x:v>
      </x:c>
      <x:c r="G44" t="n">
        <x:v>50000000</x:v>
      </x:c>
      <x:c r="H44" t="n">
        <x:f>G44*10%</x:f>
        <x:v>5000000</x:v>
      </x:c>
      <x:c r="I44" t="n">
        <x:f>G44+H44</x:f>
        <x:v>55000000</x:v>
      </x:c>
      <x:c r="J44" t="str">
        <x:v>Từ chối</x:v>
      </x:c>
      <x:c r="K44" t="str">
        <x:v>Hoàng Gia Bảo</x:v>
      </x:c>
      <x:c r="L44" t="str">
        <x:v>DT-CAID-2026-121</x:v>
      </x:c>
      <x:c r="M44" t="str">
        <x:v>Không</x:v>
      </x:c>
      <x:c r="N44" t="str">
        <x:v>Có</x:v>
      </x:c>
      <x:c r="O44" t="str">
        <x:v>Hồ sơ mẫu dùng cho quy trình đề nghị thanh toán</x:v>
      </x:c>
    </x:row>
    <x:row r="45">
      <x:c r="A45" t="str">
        <x:v>PR-CAID-2026-044</x:v>
      </x:c>
      <x:c r="B45" t="n">
        <x:v>46245</x:v>
      </x:c>
      <x:c r="C45" t="str">
        <x:v>Innovation Challenge</x:v>
      </x:c>
      <x:c r="D45" t="str">
        <x:v>Tiếp khách doanh nghiệp</x:v>
      </x:c>
      <x:c r="E45" t="str">
        <x:v>Công ty Quà tặng Việt</x:v>
      </x:c>
      <x:c r="F45" t="str">
        <x:v>Thanh toán tiếp khách doanh nghiệp cho Innovation Challenge</x:v>
      </x:c>
      <x:c r="G45" t="n">
        <x:v>3000000</x:v>
      </x:c>
      <x:c r="H45" t="n">
        <x:f>G45*10%</x:f>
        <x:v>300000</x:v>
      </x:c>
      <x:c r="I45" t="n">
        <x:f>G45+H45</x:f>
        <x:v>3300000</x:v>
      </x:c>
      <x:c r="J45" t="str">
        <x:v>Đã duyệt</x:v>
      </x:c>
      <x:c r="K45" t="str">
        <x:v>Trần Hoàng Long</x:v>
      </x:c>
      <x:c r="L45" t="str">
        <x:v>DT-CAID-2026-141</x:v>
      </x:c>
      <x:c r="M45" t="str">
        <x:v>Không</x:v>
      </x:c>
      <x:c r="N45" t="str">
        <x:v>Có</x:v>
      </x:c>
      <x:c r="O45" t="str">
        <x:v>Hồ sơ mẫu dùng cho quy trình đề nghị thanh toán</x:v>
      </x:c>
    </x:row>
    <x:row r="46">
      <x:c r="A46" t="str">
        <x:v>PR-CAID-2026-045</x:v>
      </x:c>
      <x:c r="B46" t="n">
        <x:v>46283</x:v>
      </x:c>
      <x:c r="C46" t="str">
        <x:v>Development Event</x:v>
      </x:c>
      <x:c r="D46" t="str">
        <x:v>Quà tặng đối tác</x:v>
      </x:c>
      <x:c r="E46" t="str">
        <x:v>Công ty Truyền thông Apex</x:v>
      </x:c>
      <x:c r="F46" t="str">
        <x:v>Thanh toán quà tặng đối tác cho Development Event</x:v>
      </x:c>
      <x:c r="G46" t="n">
        <x:v>100000000</x:v>
      </x:c>
      <x:c r="H46" t="n">
        <x:f>G46*10%</x:f>
        <x:v>10000000</x:v>
      </x:c>
      <x:c r="I46" t="n">
        <x:f>G46+H46</x:f>
        <x:v>110000000</x:v>
      </x:c>
      <x:c r="J46" t="str">
        <x:v>Nháp</x:v>
      </x:c>
      <x:c r="K46" t="str">
        <x:v>Phạm Quang Huy</x:v>
      </x:c>
      <x:c r="L46" t="str">
        <x:v>DT-CAID-2026-118</x:v>
      </x:c>
      <x:c r="M46" t="str">
        <x:v>Có</x:v>
      </x:c>
      <x:c r="N46" t="str">
        <x:v>Có</x:v>
      </x:c>
      <x:c r="O46" t="str">
        <x:v>Hồ sơ mẫu dùng cho quy trình đề nghị thanh toán</x:v>
      </x:c>
    </x:row>
    <x:row r="47">
      <x:c r="A47" t="str">
        <x:v>PR-CAID-2026-046</x:v>
      </x:c>
      <x:c r="B47" t="n">
        <x:v>46320</x:v>
      </x:c>
      <x:c r="C47" t="str">
        <x:v>Donor Stewardship</x:v>
      </x:c>
      <x:c r="D47" t="str">
        <x:v>In ấn tài liệu</x:v>
      </x:c>
      <x:c r="E47" t="str">
        <x:v>Công ty Thiết kế BrandLab</x:v>
      </x:c>
      <x:c r="F47" t="str">
        <x:v>Thanh toán in ấn tài liệu cho Donor Stewardship</x:v>
      </x:c>
      <x:c r="G47" t="n">
        <x:v>100000000</x:v>
      </x:c>
      <x:c r="H47" t="n">
        <x:f>G47*10%</x:f>
        <x:v>10000000</x:v>
      </x:c>
      <x:c r="I47" t="n">
        <x:f>G47+H47</x:f>
        <x:v>110000000</x:v>
      </x:c>
      <x:c r="J47" t="str">
        <x:v>Nháp</x:v>
      </x:c>
      <x:c r="K47" t="str">
        <x:v>Đỗ Bảo Ngọc</x:v>
      </x:c>
      <x:c r="L47" t="str">
        <x:v>DT-CAID-2026-148</x:v>
      </x:c>
      <x:c r="M47" t="str">
        <x:v>Có</x:v>
      </x:c>
      <x:c r="N47" t="str">
        <x:v>Có</x:v>
      </x:c>
      <x:c r="O47" t="str">
        <x:v>Hồ sơ mẫu dùng cho quy trình đề nghị thanh toán</x:v>
      </x:c>
    </x:row>
    <x:row r="48">
      <x:c r="A48" t="str">
        <x:v>PR-CAID-2026-047</x:v>
      </x:c>
      <x:c r="B48" t="n">
        <x:v>46333</x:v>
      </x:c>
      <x:c r="C48" t="str">
        <x:v>Alumni Engagement</x:v>
      </x:c>
      <x:c r="D48" t="str">
        <x:v>Di chuyển công tác</x:v>
      </x:c>
      <x:c r="E48" t="str">
        <x:v>Công ty CareerHub Việt Nam</x:v>
      </x:c>
      <x:c r="F48" t="str">
        <x:v>Thanh toán di chuyển công tác cho Alumni Engagement</x:v>
      </x:c>
      <x:c r="G48" t="n">
        <x:v>3000000</x:v>
      </x:c>
      <x:c r="H48" t="n">
        <x:f>G48*10%</x:f>
        <x:v>300000</x:v>
      </x:c>
      <x:c r="I48" t="n">
        <x:f>G48+H48</x:f>
        <x:v>3300000</x:v>
      </x:c>
      <x:c r="J48" t="str">
        <x:v>Đã duyệt</x:v>
      </x:c>
      <x:c r="K48" t="str">
        <x:v>Đỗ Bảo Ngọc</x:v>
      </x:c>
      <x:c r="L48" t="str">
        <x:v>DT-CAID-2026-107</x:v>
      </x:c>
      <x:c r="M48" t="str">
        <x:v>Có</x:v>
      </x:c>
      <x:c r="N48" t="str">
        <x:v>Có</x:v>
      </x:c>
      <x:c r="O48" t="str">
        <x:v>Hồ sơ mẫu dùng cho quy trình đề nghị thanh toán</x:v>
      </x:c>
    </x:row>
    <x:row r="49">
      <x:c r="A49" t="str">
        <x:v>PR-CAID-2026-048</x:v>
      </x:c>
      <x:c r="B49" t="n">
        <x:v>46370</x:v>
      </x:c>
      <x:c r="C49" t="str">
        <x:v>Company Visit</x:v>
      </x:c>
      <x:c r="D49" t="str">
        <x:v>Diễn giả/chuyên gia</x:v>
      </x:c>
      <x:c r="E49" t="str">
        <x:v>Công ty Thiết kế BrandLab</x:v>
      </x:c>
      <x:c r="F49" t="str">
        <x:v>Thanh toán diễn giả/chuyên gia cho Company Visit</x:v>
      </x:c>
      <x:c r="G49" t="n">
        <x:v>5000000</x:v>
      </x:c>
      <x:c r="H49" t="n">
        <x:f>G49*10%</x:f>
        <x:v>500000</x:v>
      </x:c>
      <x:c r="I49" t="n">
        <x:f>G49+H49</x:f>
        <x:v>5500000</x:v>
      </x:c>
      <x:c r="J49" t="str">
        <x:v>Đã thanh toán</x:v>
      </x:c>
      <x:c r="K49" t="str">
        <x:v>Hoàng Gia Bảo</x:v>
      </x:c>
      <x:c r="L49" t="str">
        <x:v>DT-CAID-2026-130</x:v>
      </x:c>
      <x:c r="M49" t="str">
        <x:v>Có</x:v>
      </x:c>
      <x:c r="N49" t="str">
        <x:v>Không</x:v>
      </x:c>
      <x:c r="O49" t="str">
        <x:v>Hồ sơ mẫu dùng cho quy trình đề nghị thanh toán</x:v>
      </x:c>
    </x:row>
    <x:row r="50">
      <x:c r="A50" t="str">
        <x:v>PR-CAID-2026-049</x:v>
      </x:c>
      <x:c r="B50" t="n">
        <x:v>46043</x:v>
      </x:c>
      <x:c r="C50" t="str">
        <x:v>Donor Stewardship</x:v>
      </x:c>
      <x:c r="D50" t="str">
        <x:v>In ấn tài liệu</x:v>
      </x:c>
      <x:c r="E50" t="str">
        <x:v>Công ty HR Bridge</x:v>
      </x:c>
      <x:c r="F50" t="str">
        <x:v>Thanh toán in ấn tài liệu cho Donor Stewardship</x:v>
      </x:c>
      <x:c r="G50" t="n">
        <x:v>3000000</x:v>
      </x:c>
      <x:c r="H50" t="n">
        <x:f>G50*10%</x:f>
        <x:v>300000</x:v>
      </x:c>
      <x:c r="I50" t="n">
        <x:f>G50+H50</x:f>
        <x:v>3300000</x:v>
      </x:c>
      <x:c r="J50" t="str">
        <x:v>Đã duyệt</x:v>
      </x:c>
      <x:c r="K50" t="str">
        <x:v>Lê Thu Hà</x:v>
      </x:c>
      <x:c r="L50" t="str">
        <x:v>DT-CAID-2026-065</x:v>
      </x:c>
      <x:c r="M50" t="str">
        <x:v>Có</x:v>
      </x:c>
      <x:c r="N50" t="str">
        <x:v>Không</x:v>
      </x:c>
      <x:c r="O50" t="str">
        <x:v>Hồ sơ mẫu dùng cho quy trình đề nghị thanh toán</x:v>
      </x:c>
    </x:row>
    <x:row r="51">
      <x:c r="A51" t="str">
        <x:v>PR-CAID-2026-050</x:v>
      </x:c>
      <x:c r="B51" t="n">
        <x:v>46056</x:v>
      </x:c>
      <x:c r="C51" t="str">
        <x:v>Development Event</x:v>
      </x:c>
      <x:c r="D51" t="str">
        <x:v>Tiếp khách doanh nghiệp</x:v>
      </x:c>
      <x:c r="E51" t="str">
        <x:v>Công ty Digital Growth</x:v>
      </x:c>
      <x:c r="F51" t="str">
        <x:v>Thanh toán tiếp khách doanh nghiệp cho Development Event</x:v>
      </x:c>
      <x:c r="G51" t="n">
        <x:v>75000000</x:v>
      </x:c>
      <x:c r="H51" t="n">
        <x:f>G51*10%</x:f>
        <x:v>7500000</x:v>
      </x:c>
      <x:c r="I51" t="n">
        <x:f>G51+H51</x:f>
        <x:v>82500000</x:v>
      </x:c>
      <x:c r="J51" t="str">
        <x:v>Đã thanh toán</x:v>
      </x:c>
      <x:c r="K51" t="str">
        <x:v>Nguyễn Minh Anh</x:v>
      </x:c>
      <x:c r="L51" t="str">
        <x:v>DT-CAID-2026-149</x:v>
      </x:c>
      <x:c r="M51" t="str">
        <x:v>Không</x:v>
      </x:c>
      <x:c r="N51" t="str">
        <x:v>Có</x:v>
      </x:c>
      <x:c r="O51" t="str">
        <x:v>Hồ sơ mẫu dùng cho quy trình đề nghị thanh toán</x:v>
      </x:c>
    </x:row>
    <x:row r="52">
      <x:c r="A52" t="str">
        <x:v>PR-CAID-2026-051</x:v>
      </x:c>
      <x:c r="B52" t="n">
        <x:v>46091</x:v>
      </x:c>
      <x:c r="C52" t="str">
        <x:v>Corporate Partnership</x:v>
      </x:c>
      <x:c r="D52" t="str">
        <x:v>Diễn giả/chuyên gia</x:v>
      </x:c>
      <x:c r="E52" t="str">
        <x:v>Nền tảng CRM EduPartner</x:v>
      </x:c>
      <x:c r="F52" t="str">
        <x:v>Thanh toán diễn giả/chuyên gia cho Corporate Partnership</x:v>
      </x:c>
      <x:c r="G52" t="n">
        <x:v>75000000</x:v>
      </x:c>
      <x:c r="H52" t="n">
        <x:f>G52*10%</x:f>
        <x:v>7500000</x:v>
      </x:c>
      <x:c r="I52" t="n">
        <x:f>G52+H52</x:f>
        <x:v>82500000</x:v>
      </x:c>
      <x:c r="J52" t="str">
        <x:v>Từ chối</x:v>
      </x:c>
      <x:c r="K52" t="str">
        <x:v>Trần Hoàng Long</x:v>
      </x:c>
      <x:c r="L52" t="str">
        <x:v>DT-CAID-2026-119</x:v>
      </x:c>
      <x:c r="M52" t="str">
        <x:v>Không</x:v>
      </x:c>
      <x:c r="N52" t="str">
        <x:v>Có</x:v>
      </x:c>
      <x:c r="O52" t="str">
        <x:v>Hồ sơ mẫu dùng cho quy trình đề nghị thanh toán</x:v>
      </x:c>
    </x:row>
    <x:row r="53">
      <x:c r="A53" t="str">
        <x:v>PR-CAID-2026-052</x:v>
      </x:c>
      <x:c r="B53" t="n">
        <x:v>46129</x:v>
      </x:c>
      <x:c r="C53" t="str">
        <x:v>Development Event</x:v>
      </x:c>
      <x:c r="D53" t="str">
        <x:v>Truyền thông &amp; thiết kế</x:v>
      </x:c>
      <x:c r="E53" t="str">
        <x:v>Công ty Alumni Network</x:v>
      </x:c>
      <x:c r="F53" t="str">
        <x:v>Thanh toán truyền thông &amp; thiết kế cho Development Event</x:v>
      </x:c>
      <x:c r="G53" t="n">
        <x:v>300000000</x:v>
      </x:c>
      <x:c r="H53" t="n">
        <x:f>G53*10%</x:f>
        <x:v>30000000</x:v>
      </x:c>
      <x:c r="I53" t="n">
        <x:f>G53+H53</x:f>
        <x:v>330000000</x:v>
      </x:c>
      <x:c r="J53" t="str">
        <x:v>Cần bổ sung hồ sơ</x:v>
      </x:c>
      <x:c r="K53" t="str">
        <x:v>Nguyễn Minh Anh</x:v>
      </x:c>
      <x:c r="L53" t="str">
        <x:v>DT-CAID-2026-076</x:v>
      </x:c>
      <x:c r="M53" t="str">
        <x:v>Có</x:v>
      </x:c>
      <x:c r="N53" t="str">
        <x:v>Có</x:v>
      </x:c>
      <x:c r="O53" t="str">
        <x:v>Hồ sơ mẫu dùng cho quy trình đề nghị thanh toán</x:v>
      </x:c>
    </x:row>
    <x:row r="54">
      <x:c r="A54" t="str">
        <x:v>PR-CAID-2026-053</x:v>
      </x:c>
      <x:c r="B54" t="n">
        <x:v>46166</x:v>
      </x:c>
      <x:c r="C54" t="str">
        <x:v>Development Event</x:v>
      </x:c>
      <x:c r="D54" t="str">
        <x:v>Thuê địa điểm</x:v>
      </x:c>
      <x:c r="E54" t="str">
        <x:v>Công ty EventPro</x:v>
      </x:c>
      <x:c r="F54" t="str">
        <x:v>Thanh toán thuê địa điểm cho Development Event</x:v>
      </x:c>
      <x:c r="G54" t="n">
        <x:v>100000000</x:v>
      </x:c>
      <x:c r="H54" t="n">
        <x:f>G54*10%</x:f>
        <x:v>10000000</x:v>
      </x:c>
      <x:c r="I54" t="n">
        <x:f>G54+H54</x:f>
        <x:v>110000000</x:v>
      </x:c>
      <x:c r="J54" t="str">
        <x:v>Đã duyệt</x:v>
      </x:c>
      <x:c r="K54" t="str">
        <x:v>Phạm Quang Huy</x:v>
      </x:c>
      <x:c r="L54" t="str">
        <x:v>DT-CAID-2026-140</x:v>
      </x:c>
      <x:c r="M54" t="str">
        <x:v>Không</x:v>
      </x:c>
      <x:c r="N54" t="str">
        <x:v>Không</x:v>
      </x:c>
      <x:c r="O54" t="str">
        <x:v>Hồ sơ mẫu dùng cho quy trình đề nghị thanh toán</x:v>
      </x:c>
    </x:row>
    <x:row r="55">
      <x:c r="A55" t="str">
        <x:v>PR-CAID-2026-054</x:v>
      </x:c>
      <x:c r="B55" t="n">
        <x:v>46179</x:v>
      </x:c>
      <x:c r="C55" t="str">
        <x:v>Corporate Partnership</x:v>
      </x:c>
      <x:c r="D55" t="str">
        <x:v>Hội thảo doanh nghiệp</x:v>
      </x:c>
      <x:c r="E55" t="str">
        <x:v>Công ty Quà tặng Việt</x:v>
      </x:c>
      <x:c r="F55" t="str">
        <x:v>Thanh toán hội thảo doanh nghiệp cho Corporate Partnership</x:v>
      </x:c>
      <x:c r="G55" t="n">
        <x:v>12000000</x:v>
      </x:c>
      <x:c r="H55" t="n">
        <x:f>G55*10%</x:f>
        <x:v>1200000</x:v>
      </x:c>
      <x:c r="I55" t="n">
        <x:f>G55+H55</x:f>
        <x:v>13200000</x:v>
      </x:c>
      <x:c r="J55" t="str">
        <x:v>Đã duyệt</x:v>
      </x:c>
      <x:c r="K55" t="str">
        <x:v>Hoàng Gia Bảo</x:v>
      </x:c>
      <x:c r="L55" t="str">
        <x:v>DT-CAID-2026-013</x:v>
      </x:c>
      <x:c r="M55" t="str">
        <x:v>Không</x:v>
      </x:c>
      <x:c r="N55" t="str">
        <x:v>Không</x:v>
      </x:c>
      <x:c r="O55" t="str">
        <x:v>Hồ sơ mẫu dùng cho quy trình đề nghị thanh toán</x:v>
      </x:c>
    </x:row>
    <x:row r="56">
      <x:c r="A56" t="str">
        <x:v>PR-CAID-2026-055</x:v>
      </x:c>
      <x:c r="B56" t="n">
        <x:v>46216</x:v>
      </x:c>
      <x:c r="C56" t="str">
        <x:v>Career Fair</x:v>
      </x:c>
      <x:c r="D56" t="str">
        <x:v>Diễn giả/chuyên gia</x:v>
      </x:c>
      <x:c r="E56" t="str">
        <x:v>Công ty Digital Growth</x:v>
      </x:c>
      <x:c r="F56" t="str">
        <x:v>Thanh toán diễn giả/chuyên gia cho Career Fair</x:v>
      </x:c>
      <x:c r="G56" t="n">
        <x:v>150000000</x:v>
      </x:c>
      <x:c r="H56" t="n">
        <x:f>G56*10%</x:f>
        <x:v>15000000</x:v>
      </x:c>
      <x:c r="I56" t="n">
        <x:f>G56+H56</x:f>
        <x:v>165000000</x:v>
      </x:c>
      <x:c r="J56" t="str">
        <x:v>Đã duyệt</x:v>
      </x:c>
      <x:c r="K56" t="str">
        <x:v>Phạm Quang Huy</x:v>
      </x:c>
      <x:c r="L56" t="str">
        <x:v>DT-CAID-2026-087</x:v>
      </x:c>
      <x:c r="M56" t="str">
        <x:v>Có</x:v>
      </x:c>
      <x:c r="N56" t="str">
        <x:v>Không</x:v>
      </x:c>
      <x:c r="O56" t="str">
        <x:v>Hồ sơ mẫu dùng cho quy trình đề nghị thanh toán</x:v>
      </x:c>
    </x:row>
    <x:row r="57">
      <x:c r="A57" t="str">
        <x:v>PR-CAID-2026-056</x:v>
      </x:c>
      <x:c r="B57" t="n">
        <x:v>46254</x:v>
      </x:c>
      <x:c r="C57" t="str">
        <x:v>Corporate Training</x:v>
      </x:c>
      <x:c r="D57" t="str">
        <x:v>In ấn tài liệu</x:v>
      </x:c>
      <x:c r="E57" t="str">
        <x:v>Công ty EventPro</x:v>
      </x:c>
      <x:c r="F57" t="str">
        <x:v>Thanh toán in ấn tài liệu cho Corporate Training</x:v>
      </x:c>
      <x:c r="G57" t="n">
        <x:v>20000000</x:v>
      </x:c>
      <x:c r="H57" t="n">
        <x:f>G57*10%</x:f>
        <x:v>2000000</x:v>
      </x:c>
      <x:c r="I57" t="n">
        <x:f>G57+H57</x:f>
        <x:v>22000000</x:v>
      </x:c>
      <x:c r="J57" t="str">
        <x:v>Đã thanh toán</x:v>
      </x:c>
      <x:c r="K57" t="str">
        <x:v>Lê Thu Hà</x:v>
      </x:c>
      <x:c r="L57" t="str">
        <x:v>DT-CAID-2026-022</x:v>
      </x:c>
      <x:c r="M57" t="str">
        <x:v>Không</x:v>
      </x:c>
      <x:c r="N57" t="str">
        <x:v>Có</x:v>
      </x:c>
      <x:c r="O57" t="str">
        <x:v>Hồ sơ mẫu dùng cho quy trình đề nghị thanh toán</x:v>
      </x:c>
    </x:row>
    <x:row r="58">
      <x:c r="A58" t="str">
        <x:v>PR-CAID-2026-057</x:v>
      </x:c>
      <x:c r="B58" t="n">
        <x:v>46292</x:v>
      </x:c>
      <x:c r="C58" t="str">
        <x:v>Scholarship Donor Program</x:v>
      </x:c>
      <x:c r="D58" t="str">
        <x:v>Tài trợ sinh viên</x:v>
      </x:c>
      <x:c r="E58" t="str">
        <x:v>Công ty Thiết kế BrandLab</x:v>
      </x:c>
      <x:c r="F58" t="str">
        <x:v>Thanh toán tài trợ sinh viên cho Scholarship Donor Program</x:v>
      </x:c>
      <x:c r="G58" t="n">
        <x:v>8000000</x:v>
      </x:c>
      <x:c r="H58" t="n">
        <x:f>G58*10%</x:f>
        <x:v>800000</x:v>
      </x:c>
      <x:c r="I58" t="n">
        <x:f>G58+H58</x:f>
        <x:v>8800000</x:v>
      </x:c>
      <x:c r="J58" t="str">
        <x:v>Đã duyệt</x:v>
      </x:c>
      <x:c r="K58" t="str">
        <x:v>Nguyễn Minh Anh</x:v>
      </x:c>
      <x:c r="L58" t="str">
        <x:v>DT-CAID-2026-021</x:v>
      </x:c>
      <x:c r="M58" t="str">
        <x:v>Không</x:v>
      </x:c>
      <x:c r="N58" t="str">
        <x:v>Không</x:v>
      </x:c>
      <x:c r="O58" t="str">
        <x:v>Hồ sơ mẫu dùng cho quy trình đề nghị thanh toán</x:v>
      </x:c>
    </x:row>
    <x:row r="59">
      <x:c r="A59" t="str">
        <x:v>PR-CAID-2026-058</x:v>
      </x:c>
      <x:c r="B59" t="n">
        <x:v>46304</x:v>
      </x:c>
      <x:c r="C59" t="str">
        <x:v>Alumni Engagement</x:v>
      </x:c>
      <x:c r="D59" t="str">
        <x:v>In ấn tài liệu</x:v>
      </x:c>
      <x:c r="E59" t="str">
        <x:v>Công ty Digital Growth</x:v>
      </x:c>
      <x:c r="F59" t="str">
        <x:v>Thanh toán in ấn tài liệu cho Alumni Engagement</x:v>
      </x:c>
      <x:c r="G59" t="n">
        <x:v>100000000</x:v>
      </x:c>
      <x:c r="H59" t="n">
        <x:f>G59*10%</x:f>
        <x:v>10000000</x:v>
      </x:c>
      <x:c r="I59" t="n">
        <x:f>G59+H59</x:f>
        <x:v>110000000</x:v>
      </x:c>
      <x:c r="J59" t="str">
        <x:v>Đã duyệt</x:v>
      </x:c>
      <x:c r="K59" t="str">
        <x:v>Vũ Khánh Linh</x:v>
      </x:c>
      <x:c r="L59" t="str">
        <x:v>DT-CAID-2026-114</x:v>
      </x:c>
      <x:c r="M59" t="str">
        <x:v>Không</x:v>
      </x:c>
      <x:c r="N59" t="str">
        <x:v>Không</x:v>
      </x:c>
      <x:c r="O59" t="str">
        <x:v>Hồ sơ mẫu dùng cho quy trình đề nghị thanh toán</x:v>
      </x:c>
    </x:row>
    <x:row r="60">
      <x:c r="A60" t="str">
        <x:v>PR-CAID-2026-059</x:v>
      </x:c>
      <x:c r="B60" t="n">
        <x:v>46342</x:v>
      </x:c>
      <x:c r="C60" t="str">
        <x:v>Corporate Partnership</x:v>
      </x:c>
      <x:c r="D60" t="str">
        <x:v>Chăm sóc nhà tài trợ</x:v>
      </x:c>
      <x:c r="E60" t="str">
        <x:v>Công ty CareerHub Việt Nam</x:v>
      </x:c>
      <x:c r="F60" t="str">
        <x:v>Thanh toán chăm sóc nhà tài trợ cho Corporate Partnership</x:v>
      </x:c>
      <x:c r="G60" t="n">
        <x:v>20000000</x:v>
      </x:c>
      <x:c r="H60" t="n">
        <x:f>G60*10%</x:f>
        <x:v>2000000</x:v>
      </x:c>
      <x:c r="I60" t="n">
        <x:f>G60+H60</x:f>
        <x:v>22000000</x:v>
      </x:c>
      <x:c r="J60" t="str">
        <x:v>Cần bổ sung hồ sơ</x:v>
      </x:c>
      <x:c r="K60" t="str">
        <x:v>Lê Thu Hà</x:v>
      </x:c>
      <x:c r="L60" t="str">
        <x:v>DT-CAID-2026-015</x:v>
      </x:c>
      <x:c r="M60" t="str">
        <x:v>Có</x:v>
      </x:c>
      <x:c r="N60" t="str">
        <x:v>Không</x:v>
      </x:c>
      <x:c r="O60" t="str">
        <x:v>Hồ sơ mẫu dùng cho quy trình đề nghị thanh toán</x:v>
      </x:c>
    </x:row>
    <x:row r="61">
      <x:c r="A61" t="str">
        <x:v>PR-CAID-2026-060</x:v>
      </x:c>
      <x:c r="B61" t="n">
        <x:v>46379</x:v>
      </x:c>
      <x:c r="C61" t="str">
        <x:v>Fundraising Campaign</x:v>
      </x:c>
      <x:c r="D61" t="str">
        <x:v>Phần mềm CRM</x:v>
      </x:c>
      <x:c r="E61" t="str">
        <x:v>Công ty Sự kiện BizConnect</x:v>
      </x:c>
      <x:c r="F61" t="str">
        <x:v>Thanh toán phần mềm crm cho Fundraising Campaign</x:v>
      </x:c>
      <x:c r="G61" t="n">
        <x:v>75000000</x:v>
      </x:c>
      <x:c r="H61" t="n">
        <x:f>G61*10%</x:f>
        <x:v>7500000</x:v>
      </x:c>
      <x:c r="I61" t="n">
        <x:f>G61+H61</x:f>
        <x:v>82500000</x:v>
      </x:c>
      <x:c r="J61" t="str">
        <x:v>Đã gửi duyệt</x:v>
      </x:c>
      <x:c r="K61" t="str">
        <x:v>Đỗ Bảo Ngọc</x:v>
      </x:c>
      <x:c r="L61" t="str">
        <x:v>DT-CAID-2026-113</x:v>
      </x:c>
      <x:c r="M61" t="str">
        <x:v>Có</x:v>
      </x:c>
      <x:c r="N61" t="str">
        <x:v>Có</x:v>
      </x:c>
      <x:c r="O61" t="str">
        <x:v>Hồ sơ mẫu dùng cho quy trình đề nghị thanh toán</x:v>
      </x:c>
    </x:row>
    <x:row r="62">
      <x:c r="A62" t="str">
        <x:v>PR-CAID-2026-061</x:v>
      </x:c>
      <x:c r="B62" t="n">
        <x:v>46027</x:v>
      </x:c>
      <x:c r="C62" t="str">
        <x:v>Career Fair</x:v>
      </x:c>
      <x:c r="D62" t="str">
        <x:v>Thuê địa điểm</x:v>
      </x:c>
      <x:c r="E62" t="str">
        <x:v>Nền tảng CRM EduPartner</x:v>
      </x:c>
      <x:c r="F62" t="str">
        <x:v>Thanh toán thuê địa điểm cho Career Fair</x:v>
      </x:c>
      <x:c r="G62" t="n">
        <x:v>100000000</x:v>
      </x:c>
      <x:c r="H62" t="n">
        <x:f>G62*10%</x:f>
        <x:v>10000000</x:v>
      </x:c>
      <x:c r="I62" t="n">
        <x:f>G62+H62</x:f>
        <x:v>110000000</x:v>
      </x:c>
      <x:c r="J62" t="str">
        <x:v>Đã duyệt</x:v>
      </x:c>
      <x:c r="K62" t="str">
        <x:v>Đỗ Bảo Ngọc</x:v>
      </x:c>
      <x:c r="L62" t="str">
        <x:v>DT-CAID-2026-009</x:v>
      </x:c>
      <x:c r="M62" t="str">
        <x:v>Có</x:v>
      </x:c>
      <x:c r="N62" t="str">
        <x:v>Không</x:v>
      </x:c>
      <x:c r="O62" t="str">
        <x:v>Hồ sơ mẫu dùng cho quy trình đề nghị thanh toán</x:v>
      </x:c>
    </x:row>
    <x:row r="63">
      <x:c r="A63" t="str">
        <x:v>PR-CAID-2026-062</x:v>
      </x:c>
      <x:c r="B63" t="n">
        <x:v>46065</x:v>
      </x:c>
      <x:c r="C63" t="str">
        <x:v>Fundraising Campaign</x:v>
      </x:c>
      <x:c r="D63" t="str">
        <x:v>Diễn giả/chuyên gia</x:v>
      </x:c>
      <x:c r="E63" t="str">
        <x:v>Công ty CareerHub Việt Nam</x:v>
      </x:c>
      <x:c r="F63" t="str">
        <x:v>Thanh toán diễn giả/chuyên gia cho Fundraising Campaign</x:v>
      </x:c>
      <x:c r="G63" t="n">
        <x:v>50000000</x:v>
      </x:c>
      <x:c r="H63" t="n">
        <x:f>G63*10%</x:f>
        <x:v>5000000</x:v>
      </x:c>
      <x:c r="I63" t="n">
        <x:f>G63+H63</x:f>
        <x:v>55000000</x:v>
      </x:c>
      <x:c r="J63" t="str">
        <x:v>Đã gửi duyệt</x:v>
      </x:c>
      <x:c r="K63" t="str">
        <x:v>Lê Thu Hà</x:v>
      </x:c>
      <x:c r="L63" t="str">
        <x:v>DT-CAID-2026-102</x:v>
      </x:c>
      <x:c r="M63" t="str">
        <x:v>Không</x:v>
      </x:c>
      <x:c r="N63" t="str">
        <x:v>Không</x:v>
      </x:c>
      <x:c r="O63" t="str">
        <x:v>Hồ sơ mẫu dùng cho quy trình đề nghị thanh toán</x:v>
      </x:c>
    </x:row>
    <x:row r="64">
      <x:c r="A64" t="str">
        <x:v>PR-CAID-2026-063</x:v>
      </x:c>
      <x:c r="B64" t="n">
        <x:v>46100</x:v>
      </x:c>
      <x:c r="C64" t="str">
        <x:v>Employer Branding</x:v>
      </x:c>
      <x:c r="D64" t="str">
        <x:v>Tiếp khách doanh nghiệp</x:v>
      </x:c>
      <x:c r="E64" t="str">
        <x:v>Công ty Digital Growth</x:v>
      </x:c>
      <x:c r="F64" t="str">
        <x:v>Thanh toán tiếp khách doanh nghiệp cho Employer Branding</x:v>
      </x:c>
      <x:c r="G64" t="n">
        <x:v>3000000</x:v>
      </x:c>
      <x:c r="H64" t="n">
        <x:f>G64*10%</x:f>
        <x:v>300000</x:v>
      </x:c>
      <x:c r="I64" t="n">
        <x:f>G64+H64</x:f>
        <x:v>3300000</x:v>
      </x:c>
      <x:c r="J64" t="str">
        <x:v>Đã gửi duyệt</x:v>
      </x:c>
      <x:c r="K64" t="str">
        <x:v>Đỗ Bảo Ngọc</x:v>
      </x:c>
      <x:c r="L64" t="str">
        <x:v>DT-CAID-2026-100</x:v>
      </x:c>
      <x:c r="M64" t="str">
        <x:v>Có</x:v>
      </x:c>
      <x:c r="N64" t="str">
        <x:v>Không</x:v>
      </x:c>
      <x:c r="O64" t="str">
        <x:v>Hồ sơ mẫu dùng cho quy trình đề nghị thanh toán</x:v>
      </x:c>
    </x:row>
    <x:row r="65">
      <x:c r="A65" t="str">
        <x:v>PR-CAID-2026-064</x:v>
      </x:c>
      <x:c r="B65" t="n">
        <x:v>46138</x:v>
      </x:c>
      <x:c r="C65" t="str">
        <x:v>Development Event</x:v>
      </x:c>
      <x:c r="D65" t="str">
        <x:v>Quà tặng đối tác</x:v>
      </x:c>
      <x:c r="E65" t="str">
        <x:v>Công ty CareerHub Việt Nam</x:v>
      </x:c>
      <x:c r="F65" t="str">
        <x:v>Thanh toán quà tặng đối tác cho Development Event</x:v>
      </x:c>
      <x:c r="G65" t="n">
        <x:v>75000000</x:v>
      </x:c>
      <x:c r="H65" t="n">
        <x:f>G65*10%</x:f>
        <x:v>7500000</x:v>
      </x:c>
      <x:c r="I65" t="n">
        <x:f>G65+H65</x:f>
        <x:v>82500000</x:v>
      </x:c>
      <x:c r="J65" t="str">
        <x:v>Đã duyệt</x:v>
      </x:c>
      <x:c r="K65" t="str">
        <x:v>Phạm Quang Huy</x:v>
      </x:c>
      <x:c r="L65" t="str">
        <x:v>DT-CAID-2026-052</x:v>
      </x:c>
      <x:c r="M65" t="str">
        <x:v>Có</x:v>
      </x:c>
      <x:c r="N65" t="str">
        <x:v>Có</x:v>
      </x:c>
      <x:c r="O65" t="str">
        <x:v>Hồ sơ mẫu dùng cho quy trình đề nghị thanh toán</x:v>
      </x:c>
    </x:row>
    <x:row r="66">
      <x:c r="A66" t="str">
        <x:v>PR-CAID-2026-065</x:v>
      </x:c>
      <x:c r="B66" t="n">
        <x:v>46150</x:v>
      </x:c>
      <x:c r="C66" t="str">
        <x:v>Donor Stewardship</x:v>
      </x:c>
      <x:c r="D66" t="str">
        <x:v>Tiếp khách doanh nghiệp</x:v>
      </x:c>
      <x:c r="E66" t="str">
        <x:v>Khách sạn Grand Hanoi</x:v>
      </x:c>
      <x:c r="F66" t="str">
        <x:v>Thanh toán tiếp khách doanh nghiệp cho Donor Stewardship</x:v>
      </x:c>
      <x:c r="G66" t="n">
        <x:v>50000000</x:v>
      </x:c>
      <x:c r="H66" t="n">
        <x:f>G66*10%</x:f>
        <x:v>5000000</x:v>
      </x:c>
      <x:c r="I66" t="n">
        <x:f>G66+H66</x:f>
        <x:v>55000000</x:v>
      </x:c>
      <x:c r="J66" t="str">
        <x:v>Cần bổ sung hồ sơ</x:v>
      </x:c>
      <x:c r="K66" t="str">
        <x:v>Phạm Quang Huy</x:v>
      </x:c>
      <x:c r="L66" t="str">
        <x:v>DT-CAID-2026-023</x:v>
      </x:c>
      <x:c r="M66" t="str">
        <x:v>Không</x:v>
      </x:c>
      <x:c r="N66" t="str">
        <x:v>Không</x:v>
      </x:c>
      <x:c r="O66" t="str">
        <x:v>Hồ sơ mẫu dùng cho quy trình đề nghị thanh toán</x:v>
      </x:c>
    </x:row>
    <x:row r="67">
      <x:c r="A67" t="str">
        <x:v>PR-CAID-2026-066</x:v>
      </x:c>
      <x:c r="B67" t="n">
        <x:v>46188</x:v>
      </x:c>
      <x:c r="C67" t="str">
        <x:v>Corporate Training</x:v>
      </x:c>
      <x:c r="D67" t="str">
        <x:v>Tiếp khách doanh nghiệp</x:v>
      </x:c>
      <x:c r="E67" t="str">
        <x:v>Công ty Thiết kế BrandLab</x:v>
      </x:c>
      <x:c r="F67" t="str">
        <x:v>Thanh toán tiếp khách doanh nghiệp cho Corporate Training</x:v>
      </x:c>
      <x:c r="G67" t="n">
        <x:v>75000000</x:v>
      </x:c>
      <x:c r="H67" t="n">
        <x:f>G67*10%</x:f>
        <x:v>7500000</x:v>
      </x:c>
      <x:c r="I67" t="n">
        <x:f>G67+H67</x:f>
        <x:v>82500000</x:v>
      </x:c>
      <x:c r="J67" t="str">
        <x:v>Đã duyệt</x:v>
      </x:c>
      <x:c r="K67" t="str">
        <x:v>Lê Thu Hà</x:v>
      </x:c>
      <x:c r="L67" t="str">
        <x:v>DT-CAID-2026-041</x:v>
      </x:c>
      <x:c r="M67" t="str">
        <x:v>Có</x:v>
      </x:c>
      <x:c r="N67" t="str">
        <x:v>Không</x:v>
      </x:c>
      <x:c r="O67" t="str">
        <x:v>Hồ sơ mẫu dùng cho quy trình đề nghị thanh toán</x:v>
      </x:c>
    </x:row>
    <x:row r="68">
      <x:c r="A68" t="str">
        <x:v>PR-CAID-2026-067</x:v>
      </x:c>
      <x:c r="B68" t="n">
        <x:v>46225</x:v>
      </x:c>
      <x:c r="C68" t="str">
        <x:v>Company Visit</x:v>
      </x:c>
      <x:c r="D68" t="str">
        <x:v>Thuê địa điểm</x:v>
      </x:c>
      <x:c r="E68" t="str">
        <x:v>Công ty In ấn Minh Long</x:v>
      </x:c>
      <x:c r="F68" t="str">
        <x:v>Thanh toán thuê địa điểm cho Company Visit</x:v>
      </x:c>
      <x:c r="G68" t="n">
        <x:v>5000000</x:v>
      </x:c>
      <x:c r="H68" t="n">
        <x:f>G68*10%</x:f>
        <x:v>500000</x:v>
      </x:c>
      <x:c r="I68" t="n">
        <x:f>G68+H68</x:f>
        <x:v>5500000</x:v>
      </x:c>
      <x:c r="J68" t="str">
        <x:v>Đã thanh toán</x:v>
      </x:c>
      <x:c r="K68" t="str">
        <x:v>Trần Hoàng Long</x:v>
      </x:c>
      <x:c r="L68" t="str">
        <x:v>DT-CAID-2026-127</x:v>
      </x:c>
      <x:c r="M68" t="str">
        <x:v>Có</x:v>
      </x:c>
      <x:c r="N68" t="str">
        <x:v>Không</x:v>
      </x:c>
      <x:c r="O68" t="str">
        <x:v>Hồ sơ mẫu dùng cho quy trình đề nghị thanh toán</x:v>
      </x:c>
    </x:row>
    <x:row r="69">
      <x:c r="A69" t="str">
        <x:v>PR-CAID-2026-068</x:v>
      </x:c>
      <x:c r="B69" t="n">
        <x:v>46238</x:v>
      </x:c>
      <x:c r="C69" t="str">
        <x:v>Company Visit</x:v>
      </x:c>
      <x:c r="D69" t="str">
        <x:v>Tài trợ sinh viên</x:v>
      </x:c>
      <x:c r="E69" t="str">
        <x:v>Công ty Logistics FastGo</x:v>
      </x:c>
      <x:c r="F69" t="str">
        <x:v>Thanh toán tài trợ sinh viên cho Company Visit</x:v>
      </x:c>
      <x:c r="G69" t="n">
        <x:v>20000000</x:v>
      </x:c>
      <x:c r="H69" t="n">
        <x:f>G69*10%</x:f>
        <x:v>2000000</x:v>
      </x:c>
      <x:c r="I69" t="n">
        <x:f>G69+H69</x:f>
        <x:v>22000000</x:v>
      </x:c>
      <x:c r="J69" t="str">
        <x:v>Từ chối</x:v>
      </x:c>
      <x:c r="K69" t="str">
        <x:v>Đỗ Bảo Ngọc</x:v>
      </x:c>
      <x:c r="L69" t="str">
        <x:v>DT-CAID-2026-034</x:v>
      </x:c>
      <x:c r="M69" t="str">
        <x:v>Có</x:v>
      </x:c>
      <x:c r="N69" t="str">
        <x:v>Có</x:v>
      </x:c>
      <x:c r="O69" t="str">
        <x:v>Hồ sơ mẫu dùng cho quy trình đề nghị thanh toán</x:v>
      </x:c>
    </x:row>
    <x:row r="70">
      <x:c r="A70" t="str">
        <x:v>PR-CAID-2026-069</x:v>
      </x:c>
      <x:c r="B70" t="n">
        <x:v>46276</x:v>
      </x:c>
      <x:c r="C70" t="str">
        <x:v>Alumni Engagement</x:v>
      </x:c>
      <x:c r="D70" t="str">
        <x:v>Di chuyển công tác</x:v>
      </x:c>
      <x:c r="E70" t="str">
        <x:v>Công ty Thiết kế BrandLab</x:v>
      </x:c>
      <x:c r="F70" t="str">
        <x:v>Thanh toán di chuyển công tác cho Alumni Engagement</x:v>
      </x:c>
      <x:c r="G70" t="n">
        <x:v>50000000</x:v>
      </x:c>
      <x:c r="H70" t="n">
        <x:f>G70*10%</x:f>
        <x:v>5000000</x:v>
      </x:c>
      <x:c r="I70" t="n">
        <x:f>G70+H70</x:f>
        <x:v>55000000</x:v>
      </x:c>
      <x:c r="J70" t="str">
        <x:v>Đã duyệt</x:v>
      </x:c>
      <x:c r="K70" t="str">
        <x:v>Phạm Quang Huy</x:v>
      </x:c>
      <x:c r="L70" t="str">
        <x:v>DT-CAID-2026-148</x:v>
      </x:c>
      <x:c r="M70" t="str">
        <x:v>Có</x:v>
      </x:c>
      <x:c r="N70" t="str">
        <x:v>Có</x:v>
      </x:c>
      <x:c r="O70" t="str">
        <x:v>Hồ sơ mẫu dùng cho quy trình đề nghị thanh toán</x:v>
      </x:c>
    </x:row>
    <x:row r="71">
      <x:c r="A71" t="str">
        <x:v>PR-CAID-2026-070</x:v>
      </x:c>
      <x:c r="B71" t="n">
        <x:v>46313</x:v>
      </x:c>
      <x:c r="C71" t="str">
        <x:v>Fundraising Campaign</x:v>
      </x:c>
      <x:c r="D71" t="str">
        <x:v>Hội thảo doanh nghiệp</x:v>
      </x:c>
      <x:c r="E71" t="str">
        <x:v>Công ty Logistics FastGo</x:v>
      </x:c>
      <x:c r="F71" t="str">
        <x:v>Thanh toán hội thảo doanh nghiệp cho Fundraising Campaign</x:v>
      </x:c>
      <x:c r="G71" t="n">
        <x:v>150000000</x:v>
      </x:c>
      <x:c r="H71" t="n">
        <x:f>G71*10%</x:f>
        <x:v>15000000</x:v>
      </x:c>
      <x:c r="I71" t="n">
        <x:f>G71+H71</x:f>
        <x:v>165000000</x:v>
      </x:c>
      <x:c r="J71" t="str">
        <x:v>Đã thanh toán</x:v>
      </x:c>
      <x:c r="K71" t="str">
        <x:v>Lê Thu Hà</x:v>
      </x:c>
      <x:c r="L71" t="str">
        <x:v>DT-CAID-2026-033</x:v>
      </x:c>
      <x:c r="M71" t="str">
        <x:v>Có</x:v>
      </x:c>
      <x:c r="N71" t="str">
        <x:v>Có</x:v>
      </x:c>
      <x:c r="O71" t="str">
        <x:v>Hồ sơ mẫu dùng cho quy trình đề nghị thanh toán</x:v>
      </x:c>
    </x:row>
    <x:row r="72">
      <x:c r="A72" t="str">
        <x:v>PR-CAID-2026-071</x:v>
      </x:c>
      <x:c r="B72" t="n">
        <x:v>46351</x:v>
      </x:c>
      <x:c r="C72" t="str">
        <x:v>Scholarship Donor Program</x:v>
      </x:c>
      <x:c r="D72" t="str">
        <x:v>Phần mềm CRM</x:v>
      </x:c>
      <x:c r="E72" t="str">
        <x:v>Công ty Fundraising Solutions</x:v>
      </x:c>
      <x:c r="F72" t="str">
        <x:v>Thanh toán phần mềm crm cho Scholarship Donor Program</x:v>
      </x:c>
      <x:c r="G72" t="n">
        <x:v>3000000</x:v>
      </x:c>
      <x:c r="H72" t="n">
        <x:f>G72*10%</x:f>
        <x:v>300000</x:v>
      </x:c>
      <x:c r="I72" t="n">
        <x:f>G72+H72</x:f>
        <x:v>3300000</x:v>
      </x:c>
      <x:c r="J72" t="str">
        <x:v>Đã gửi duyệt</x:v>
      </x:c>
      <x:c r="K72" t="str">
        <x:v>Trần Hoàng Long</x:v>
      </x:c>
      <x:c r="L72" t="str">
        <x:v>DT-CAID-2026-078</x:v>
      </x:c>
      <x:c r="M72" t="str">
        <x:v>Có</x:v>
      </x:c>
      <x:c r="N72" t="str">
        <x:v>Có</x:v>
      </x:c>
      <x:c r="O72" t="str">
        <x:v>Hồ sơ mẫu dùng cho quy trình đề nghị thanh toán</x:v>
      </x:c>
    </x:row>
    <x:row r="73">
      <x:c r="A73" t="str">
        <x:v>PR-CAID-2026-072</x:v>
      </x:c>
      <x:c r="B73" t="n">
        <x:v>46363</x:v>
      </x:c>
      <x:c r="C73" t="str">
        <x:v>Fundraising Campaign</x:v>
      </x:c>
      <x:c r="D73" t="str">
        <x:v>Chăm sóc nhà tài trợ</x:v>
      </x:c>
      <x:c r="E73" t="str">
        <x:v>Công ty Thiết kế BrandLab</x:v>
      </x:c>
      <x:c r="F73" t="str">
        <x:v>Thanh toán chăm sóc nhà tài trợ cho Fundraising Campaign</x:v>
      </x:c>
      <x:c r="G73" t="n">
        <x:v>100000000</x:v>
      </x:c>
      <x:c r="H73" t="n">
        <x:f>G73*10%</x:f>
        <x:v>10000000</x:v>
      </x:c>
      <x:c r="I73" t="n">
        <x:f>G73+H73</x:f>
        <x:v>110000000</x:v>
      </x:c>
      <x:c r="J73" t="str">
        <x:v>Cần bổ sung hồ sơ</x:v>
      </x:c>
      <x:c r="K73" t="str">
        <x:v>Hoàng Gia Bảo</x:v>
      </x:c>
      <x:c r="L73" t="str">
        <x:v>DT-CAID-2026-021</x:v>
      </x:c>
      <x:c r="M73" t="str">
        <x:v>Không</x:v>
      </x:c>
      <x:c r="N73" t="str">
        <x:v>Có</x:v>
      </x:c>
      <x:c r="O73" t="str">
        <x:v>Hồ sơ mẫu dùng cho quy trình đề nghị thanh toán</x:v>
      </x:c>
    </x:row>
    <x:row r="74">
      <x:c r="A74" t="str">
        <x:v>PR-CAID-2026-073</x:v>
      </x:c>
      <x:c r="B74" t="n">
        <x:v>46036</x:v>
      </x:c>
      <x:c r="C74" t="str">
        <x:v>Mentorship Program</x:v>
      </x:c>
      <x:c r="D74" t="str">
        <x:v>Phần mềm CRM</x:v>
      </x:c>
      <x:c r="E74" t="str">
        <x:v>Khách sạn Grand Hanoi</x:v>
      </x:c>
      <x:c r="F74" t="str">
        <x:v>Thanh toán phần mềm crm cho Mentorship Program</x:v>
      </x:c>
      <x:c r="G74" t="n">
        <x:v>15000000</x:v>
      </x:c>
      <x:c r="H74" t="n">
        <x:f>G74*10%</x:f>
        <x:v>1500000</x:v>
      </x:c>
      <x:c r="I74" t="n">
        <x:f>G74+H74</x:f>
        <x:v>16500000</x:v>
      </x:c>
      <x:c r="J74" t="str">
        <x:v>Đã thanh toán</x:v>
      </x:c>
      <x:c r="K74" t="str">
        <x:v>Đỗ Bảo Ngọc</x:v>
      </x:c>
      <x:c r="L74" t="str">
        <x:v>DT-CAID-2026-137</x:v>
      </x:c>
      <x:c r="M74" t="str">
        <x:v>Có</x:v>
      </x:c>
      <x:c r="N74" t="str">
        <x:v>Có</x:v>
      </x:c>
      <x:c r="O74" t="str">
        <x:v>Hồ sơ mẫu dùng cho quy trình đề nghị thanh toán</x:v>
      </x:c>
    </x:row>
    <x:row r="75">
      <x:c r="A75" t="str">
        <x:v>PR-CAID-2026-074</x:v>
      </x:c>
      <x:c r="B75" t="n">
        <x:v>46074</x:v>
      </x:c>
      <x:c r="C75" t="str">
        <x:v>Industry Advisory Board</x:v>
      </x:c>
      <x:c r="D75" t="str">
        <x:v>Tài trợ sinh viên</x:v>
      </x:c>
      <x:c r="E75" t="str">
        <x:v>Khách sạn Grand Hanoi</x:v>
      </x:c>
      <x:c r="F75" t="str">
        <x:v>Thanh toán tài trợ sinh viên cho Industry Advisory Board</x:v>
      </x:c>
      <x:c r="G75" t="n">
        <x:v>8000000</x:v>
      </x:c>
      <x:c r="H75" t="n">
        <x:f>G75*10%</x:f>
        <x:v>800000</x:v>
      </x:c>
      <x:c r="I75" t="n">
        <x:f>G75+H75</x:f>
        <x:v>8800000</x:v>
      </x:c>
      <x:c r="J75" t="str">
        <x:v>Đã thanh toán</x:v>
      </x:c>
      <x:c r="K75" t="str">
        <x:v>Vũ Khánh Linh</x:v>
      </x:c>
      <x:c r="L75" t="str">
        <x:v>DT-CAID-2026-087</x:v>
      </x:c>
      <x:c r="M75" t="str">
        <x:v>Có</x:v>
      </x:c>
      <x:c r="N75" t="str">
        <x:v>Có</x:v>
      </x:c>
      <x:c r="O75" t="str">
        <x:v>Hồ sơ mẫu dùng cho quy trình đề nghị thanh toán</x:v>
      </x:c>
    </x:row>
    <x:row r="76">
      <x:c r="A76" t="str">
        <x:v>PR-CAID-2026-075</x:v>
      </x:c>
      <x:c r="B76" t="n">
        <x:v>46084</x:v>
      </x:c>
      <x:c r="C76" t="str">
        <x:v>Career Fair</x:v>
      </x:c>
      <x:c r="D76" t="str">
        <x:v>Tổ chức sự kiện</x:v>
      </x:c>
      <x:c r="E76" t="str">
        <x:v>Công ty Quà tặng Việt</x:v>
      </x:c>
      <x:c r="F76" t="str">
        <x:v>Thanh toán tổ chức sự kiện cho Career Fair</x:v>
      </x:c>
      <x:c r="G76" t="n">
        <x:v>200000000</x:v>
      </x:c>
      <x:c r="H76" t="n">
        <x:f>G76*10%</x:f>
        <x:v>20000000</x:v>
      </x:c>
      <x:c r="I76" t="n">
        <x:f>G76+H76</x:f>
        <x:v>220000000</x:v>
      </x:c>
      <x:c r="J76" t="str">
        <x:v>Đã thanh toán</x:v>
      </x:c>
      <x:c r="K76" t="str">
        <x:v>Hoàng Gia Bảo</x:v>
      </x:c>
      <x:c r="L76" t="str">
        <x:v>DT-CAID-2026-147</x:v>
      </x:c>
      <x:c r="M76" t="str">
        <x:v>Không</x:v>
      </x:c>
      <x:c r="N76" t="str">
        <x:v>Có</x:v>
      </x:c>
      <x:c r="O76" t="str">
        <x:v>Hồ sơ mẫu dùng cho quy trình đề nghị thanh toán</x:v>
      </x:c>
    </x:row>
    <x:row r="77">
      <x:c r="A77" t="str">
        <x:v>PR-CAID-2026-076</x:v>
      </x:c>
      <x:c r="B77" t="n">
        <x:v>46122</x:v>
      </x:c>
      <x:c r="C77" t="str">
        <x:v>MoU Signing</x:v>
      </x:c>
      <x:c r="D77" t="str">
        <x:v>Hội thảo doanh nghiệp</x:v>
      </x:c>
      <x:c r="E77" t="str">
        <x:v>Công ty Quà tặng Việt</x:v>
      </x:c>
      <x:c r="F77" t="str">
        <x:v>Thanh toán hội thảo doanh nghiệp cho MoU Signing</x:v>
      </x:c>
      <x:c r="G77" t="n">
        <x:v>75000000</x:v>
      </x:c>
      <x:c r="H77" t="n">
        <x:f>G77*10%</x:f>
        <x:v>7500000</x:v>
      </x:c>
      <x:c r="I77" t="n">
        <x:f>G77+H77</x:f>
        <x:v>82500000</x:v>
      </x:c>
      <x:c r="J77" t="str">
        <x:v>Đã thanh toán</x:v>
      </x:c>
      <x:c r="K77" t="str">
        <x:v>Lê Thu Hà</x:v>
      </x:c>
      <x:c r="L77" t="str">
        <x:v>DT-CAID-2026-124</x:v>
      </x:c>
      <x:c r="M77" t="str">
        <x:v>Có</x:v>
      </x:c>
      <x:c r="N77" t="str">
        <x:v>Không</x:v>
      </x:c>
      <x:c r="O77" t="str">
        <x:v>Hồ sơ mẫu dùng cho quy trình đề nghị thanh toán</x:v>
      </x:c>
    </x:row>
    <x:row r="78">
      <x:c r="A78" t="str">
        <x:v>PR-CAID-2026-077</x:v>
      </x:c>
      <x:c r="B78" t="n">
        <x:v>46159</x:v>
      </x:c>
      <x:c r="C78" t="str">
        <x:v>Alumni Engagement</x:v>
      </x:c>
      <x:c r="D78" t="str">
        <x:v>In ấn tài liệu</x:v>
      </x:c>
      <x:c r="E78" t="str">
        <x:v>Công ty Digital Growth</x:v>
      </x:c>
      <x:c r="F78" t="str">
        <x:v>Thanh toán in ấn tài liệu cho Alumni Engagement</x:v>
      </x:c>
      <x:c r="G78" t="n">
        <x:v>5000000</x:v>
      </x:c>
      <x:c r="H78" t="n">
        <x:f>G78*10%</x:f>
        <x:v>500000</x:v>
      </x:c>
      <x:c r="I78" t="n">
        <x:f>G78+H78</x:f>
        <x:v>5500000</x:v>
      </x:c>
      <x:c r="J78" t="str">
        <x:v>Đã gửi duyệt</x:v>
      </x:c>
      <x:c r="K78" t="str">
        <x:v>Phạm Quang Huy</x:v>
      </x:c>
      <x:c r="L78" t="str">
        <x:v>DT-CAID-2026-107</x:v>
      </x:c>
      <x:c r="M78" t="str">
        <x:v>Không</x:v>
      </x:c>
      <x:c r="N78" t="str">
        <x:v>Không</x:v>
      </x:c>
      <x:c r="O78" t="str">
        <x:v>Hồ sơ mẫu dùng cho quy trình đề nghị thanh toán</x:v>
      </x:c>
    </x:row>
    <x:row r="79">
      <x:c r="A79" t="str">
        <x:v>PR-CAID-2026-078</x:v>
      </x:c>
      <x:c r="B79" t="n">
        <x:v>46197</x:v>
      </x:c>
      <x:c r="C79" t="str">
        <x:v>Employer Branding</x:v>
      </x:c>
      <x:c r="D79" t="str">
        <x:v>Diễn giả/chuyên gia</x:v>
      </x:c>
      <x:c r="E79" t="str">
        <x:v>Khách sạn Grand Hanoi</x:v>
      </x:c>
      <x:c r="F79" t="str">
        <x:v>Thanh toán diễn giả/chuyên gia cho Employer Branding</x:v>
      </x:c>
      <x:c r="G79" t="n">
        <x:v>100000000</x:v>
      </x:c>
      <x:c r="H79" t="n">
        <x:f>G79*10%</x:f>
        <x:v>10000000</x:v>
      </x:c>
      <x:c r="I79" t="n">
        <x:f>G79+H79</x:f>
        <x:v>110000000</x:v>
      </x:c>
      <x:c r="J79" t="str">
        <x:v>Đã duyệt</x:v>
      </x:c>
      <x:c r="K79" t="str">
        <x:v>Vũ Khánh Linh</x:v>
      </x:c>
      <x:c r="L79" t="str">
        <x:v>DT-CAID-2026-082</x:v>
      </x:c>
      <x:c r="M79" t="str">
        <x:v>Không</x:v>
      </x:c>
      <x:c r="N79" t="str">
        <x:v>Không</x:v>
      </x:c>
      <x:c r="O79" t="str">
        <x:v>Hồ sơ mẫu dùng cho quy trình đề nghị thanh toán</x:v>
      </x:c>
    </x:row>
    <x:row r="80">
      <x:c r="A80" t="str">
        <x:v>PR-CAID-2026-079</x:v>
      </x:c>
      <x:c r="B80" t="n">
        <x:v>46209</x:v>
      </x:c>
      <x:c r="C80" t="str">
        <x:v>Internship Program</x:v>
      </x:c>
      <x:c r="D80" t="str">
        <x:v>Diễn giả/chuyên gia</x:v>
      </x:c>
      <x:c r="E80" t="str">
        <x:v>Công ty Thiết kế BrandLab</x:v>
      </x:c>
      <x:c r="F80" t="str">
        <x:v>Thanh toán diễn giả/chuyên gia cho Internship Program</x:v>
      </x:c>
      <x:c r="G80" t="n">
        <x:v>75000000</x:v>
      </x:c>
      <x:c r="H80" t="n">
        <x:f>G80*10%</x:f>
        <x:v>7500000</x:v>
      </x:c>
      <x:c r="I80" t="n">
        <x:f>G80+H80</x:f>
        <x:v>82500000</x:v>
      </x:c>
      <x:c r="J80" t="str">
        <x:v>Đã gửi duyệt</x:v>
      </x:c>
      <x:c r="K80" t="str">
        <x:v>Trần Hoàng Long</x:v>
      </x:c>
      <x:c r="L80" t="str">
        <x:v>DT-CAID-2026-120</x:v>
      </x:c>
      <x:c r="M80" t="str">
        <x:v>Có</x:v>
      </x:c>
      <x:c r="N80" t="str">
        <x:v>Không</x:v>
      </x:c>
      <x:c r="O80" t="str">
        <x:v>Hồ sơ mẫu dùng cho quy trình đề nghị thanh toán</x:v>
      </x:c>
    </x:row>
    <x:row r="81">
      <x:c r="A81" t="str">
        <x:v>PR-CAID-2026-080</x:v>
      </x:c>
      <x:c r="B81" t="n">
        <x:v>46247</x:v>
      </x:c>
      <x:c r="C81" t="str">
        <x:v>MoU Signing</x:v>
      </x:c>
      <x:c r="D81" t="str">
        <x:v>Thuê địa điểm</x:v>
      </x:c>
      <x:c r="E81" t="str">
        <x:v>Công ty Truyền thông Apex</x:v>
      </x:c>
      <x:c r="F81" t="str">
        <x:v>Thanh toán thuê địa điểm cho MoU Signing</x:v>
      </x:c>
      <x:c r="G81" t="n">
        <x:v>8000000</x:v>
      </x:c>
      <x:c r="H81" t="n">
        <x:f>G81*10%</x:f>
        <x:v>800000</x:v>
      </x:c>
      <x:c r="I81" t="n">
        <x:f>G81+H81</x:f>
        <x:v>8800000</x:v>
      </x:c>
      <x:c r="J81" t="str">
        <x:v>Đã gửi duyệt</x:v>
      </x:c>
      <x:c r="K81" t="str">
        <x:v>Phạm Quang Huy</x:v>
      </x:c>
      <x:c r="L81" t="str">
        <x:v>DT-CAID-2026-108</x:v>
      </x:c>
      <x:c r="M81" t="str">
        <x:v>Có</x:v>
      </x:c>
      <x:c r="N81" t="str">
        <x:v>Có</x:v>
      </x:c>
      <x:c r="O81" t="str">
        <x:v>Hồ sơ mẫu dùng cho quy trình đề nghị thanh toán</x:v>
      </x:c>
    </x:row>
    <x:row r="82">
      <x:c r="A82" t="str">
        <x:v>PR-CAID-2026-081</x:v>
      </x:c>
      <x:c r="B82" t="n">
        <x:v>46285</x:v>
      </x:c>
      <x:c r="C82" t="str">
        <x:v>Donor Stewardship</x:v>
      </x:c>
      <x:c r="D82" t="str">
        <x:v>Diễn giả/chuyên gia</x:v>
      </x:c>
      <x:c r="E82" t="str">
        <x:v>Công ty Digital Growth</x:v>
      </x:c>
      <x:c r="F82" t="str">
        <x:v>Thanh toán diễn giả/chuyên gia cho Donor Stewardship</x:v>
      </x:c>
      <x:c r="G82" t="n">
        <x:v>100000000</x:v>
      </x:c>
      <x:c r="H82" t="n">
        <x:f>G82*10%</x:f>
        <x:v>10000000</x:v>
      </x:c>
      <x:c r="I82" t="n">
        <x:f>G82+H82</x:f>
        <x:v>110000000</x:v>
      </x:c>
      <x:c r="J82" t="str">
        <x:v>Đã duyệt</x:v>
      </x:c>
      <x:c r="K82" t="str">
        <x:v>Hoàng Gia Bảo</x:v>
      </x:c>
      <x:c r="L82" t="str">
        <x:v>DT-CAID-2026-041</x:v>
      </x:c>
      <x:c r="M82" t="str">
        <x:v>Không</x:v>
      </x:c>
      <x:c r="N82" t="str">
        <x:v>Không</x:v>
      </x:c>
      <x:c r="O82" t="str">
        <x:v>Hồ sơ mẫu dùng cho quy trình đề nghị thanh toán</x:v>
      </x:c>
    </x:row>
    <x:row r="83">
      <x:c r="A83" t="str">
        <x:v>PR-CAID-2026-082</x:v>
      </x:c>
      <x:c r="B83" t="n">
        <x:v>46322</x:v>
      </x:c>
      <x:c r="C83" t="str">
        <x:v>MoU Signing</x:v>
      </x:c>
      <x:c r="D83" t="str">
        <x:v>Quà tặng đối tác</x:v>
      </x:c>
      <x:c r="E83" t="str">
        <x:v>Công ty Sự kiện BizConnect</x:v>
      </x:c>
      <x:c r="F83" t="str">
        <x:v>Thanh toán quà tặng đối tác cho MoU Signing</x:v>
      </x:c>
      <x:c r="G83" t="n">
        <x:v>50000000</x:v>
      </x:c>
      <x:c r="H83" t="n">
        <x:f>G83*10%</x:f>
        <x:v>5000000</x:v>
      </x:c>
      <x:c r="I83" t="n">
        <x:f>G83+H83</x:f>
        <x:v>55000000</x:v>
      </x:c>
      <x:c r="J83" t="str">
        <x:v>Đã gửi duyệt</x:v>
      </x:c>
      <x:c r="K83" t="str">
        <x:v>Phạm Quang Huy</x:v>
      </x:c>
      <x:c r="L83" t="str">
        <x:v>DT-CAID-2026-130</x:v>
      </x:c>
      <x:c r="M83" t="str">
        <x:v>Không</x:v>
      </x:c>
      <x:c r="N83" t="str">
        <x:v>Có</x:v>
      </x:c>
      <x:c r="O83" t="str">
        <x:v>Hồ sơ mẫu dùng cho quy trình đề nghị thanh toán</x:v>
      </x:c>
    </x:row>
    <x:row r="84">
      <x:c r="A84" t="str">
        <x:v>PR-CAID-2026-083</x:v>
      </x:c>
      <x:c r="B84" t="n">
        <x:v>46335</x:v>
      </x:c>
      <x:c r="C84" t="str">
        <x:v>Employer Branding</x:v>
      </x:c>
      <x:c r="D84" t="str">
        <x:v>Tài trợ sinh viên</x:v>
      </x:c>
      <x:c r="E84" t="str">
        <x:v>Công ty Sự kiện BizConnect</x:v>
      </x:c>
      <x:c r="F84" t="str">
        <x:v>Thanh toán tài trợ sinh viên cho Employer Branding</x:v>
      </x:c>
      <x:c r="G84" t="n">
        <x:v>20000000</x:v>
      </x:c>
      <x:c r="H84" t="n">
        <x:f>G84*10%</x:f>
        <x:v>2000000</x:v>
      </x:c>
      <x:c r="I84" t="n">
        <x:f>G84+H84</x:f>
        <x:v>22000000</x:v>
      </x:c>
      <x:c r="J84" t="str">
        <x:v>Đã gửi duyệt</x:v>
      </x:c>
      <x:c r="K84" t="str">
        <x:v>Phạm Quang Huy</x:v>
      </x:c>
      <x:c r="L84" t="str">
        <x:v>DT-CAID-2026-121</x:v>
      </x:c>
      <x:c r="M84" t="str">
        <x:v>Không</x:v>
      </x:c>
      <x:c r="N84" t="str">
        <x:v>Có</x:v>
      </x:c>
      <x:c r="O84" t="str">
        <x:v>Hồ sơ mẫu dùng cho quy trình đề nghị thanh toán</x:v>
      </x:c>
    </x:row>
    <x:row r="85">
      <x:c r="A85" t="str">
        <x:v>PR-CAID-2026-084</x:v>
      </x:c>
      <x:c r="B85" t="n">
        <x:v>46372</x:v>
      </x:c>
      <x:c r="C85" t="str">
        <x:v>Donor Stewardship</x:v>
      </x:c>
      <x:c r="D85" t="str">
        <x:v>Tiếp khách doanh nghiệp</x:v>
      </x:c>
      <x:c r="E85" t="str">
        <x:v>Khách sạn Grand Hanoi</x:v>
      </x:c>
      <x:c r="F85" t="str">
        <x:v>Thanh toán tiếp khách doanh nghiệp cho Donor Stewardship</x:v>
      </x:c>
      <x:c r="G85" t="n">
        <x:v>35000000</x:v>
      </x:c>
      <x:c r="H85" t="n">
        <x:f>G85*10%</x:f>
        <x:v>3500000</x:v>
      </x:c>
      <x:c r="I85" t="n">
        <x:f>G85+H85</x:f>
        <x:v>38500000</x:v>
      </x:c>
      <x:c r="J85" t="str">
        <x:v>Cần bổ sung hồ sơ</x:v>
      </x:c>
      <x:c r="K85" t="str">
        <x:v>Vũ Khánh Linh</x:v>
      </x:c>
      <x:c r="L85" t="str">
        <x:v>DT-CAID-2026-094</x:v>
      </x:c>
      <x:c r="M85" t="str">
        <x:v>Không</x:v>
      </x:c>
      <x:c r="N85" t="str">
        <x:v>Không</x:v>
      </x:c>
      <x:c r="O85" t="str">
        <x:v>Hồ sơ mẫu dùng cho quy trình đề nghị thanh toán</x:v>
      </x:c>
    </x:row>
    <x:row r="86">
      <x:c r="A86" t="str">
        <x:v>PR-CAID-2026-085</x:v>
      </x:c>
      <x:c r="B86" t="n">
        <x:v>46045</x:v>
      </x:c>
      <x:c r="C86" t="str">
        <x:v>Corporate Partnership</x:v>
      </x:c>
      <x:c r="D86" t="str">
        <x:v>Di chuyển công tác</x:v>
      </x:c>
      <x:c r="E86" t="str">
        <x:v>Công ty CareerHub Việt Nam</x:v>
      </x:c>
      <x:c r="F86" t="str">
        <x:v>Thanh toán di chuyển công tác cho Corporate Partnership</x:v>
      </x:c>
      <x:c r="G86" t="n">
        <x:v>3000000</x:v>
      </x:c>
      <x:c r="H86" t="n">
        <x:f>G86*10%</x:f>
        <x:v>300000</x:v>
      </x:c>
      <x:c r="I86" t="n">
        <x:f>G86+H86</x:f>
        <x:v>3300000</x:v>
      </x:c>
      <x:c r="J86" t="str">
        <x:v>Đã thanh toán</x:v>
      </x:c>
      <x:c r="K86" t="str">
        <x:v>Lê Thu Hà</x:v>
      </x:c>
      <x:c r="L86" t="str">
        <x:v>DT-CAID-2026-142</x:v>
      </x:c>
      <x:c r="M86" t="str">
        <x:v>Không</x:v>
      </x:c>
      <x:c r="N86" t="str">
        <x:v>Có</x:v>
      </x:c>
      <x:c r="O86" t="str">
        <x:v>Hồ sơ mẫu dùng cho quy trình đề nghị thanh toán</x:v>
      </x:c>
    </x:row>
    <x:row r="87">
      <x:c r="A87" t="str">
        <x:v>PR-CAID-2026-086</x:v>
      </x:c>
      <x:c r="B87" t="n">
        <x:v>46058</x:v>
      </x:c>
      <x:c r="C87" t="str">
        <x:v>Scholarship Donor Program</x:v>
      </x:c>
      <x:c r="D87" t="str">
        <x:v>Phần mềm CRM</x:v>
      </x:c>
      <x:c r="E87" t="str">
        <x:v>Công ty Alumni Network</x:v>
      </x:c>
      <x:c r="F87" t="str">
        <x:v>Thanh toán phần mềm crm cho Scholarship Donor Program</x:v>
      </x:c>
      <x:c r="G87" t="n">
        <x:v>50000000</x:v>
      </x:c>
      <x:c r="H87" t="n">
        <x:f>G87*10%</x:f>
        <x:v>5000000</x:v>
      </x:c>
      <x:c r="I87" t="n">
        <x:f>G87+H87</x:f>
        <x:v>55000000</x:v>
      </x:c>
      <x:c r="J87" t="str">
        <x:v>Đã thanh toán</x:v>
      </x:c>
      <x:c r="K87" t="str">
        <x:v>Hoàng Gia Bảo</x:v>
      </x:c>
      <x:c r="L87" t="str">
        <x:v>DT-CAID-2026-031</x:v>
      </x:c>
      <x:c r="M87" t="str">
        <x:v>Có</x:v>
      </x:c>
      <x:c r="N87" t="str">
        <x:v>Có</x:v>
      </x:c>
      <x:c r="O87" t="str">
        <x:v>Hồ sơ mẫu dùng cho quy trình đề nghị thanh toán</x:v>
      </x:c>
    </x:row>
    <x:row r="88">
      <x:c r="A88" t="str">
        <x:v>PR-CAID-2026-087</x:v>
      </x:c>
      <x:c r="B88" t="n">
        <x:v>46093</x:v>
      </x:c>
      <x:c r="C88" t="str">
        <x:v>Scholarship Donor Program</x:v>
      </x:c>
      <x:c r="D88" t="str">
        <x:v>Diễn giả/chuyên gia</x:v>
      </x:c>
      <x:c r="E88" t="str">
        <x:v>Công ty Thiết kế BrandLab</x:v>
      </x:c>
      <x:c r="F88" t="str">
        <x:v>Thanh toán diễn giả/chuyên gia cho Scholarship Donor Program</x:v>
      </x:c>
      <x:c r="G88" t="n">
        <x:v>20000000</x:v>
      </x:c>
      <x:c r="H88" t="n">
        <x:f>G88*10%</x:f>
        <x:v>2000000</x:v>
      </x:c>
      <x:c r="I88" t="n">
        <x:f>G88+H88</x:f>
        <x:v>22000000</x:v>
      </x:c>
      <x:c r="J88" t="str">
        <x:v>Cần bổ sung hồ sơ</x:v>
      </x:c>
      <x:c r="K88" t="str">
        <x:v>Hoàng Gia Bảo</x:v>
      </x:c>
      <x:c r="L88" t="str">
        <x:v>DT-CAID-2026-037</x:v>
      </x:c>
      <x:c r="M88" t="str">
        <x:v>Có</x:v>
      </x:c>
      <x:c r="N88" t="str">
        <x:v>Không</x:v>
      </x:c>
      <x:c r="O88" t="str">
        <x:v>Hồ sơ mẫu dùng cho quy trình đề nghị thanh toán</x:v>
      </x:c>
    </x:row>
    <x:row r="89">
      <x:c r="A89" t="str">
        <x:v>PR-CAID-2026-088</x:v>
      </x:c>
      <x:c r="B89" t="n">
        <x:v>46131</x:v>
      </x:c>
      <x:c r="C89" t="str">
        <x:v>Company Visit</x:v>
      </x:c>
      <x:c r="D89" t="str">
        <x:v>Tổ chức sự kiện</x:v>
      </x:c>
      <x:c r="E89" t="str">
        <x:v>Công ty Sự kiện BizConnect</x:v>
      </x:c>
      <x:c r="F89" t="str">
        <x:v>Thanh toán tổ chức sự kiện cho Company Visit</x:v>
      </x:c>
      <x:c r="G89" t="n">
        <x:v>3000000</x:v>
      </x:c>
      <x:c r="H89" t="n">
        <x:f>G89*10%</x:f>
        <x:v>300000</x:v>
      </x:c>
      <x:c r="I89" t="n">
        <x:f>G89+H89</x:f>
        <x:v>3300000</x:v>
      </x:c>
      <x:c r="J89" t="str">
        <x:v>Đã gửi duyệt</x:v>
      </x:c>
      <x:c r="K89" t="str">
        <x:v>Lê Thu Hà</x:v>
      </x:c>
      <x:c r="L89" t="str">
        <x:v>DT-CAID-2026-122</x:v>
      </x:c>
      <x:c r="M89" t="str">
        <x:v>Không</x:v>
      </x:c>
      <x:c r="N89" t="str">
        <x:v>Có</x:v>
      </x:c>
      <x:c r="O89" t="str">
        <x:v>Hồ sơ mẫu dùng cho quy trình đề nghị thanh toán</x:v>
      </x:c>
    </x:row>
    <x:row r="90">
      <x:c r="A90" t="str">
        <x:v>PR-CAID-2026-089</x:v>
      </x:c>
      <x:c r="B90" t="n">
        <x:v>46168</x:v>
      </x:c>
      <x:c r="C90" t="str">
        <x:v>Industry Advisory Board</x:v>
      </x:c>
      <x:c r="D90" t="str">
        <x:v>Phần mềm CRM</x:v>
      </x:c>
      <x:c r="E90" t="str">
        <x:v>Nền tảng CRM EduPartner</x:v>
      </x:c>
      <x:c r="F90" t="str">
        <x:v>Thanh toán phần mềm crm cho Industry Advisory Board</x:v>
      </x:c>
      <x:c r="G90" t="n">
        <x:v>8000000</x:v>
      </x:c>
      <x:c r="H90" t="n">
        <x:f>G90*10%</x:f>
        <x:v>800000</x:v>
      </x:c>
      <x:c r="I90" t="n">
        <x:f>G90+H90</x:f>
        <x:v>8800000</x:v>
      </x:c>
      <x:c r="J90" t="str">
        <x:v>Cần bổ sung hồ sơ</x:v>
      </x:c>
      <x:c r="K90" t="str">
        <x:v>Lê Thu Hà</x:v>
      </x:c>
      <x:c r="L90" t="str">
        <x:v>DT-CAID-2026-042</x:v>
      </x:c>
      <x:c r="M90" t="str">
        <x:v>Không</x:v>
      </x:c>
      <x:c r="N90" t="str">
        <x:v>Không</x:v>
      </x:c>
      <x:c r="O90" t="str">
        <x:v>Hồ sơ mẫu dùng cho quy trình đề nghị thanh toán</x:v>
      </x:c>
    </x:row>
    <x:row r="91">
      <x:c r="A91" t="str">
        <x:v>PR-CAID-2026-090</x:v>
      </x:c>
      <x:c r="B91" t="n">
        <x:v>46181</x:v>
      </x:c>
      <x:c r="C91" t="str">
        <x:v>Industry Advisory Board</x:v>
      </x:c>
      <x:c r="D91" t="str">
        <x:v>Diễn giả/chuyên gia</x:v>
      </x:c>
      <x:c r="E91" t="str">
        <x:v>Công ty Fundraising Solutions</x:v>
      </x:c>
      <x:c r="F91" t="str">
        <x:v>Thanh toán diễn giả/chuyên gia cho Industry Advisory Board</x:v>
      </x:c>
      <x:c r="G91" t="n">
        <x:v>75000000</x:v>
      </x:c>
      <x:c r="H91" t="n">
        <x:f>G91*10%</x:f>
        <x:v>7500000</x:v>
      </x:c>
      <x:c r="I91" t="n">
        <x:f>G91+H91</x:f>
        <x:v>82500000</x:v>
      </x:c>
      <x:c r="J91" t="str">
        <x:v>Đã thanh toán</x:v>
      </x:c>
      <x:c r="K91" t="str">
        <x:v>Phạm Quang Huy</x:v>
      </x:c>
      <x:c r="L91" t="str">
        <x:v>DT-CAID-2026-145</x:v>
      </x:c>
      <x:c r="M91" t="str">
        <x:v>Không</x:v>
      </x:c>
      <x:c r="N91" t="str">
        <x:v>Không</x:v>
      </x:c>
      <x:c r="O91" t="str">
        <x:v>Hồ sơ mẫu dùng cho quy trình đề nghị thanh toán</x:v>
      </x:c>
    </x:row>
    <x:row r="92">
      <x:c r="A92" t="str">
        <x:v>PR-CAID-2026-091</x:v>
      </x:c>
      <x:c r="B92" t="n">
        <x:v>46218</x:v>
      </x:c>
      <x:c r="C92" t="str">
        <x:v>Donor Stewardship</x:v>
      </x:c>
      <x:c r="D92" t="str">
        <x:v>Tổ chức sự kiện</x:v>
      </x:c>
      <x:c r="E92" t="str">
        <x:v>Nền tảng CRM EduPartner</x:v>
      </x:c>
      <x:c r="F92" t="str">
        <x:v>Thanh toán tổ chức sự kiện cho Donor Stewardship</x:v>
      </x:c>
      <x:c r="G92" t="n">
        <x:v>20000000</x:v>
      </x:c>
      <x:c r="H92" t="n">
        <x:f>G92*10%</x:f>
        <x:v>2000000</x:v>
      </x:c>
      <x:c r="I92" t="n">
        <x:f>G92+H92</x:f>
        <x:v>22000000</x:v>
      </x:c>
      <x:c r="J92" t="str">
        <x:v>Đã thanh toán</x:v>
      </x:c>
      <x:c r="K92" t="str">
        <x:v>Phạm Quang Huy</x:v>
      </x:c>
      <x:c r="L92" t="str">
        <x:v>DT-CAID-2026-150</x:v>
      </x:c>
      <x:c r="M92" t="str">
        <x:v>Không</x:v>
      </x:c>
      <x:c r="N92" t="str">
        <x:v>Có</x:v>
      </x:c>
      <x:c r="O92" t="str">
        <x:v>Hồ sơ mẫu dùng cho quy trình đề nghị thanh toán</x:v>
      </x:c>
    </x:row>
    <x:row r="93">
      <x:c r="A93" t="str">
        <x:v>PR-CAID-2026-092</x:v>
      </x:c>
      <x:c r="B93" t="n">
        <x:v>46256</x:v>
      </x:c>
      <x:c r="C93" t="str">
        <x:v>Industry Advisory Board</x:v>
      </x:c>
      <x:c r="D93" t="str">
        <x:v>In ấn tài liệu</x:v>
      </x:c>
      <x:c r="E93" t="str">
        <x:v>Công ty HR Bridge</x:v>
      </x:c>
      <x:c r="F93" t="str">
        <x:v>Thanh toán in ấn tài liệu cho Industry Advisory Board</x:v>
      </x:c>
      <x:c r="G93" t="n">
        <x:v>15000000</x:v>
      </x:c>
      <x:c r="H93" t="n">
        <x:f>G93*10%</x:f>
        <x:v>1500000</x:v>
      </x:c>
      <x:c r="I93" t="n">
        <x:f>G93+H93</x:f>
        <x:v>16500000</x:v>
      </x:c>
      <x:c r="J93" t="str">
        <x:v>Đã thanh toán</x:v>
      </x:c>
      <x:c r="K93" t="str">
        <x:v>Hoàng Gia Bảo</x:v>
      </x:c>
      <x:c r="L93" t="str">
        <x:v>DT-CAID-2026-149</x:v>
      </x:c>
      <x:c r="M93" t="str">
        <x:v>Có</x:v>
      </x:c>
      <x:c r="N93" t="str">
        <x:v>Có</x:v>
      </x:c>
      <x:c r="O93" t="str">
        <x:v>Hồ sơ mẫu dùng cho quy trình đề nghị thanh toán</x:v>
      </x:c>
    </x:row>
    <x:row r="94">
      <x:c r="A94" t="str">
        <x:v>PR-CAID-2026-093</x:v>
      </x:c>
      <x:c r="B94" t="n">
        <x:v>46269</x:v>
      </x:c>
      <x:c r="C94" t="str">
        <x:v>Industry Advisory Board</x:v>
      </x:c>
      <x:c r="D94" t="str">
        <x:v>In ấn tài liệu</x:v>
      </x:c>
      <x:c r="E94" t="str">
        <x:v>Công ty Thiết kế BrandLab</x:v>
      </x:c>
      <x:c r="F94" t="str">
        <x:v>Thanh toán in ấn tài liệu cho Industry Advisory Board</x:v>
      </x:c>
      <x:c r="G94" t="n">
        <x:v>8000000</x:v>
      </x:c>
      <x:c r="H94" t="n">
        <x:f>G94*10%</x:f>
        <x:v>800000</x:v>
      </x:c>
      <x:c r="I94" t="n">
        <x:f>G94+H94</x:f>
        <x:v>8800000</x:v>
      </x:c>
      <x:c r="J94" t="str">
        <x:v>Đã thanh toán</x:v>
      </x:c>
      <x:c r="K94" t="str">
        <x:v>Đỗ Bảo Ngọc</x:v>
      </x:c>
      <x:c r="L94" t="str">
        <x:v>DT-CAID-2026-098</x:v>
      </x:c>
      <x:c r="M94" t="str">
        <x:v>Có</x:v>
      </x:c>
      <x:c r="N94" t="str">
        <x:v>Có</x:v>
      </x:c>
      <x:c r="O94" t="str">
        <x:v>Hồ sơ mẫu dùng cho quy trình đề nghị thanh toán</x:v>
      </x:c>
    </x:row>
    <x:row r="95">
      <x:c r="A95" t="str">
        <x:v>PR-CAID-2026-094</x:v>
      </x:c>
      <x:c r="B95" t="n">
        <x:v>46306</x:v>
      </x:c>
      <x:c r="C95" t="str">
        <x:v>Corporate Partnership</x:v>
      </x:c>
      <x:c r="D95" t="str">
        <x:v>Tài trợ sinh viên</x:v>
      </x:c>
      <x:c r="E95" t="str">
        <x:v>Công ty In ấn Minh Long</x:v>
      </x:c>
      <x:c r="F95" t="str">
        <x:v>Thanh toán tài trợ sinh viên cho Corporate Partnership</x:v>
      </x:c>
      <x:c r="G95" t="n">
        <x:v>5000000</x:v>
      </x:c>
      <x:c r="H95" t="n">
        <x:f>G95*10%</x:f>
        <x:v>500000</x:v>
      </x:c>
      <x:c r="I95" t="n">
        <x:f>G95+H95</x:f>
        <x:v>5500000</x:v>
      </x:c>
      <x:c r="J95" t="str">
        <x:v>Nháp</x:v>
      </x:c>
      <x:c r="K95" t="str">
        <x:v>Lê Thu Hà</x:v>
      </x:c>
      <x:c r="L95" t="str">
        <x:v>DT-CAID-2026-108</x:v>
      </x:c>
      <x:c r="M95" t="str">
        <x:v>Có</x:v>
      </x:c>
      <x:c r="N95" t="str">
        <x:v>Không</x:v>
      </x:c>
      <x:c r="O95" t="str">
        <x:v>Hồ sơ mẫu dùng cho quy trình đề nghị thanh toán</x:v>
      </x:c>
    </x:row>
    <x:row r="96">
      <x:c r="A96" t="str">
        <x:v>PR-CAID-2026-095</x:v>
      </x:c>
      <x:c r="B96" t="n">
        <x:v>46344</x:v>
      </x:c>
      <x:c r="C96" t="str">
        <x:v>Corporate Training</x:v>
      </x:c>
      <x:c r="D96" t="str">
        <x:v>Thuê địa điểm</x:v>
      </x:c>
      <x:c r="E96" t="str">
        <x:v>Công ty Thiết kế BrandLab</x:v>
      </x:c>
      <x:c r="F96" t="str">
        <x:v>Thanh toán thuê địa điểm cho Corporate Training</x:v>
      </x:c>
      <x:c r="G96" t="n">
        <x:v>35000000</x:v>
      </x:c>
      <x:c r="H96" t="n">
        <x:f>G96*10%</x:f>
        <x:v>3500000</x:v>
      </x:c>
      <x:c r="I96" t="n">
        <x:f>G96+H96</x:f>
        <x:v>38500000</x:v>
      </x:c>
      <x:c r="J96" t="str">
        <x:v>Đã thanh toán</x:v>
      </x:c>
      <x:c r="K96" t="str">
        <x:v>Phạm Quang Huy</x:v>
      </x:c>
      <x:c r="L96" t="str">
        <x:v>DT-CAID-2026-016</x:v>
      </x:c>
      <x:c r="M96" t="str">
        <x:v>Có</x:v>
      </x:c>
      <x:c r="N96" t="str">
        <x:v>Có</x:v>
      </x:c>
      <x:c r="O96" t="str">
        <x:v>Hồ sơ mẫu dùng cho quy trình đề nghị thanh toán</x:v>
      </x:c>
    </x:row>
    <x:row r="97">
      <x:c r="A97" t="str">
        <x:v>PR-CAID-2026-096</x:v>
      </x:c>
      <x:c r="B97" t="n">
        <x:v>46381</x:v>
      </x:c>
      <x:c r="C97" t="str">
        <x:v>Company Visit</x:v>
      </x:c>
      <x:c r="D97" t="str">
        <x:v>Diễn giả/chuyên gia</x:v>
      </x:c>
      <x:c r="E97" t="str">
        <x:v>Công ty Logistics FastGo</x:v>
      </x:c>
      <x:c r="F97" t="str">
        <x:v>Thanh toán diễn giả/chuyên gia cho Company Visit</x:v>
      </x:c>
      <x:c r="G97" t="n">
        <x:v>150000000</x:v>
      </x:c>
      <x:c r="H97" t="n">
        <x:f>G97*10%</x:f>
        <x:v>15000000</x:v>
      </x:c>
      <x:c r="I97" t="n">
        <x:f>G97+H97</x:f>
        <x:v>165000000</x:v>
      </x:c>
      <x:c r="J97" t="str">
        <x:v>Đã thanh toán</x:v>
      </x:c>
      <x:c r="K97" t="str">
        <x:v>Lê Thu Hà</x:v>
      </x:c>
      <x:c r="L97" t="str">
        <x:v>DT-CAID-2026-045</x:v>
      </x:c>
      <x:c r="M97" t="str">
        <x:v>Không</x:v>
      </x:c>
      <x:c r="N97" t="str">
        <x:v>Không</x:v>
      </x:c>
      <x:c r="O97" t="str">
        <x:v>Hồ sơ mẫu dùng cho quy trình đề nghị thanh toán</x:v>
      </x:c>
    </x:row>
    <x:row r="98">
      <x:c r="A98" t="str">
        <x:v>PR-CAID-2026-097</x:v>
      </x:c>
      <x:c r="B98" t="n">
        <x:v>46029</x:v>
      </x:c>
      <x:c r="C98" t="str">
        <x:v>Company Visit</x:v>
      </x:c>
      <x:c r="D98" t="str">
        <x:v>Diễn giả/chuyên gia</x:v>
      </x:c>
      <x:c r="E98" t="str">
        <x:v>Công ty Alumni Network</x:v>
      </x:c>
      <x:c r="F98" t="str">
        <x:v>Thanh toán diễn giả/chuyên gia cho Company Visit</x:v>
      </x:c>
      <x:c r="G98" t="n">
        <x:v>150000000</x:v>
      </x:c>
      <x:c r="H98" t="n">
        <x:f>G98*10%</x:f>
        <x:v>15000000</x:v>
      </x:c>
      <x:c r="I98" t="n">
        <x:f>G98+H98</x:f>
        <x:v>165000000</x:v>
      </x:c>
      <x:c r="J98" t="str">
        <x:v>Từ chối</x:v>
      </x:c>
      <x:c r="K98" t="str">
        <x:v>Vũ Khánh Linh</x:v>
      </x:c>
      <x:c r="L98" t="str">
        <x:v>DT-CAID-2026-068</x:v>
      </x:c>
      <x:c r="M98" t="str">
        <x:v>Không</x:v>
      </x:c>
      <x:c r="N98" t="str">
        <x:v>Có</x:v>
      </x:c>
      <x:c r="O98" t="str">
        <x:v>Hồ sơ mẫu dùng cho quy trình đề nghị thanh toán</x:v>
      </x:c>
    </x:row>
    <x:row r="99">
      <x:c r="A99" t="str">
        <x:v>PR-CAID-2026-098</x:v>
      </x:c>
      <x:c r="B99" t="n">
        <x:v>46067</x:v>
      </x:c>
      <x:c r="C99" t="str">
        <x:v>Employer Branding</x:v>
      </x:c>
      <x:c r="D99" t="str">
        <x:v>Quà tặng đối tác</x:v>
      </x:c>
      <x:c r="E99" t="str">
        <x:v>Công ty Quà tặng Việt</x:v>
      </x:c>
      <x:c r="F99" t="str">
        <x:v>Thanh toán quà tặng đối tác cho Employer Branding</x:v>
      </x:c>
      <x:c r="G99" t="n">
        <x:v>75000000</x:v>
      </x:c>
      <x:c r="H99" t="n">
        <x:f>G99*10%</x:f>
        <x:v>7500000</x:v>
      </x:c>
      <x:c r="I99" t="n">
        <x:f>G99+H99</x:f>
        <x:v>82500000</x:v>
      </x:c>
      <x:c r="J99" t="str">
        <x:v>Đã duyệt</x:v>
      </x:c>
      <x:c r="K99" t="str">
        <x:v>Lê Thu Hà</x:v>
      </x:c>
      <x:c r="L99" t="str">
        <x:v>DT-CAID-2026-074</x:v>
      </x:c>
      <x:c r="M99" t="str">
        <x:v>Có</x:v>
      </x:c>
      <x:c r="N99" t="str">
        <x:v>Không</x:v>
      </x:c>
      <x:c r="O99" t="str">
        <x:v>Hồ sơ mẫu dùng cho quy trình đề nghị thanh toán</x:v>
      </x:c>
    </x:row>
    <x:row r="100">
      <x:c r="A100" t="str">
        <x:v>PR-CAID-2026-099</x:v>
      </x:c>
      <x:c r="B100" t="n">
        <x:v>46102</x:v>
      </x:c>
      <x:c r="C100" t="str">
        <x:v>Fundraising Campaign</x:v>
      </x:c>
      <x:c r="D100" t="str">
        <x:v>In ấn tài liệu</x:v>
      </x:c>
      <x:c r="E100" t="str">
        <x:v>Công ty EventPro</x:v>
      </x:c>
      <x:c r="F100" t="str">
        <x:v>Thanh toán in ấn tài liệu cho Fundraising Campaign</x:v>
      </x:c>
      <x:c r="G100" t="n">
        <x:v>200000000</x:v>
      </x:c>
      <x:c r="H100" t="n">
        <x:f>G100*10%</x:f>
        <x:v>20000000</x:v>
      </x:c>
      <x:c r="I100" t="n">
        <x:f>G100+H100</x:f>
        <x:v>220000000</x:v>
      </x:c>
      <x:c r="J100" t="str">
        <x:v>Cần bổ sung hồ sơ</x:v>
      </x:c>
      <x:c r="K100" t="str">
        <x:v>Vũ Khánh Linh</x:v>
      </x:c>
      <x:c r="L100" t="str">
        <x:v>DT-CAID-2026-071</x:v>
      </x:c>
      <x:c r="M100" t="str">
        <x:v>Không</x:v>
      </x:c>
      <x:c r="N100" t="str">
        <x:v>Có</x:v>
      </x:c>
      <x:c r="O100" t="str">
        <x:v>Hồ sơ mẫu dùng cho quy trình đề nghị thanh toán</x:v>
      </x:c>
    </x:row>
    <x:row r="101">
      <x:c r="A101" t="str">
        <x:v>PR-CAID-2026-100</x:v>
      </x:c>
      <x:c r="B101" t="n">
        <x:v>46115</x:v>
      </x:c>
      <x:c r="C101" t="str">
        <x:v>Industry Advisory Board</x:v>
      </x:c>
      <x:c r="D101" t="str">
        <x:v>Hội thảo doanh nghiệp</x:v>
      </x:c>
      <x:c r="E101" t="str">
        <x:v>Trung tâm Hội nghị Skyline</x:v>
      </x:c>
      <x:c r="F101" t="str">
        <x:v>Thanh toán hội thảo doanh nghiệp cho Industry Advisory Board</x:v>
      </x:c>
      <x:c r="G101" t="n">
        <x:v>75000000</x:v>
      </x:c>
      <x:c r="H101" t="n">
        <x:f>G101*10%</x:f>
        <x:v>7500000</x:v>
      </x:c>
      <x:c r="I101" t="n">
        <x:f>G101+H101</x:f>
        <x:v>82500000</x:v>
      </x:c>
      <x:c r="J101" t="str">
        <x:v>Cần bổ sung hồ sơ</x:v>
      </x:c>
      <x:c r="K101" t="str">
        <x:v>Phạm Quang Huy</x:v>
      </x:c>
      <x:c r="L101" t="str">
        <x:v>DT-CAID-2026-089</x:v>
      </x:c>
      <x:c r="M101" t="str">
        <x:v>Có</x:v>
      </x:c>
      <x:c r="N101" t="str">
        <x:v>Không</x:v>
      </x:c>
      <x:c r="O101" t="str">
        <x:v>Hồ sơ mẫu dùng cho quy trình đề nghị thanh toán</x:v>
      </x:c>
    </x:row>
    <x:row r="102">
      <x:c r="A102" t="str">
        <x:v>PR-CAID-2026-101</x:v>
      </x:c>
      <x:c r="B102" t="n">
        <x:v>46152</x:v>
      </x:c>
      <x:c r="C102" t="str">
        <x:v>Corporate Partnership</x:v>
      </x:c>
      <x:c r="D102" t="str">
        <x:v>Quà tặng đối tác</x:v>
      </x:c>
      <x:c r="E102" t="str">
        <x:v>Nền tảng CRM EduPartner</x:v>
      </x:c>
      <x:c r="F102" t="str">
        <x:v>Thanh toán quà tặng đối tác cho Corporate Partnership</x:v>
      </x:c>
      <x:c r="G102" t="n">
        <x:v>5000000</x:v>
      </x:c>
      <x:c r="H102" t="n">
        <x:f>G102*10%</x:f>
        <x:v>500000</x:v>
      </x:c>
      <x:c r="I102" t="n">
        <x:f>G102+H102</x:f>
        <x:v>5500000</x:v>
      </x:c>
      <x:c r="J102" t="str">
        <x:v>Cần bổ sung hồ sơ</x:v>
      </x:c>
      <x:c r="K102" t="str">
        <x:v>Vũ Khánh Linh</x:v>
      </x:c>
      <x:c r="L102" t="str">
        <x:v>DT-CAID-2026-066</x:v>
      </x:c>
      <x:c r="M102" t="str">
        <x:v>Không</x:v>
      </x:c>
      <x:c r="N102" t="str">
        <x:v>Có</x:v>
      </x:c>
      <x:c r="O102" t="str">
        <x:v>Hồ sơ mẫu dùng cho quy trình đề nghị thanh toán</x:v>
      </x:c>
    </x:row>
    <x:row r="103">
      <x:c r="A103" t="str">
        <x:v>PR-CAID-2026-102</x:v>
      </x:c>
      <x:c r="B103" t="n">
        <x:v>46190</x:v>
      </x:c>
      <x:c r="C103" t="str">
        <x:v>Employer Branding</x:v>
      </x:c>
      <x:c r="D103" t="str">
        <x:v>Phần mềm CRM</x:v>
      </x:c>
      <x:c r="E103" t="str">
        <x:v>Công ty EventPro</x:v>
      </x:c>
      <x:c r="F103" t="str">
        <x:v>Thanh toán phần mềm crm cho Employer Branding</x:v>
      </x:c>
      <x:c r="G103" t="n">
        <x:v>15000000</x:v>
      </x:c>
      <x:c r="H103" t="n">
        <x:f>G103*10%</x:f>
        <x:v>1500000</x:v>
      </x:c>
      <x:c r="I103" t="n">
        <x:f>G103+H103</x:f>
        <x:v>16500000</x:v>
      </x:c>
      <x:c r="J103" t="str">
        <x:v>Đã thanh toán</x:v>
      </x:c>
      <x:c r="K103" t="str">
        <x:v>Lê Thu Hà</x:v>
      </x:c>
      <x:c r="L103" t="str">
        <x:v>DT-CAID-2026-036</x:v>
      </x:c>
      <x:c r="M103" t="str">
        <x:v>Có</x:v>
      </x:c>
      <x:c r="N103" t="str">
        <x:v>Có</x:v>
      </x:c>
      <x:c r="O103" t="str">
        <x:v>Hồ sơ mẫu dùng cho quy trình đề nghị thanh toán</x:v>
      </x:c>
    </x:row>
    <x:row r="104">
      <x:c r="A104" t="str">
        <x:v>PR-CAID-2026-103</x:v>
      </x:c>
      <x:c r="B104" t="n">
        <x:v>46227</x:v>
      </x:c>
      <x:c r="C104" t="str">
        <x:v>Employer Branding</x:v>
      </x:c>
      <x:c r="D104" t="str">
        <x:v>Tổ chức sự kiện</x:v>
      </x:c>
      <x:c r="E104" t="str">
        <x:v>Công ty EventPro</x:v>
      </x:c>
      <x:c r="F104" t="str">
        <x:v>Thanh toán tổ chức sự kiện cho Employer Branding</x:v>
      </x:c>
      <x:c r="G104" t="n">
        <x:v>150000000</x:v>
      </x:c>
      <x:c r="H104" t="n">
        <x:f>G104*10%</x:f>
        <x:v>15000000</x:v>
      </x:c>
      <x:c r="I104" t="n">
        <x:f>G104+H104</x:f>
        <x:v>165000000</x:v>
      </x:c>
      <x:c r="J104" t="str">
        <x:v>Đã thanh toán</x:v>
      </x:c>
      <x:c r="K104" t="str">
        <x:v>Vũ Khánh Linh</x:v>
      </x:c>
      <x:c r="L104" t="str">
        <x:v>DT-CAID-2026-060</x:v>
      </x:c>
      <x:c r="M104" t="str">
        <x:v>Có</x:v>
      </x:c>
      <x:c r="N104" t="str">
        <x:v>Có</x:v>
      </x:c>
      <x:c r="O104" t="str">
        <x:v>Hồ sơ mẫu dùng cho quy trình đề nghị thanh toán</x:v>
      </x:c>
    </x:row>
    <x:row r="105">
      <x:c r="A105" t="str">
        <x:v>PR-CAID-2026-104</x:v>
      </x:c>
      <x:c r="B105" t="n">
        <x:v>46240</x:v>
      </x:c>
      <x:c r="C105" t="str">
        <x:v>Scholarship Donor Program</x:v>
      </x:c>
      <x:c r="D105" t="str">
        <x:v>Diễn giả/chuyên gia</x:v>
      </x:c>
      <x:c r="E105" t="str">
        <x:v>Công ty Truyền thông Apex</x:v>
      </x:c>
      <x:c r="F105" t="str">
        <x:v>Thanh toán diễn giả/chuyên gia cho Scholarship Donor Program</x:v>
      </x:c>
      <x:c r="G105" t="n">
        <x:v>50000000</x:v>
      </x:c>
      <x:c r="H105" t="n">
        <x:f>G105*10%</x:f>
        <x:v>5000000</x:v>
      </x:c>
      <x:c r="I105" t="n">
        <x:f>G105+H105</x:f>
        <x:v>55000000</x:v>
      </x:c>
      <x:c r="J105" t="str">
        <x:v>Đã thanh toán</x:v>
      </x:c>
      <x:c r="K105" t="str">
        <x:v>Trần Hoàng Long</x:v>
      </x:c>
      <x:c r="L105" t="str">
        <x:v>DT-CAID-2026-002</x:v>
      </x:c>
      <x:c r="M105" t="str">
        <x:v>Có</x:v>
      </x:c>
      <x:c r="N105" t="str">
        <x:v>Không</x:v>
      </x:c>
      <x:c r="O105" t="str">
        <x:v>Hồ sơ mẫu dùng cho quy trình đề nghị thanh toán</x:v>
      </x:c>
    </x:row>
    <x:row r="106">
      <x:c r="A106" t="str">
        <x:v>PR-CAID-2026-105</x:v>
      </x:c>
      <x:c r="B106" t="n">
        <x:v>46278</x:v>
      </x:c>
      <x:c r="C106" t="str">
        <x:v>Mentorship Program</x:v>
      </x:c>
      <x:c r="D106" t="str">
        <x:v>In ấn tài liệu</x:v>
      </x:c>
      <x:c r="E106" t="str">
        <x:v>Công ty HR Bridge</x:v>
      </x:c>
      <x:c r="F106" t="str">
        <x:v>Thanh toán in ấn tài liệu cho Mentorship Program</x:v>
      </x:c>
      <x:c r="G106" t="n">
        <x:v>50000000</x:v>
      </x:c>
      <x:c r="H106" t="n">
        <x:f>G106*10%</x:f>
        <x:v>5000000</x:v>
      </x:c>
      <x:c r="I106" t="n">
        <x:f>G106+H106</x:f>
        <x:v>55000000</x:v>
      </x:c>
      <x:c r="J106" t="str">
        <x:v>Đã gửi duyệt</x:v>
      </x:c>
      <x:c r="K106" t="str">
        <x:v>Lê Thu Hà</x:v>
      </x:c>
      <x:c r="L106" t="str">
        <x:v>DT-CAID-2026-083</x:v>
      </x:c>
      <x:c r="M106" t="str">
        <x:v>Không</x:v>
      </x:c>
      <x:c r="N106" t="str">
        <x:v>Có</x:v>
      </x:c>
      <x:c r="O106" t="str">
        <x:v>Hồ sơ mẫu dùng cho quy trình đề nghị thanh toán</x:v>
      </x:c>
    </x:row>
    <x:row r="107">
      <x:c r="A107" t="str">
        <x:v>PR-CAID-2026-106</x:v>
      </x:c>
      <x:c r="B107" t="n">
        <x:v>46315</x:v>
      </x:c>
      <x:c r="C107" t="str">
        <x:v>Innovation Challenge</x:v>
      </x:c>
      <x:c r="D107" t="str">
        <x:v>Tiếp khách doanh nghiệp</x:v>
      </x:c>
      <x:c r="E107" t="str">
        <x:v>Công ty CareerHub Việt Nam</x:v>
      </x:c>
      <x:c r="F107" t="str">
        <x:v>Thanh toán tiếp khách doanh nghiệp cho Innovation Challenge</x:v>
      </x:c>
      <x:c r="G107" t="n">
        <x:v>150000000</x:v>
      </x:c>
      <x:c r="H107" t="n">
        <x:f>G107*10%</x:f>
        <x:v>15000000</x:v>
      </x:c>
      <x:c r="I107" t="n">
        <x:f>G107+H107</x:f>
        <x:v>165000000</x:v>
      </x:c>
      <x:c r="J107" t="str">
        <x:v>Đã duyệt</x:v>
      </x:c>
      <x:c r="K107" t="str">
        <x:v>Vũ Khánh Linh</x:v>
      </x:c>
      <x:c r="L107" t="str">
        <x:v>DT-CAID-2026-010</x:v>
      </x:c>
      <x:c r="M107" t="str">
        <x:v>Có</x:v>
      </x:c>
      <x:c r="N107" t="str">
        <x:v>Không</x:v>
      </x:c>
      <x:c r="O107" t="str">
        <x:v>Hồ sơ mẫu dùng cho quy trình đề nghị thanh toán</x:v>
      </x:c>
    </x:row>
    <x:row r="108">
      <x:c r="A108" t="str">
        <x:v>PR-CAID-2026-107</x:v>
      </x:c>
      <x:c r="B108" t="n">
        <x:v>46353</x:v>
      </x:c>
      <x:c r="C108" t="str">
        <x:v>Innovation Challenge</x:v>
      </x:c>
      <x:c r="D108" t="str">
        <x:v>Truyền thông &amp; thiết kế</x:v>
      </x:c>
      <x:c r="E108" t="str">
        <x:v>Công ty Fundraising Solutions</x:v>
      </x:c>
      <x:c r="F108" t="str">
        <x:v>Thanh toán truyền thông &amp; thiết kế cho Innovation Challenge</x:v>
      </x:c>
      <x:c r="G108" t="n">
        <x:v>3000000</x:v>
      </x:c>
      <x:c r="H108" t="n">
        <x:f>G108*10%</x:f>
        <x:v>300000</x:v>
      </x:c>
      <x:c r="I108" t="n">
        <x:f>G108+H108</x:f>
        <x:v>3300000</x:v>
      </x:c>
      <x:c r="J108" t="str">
        <x:v>Đã duyệt</x:v>
      </x:c>
      <x:c r="K108" t="str">
        <x:v>Phạm Quang Huy</x:v>
      </x:c>
      <x:c r="L108" t="str">
        <x:v>DT-CAID-2026-048</x:v>
      </x:c>
      <x:c r="M108" t="str">
        <x:v>Không</x:v>
      </x:c>
      <x:c r="N108" t="str">
        <x:v>Có</x:v>
      </x:c>
      <x:c r="O108" t="str">
        <x:v>Hồ sơ mẫu dùng cho quy trình đề nghị thanh toán</x:v>
      </x:c>
    </x:row>
    <x:row r="109">
      <x:c r="A109" t="str">
        <x:v>PR-CAID-2026-108</x:v>
      </x:c>
      <x:c r="B109" t="n">
        <x:v>46365</x:v>
      </x:c>
      <x:c r="C109" t="str">
        <x:v>Corporate Partnership</x:v>
      </x:c>
      <x:c r="D109" t="str">
        <x:v>Quà tặng đối tác</x:v>
      </x:c>
      <x:c r="E109" t="str">
        <x:v>Công ty CareerHub Việt Nam</x:v>
      </x:c>
      <x:c r="F109" t="str">
        <x:v>Thanh toán quà tặng đối tác cho Corporate Partnership</x:v>
      </x:c>
      <x:c r="G109" t="n">
        <x:v>100000000</x:v>
      </x:c>
      <x:c r="H109" t="n">
        <x:f>G109*10%</x:f>
        <x:v>10000000</x:v>
      </x:c>
      <x:c r="I109" t="n">
        <x:f>G109+H109</x:f>
        <x:v>110000000</x:v>
      </x:c>
      <x:c r="J109" t="str">
        <x:v>Đã gửi duyệt</x:v>
      </x:c>
      <x:c r="K109" t="str">
        <x:v>Lê Thu Hà</x:v>
      </x:c>
      <x:c r="L109" t="str">
        <x:v>DT-CAID-2026-073</x:v>
      </x:c>
      <x:c r="M109" t="str">
        <x:v>Không</x:v>
      </x:c>
      <x:c r="N109" t="str">
        <x:v>Không</x:v>
      </x:c>
      <x:c r="O109" t="str">
        <x:v>Hồ sơ mẫu dùng cho quy trình đề nghị thanh toán</x:v>
      </x:c>
    </x:row>
    <x:row r="110">
      <x:c r="A110" t="str">
        <x:v>PR-CAID-2026-109</x:v>
      </x:c>
      <x:c r="B110" t="n">
        <x:v>46038</x:v>
      </x:c>
      <x:c r="C110" t="str">
        <x:v>Innovation Challenge</x:v>
      </x:c>
      <x:c r="D110" t="str">
        <x:v>Truyền thông &amp; thiết kế</x:v>
      </x:c>
      <x:c r="E110" t="str">
        <x:v>Công ty Logistics FastGo</x:v>
      </x:c>
      <x:c r="F110" t="str">
        <x:v>Thanh toán truyền thông &amp; thiết kế cho Innovation Challenge</x:v>
      </x:c>
      <x:c r="G110" t="n">
        <x:v>75000000</x:v>
      </x:c>
      <x:c r="H110" t="n">
        <x:f>G110*10%</x:f>
        <x:v>7500000</x:v>
      </x:c>
      <x:c r="I110" t="n">
        <x:f>G110+H110</x:f>
        <x:v>82500000</x:v>
      </x:c>
      <x:c r="J110" t="str">
        <x:v>Đã duyệt</x:v>
      </x:c>
      <x:c r="K110" t="str">
        <x:v>Hoàng Gia Bảo</x:v>
      </x:c>
      <x:c r="L110" t="str">
        <x:v>DT-CAID-2026-029</x:v>
      </x:c>
      <x:c r="M110" t="str">
        <x:v>Không</x:v>
      </x:c>
      <x:c r="N110" t="str">
        <x:v>Có</x:v>
      </x:c>
      <x:c r="O110" t="str">
        <x:v>Hồ sơ mẫu dùng cho quy trình đề nghị thanh toán</x:v>
      </x:c>
    </x:row>
    <x:row r="111">
      <x:c r="A111" t="str">
        <x:v>PR-CAID-2026-110</x:v>
      </x:c>
      <x:c r="B111" t="n">
        <x:v>46076</x:v>
      </x:c>
      <x:c r="C111" t="str">
        <x:v>Corporate Training</x:v>
      </x:c>
      <x:c r="D111" t="str">
        <x:v>In ấn tài liệu</x:v>
      </x:c>
      <x:c r="E111" t="str">
        <x:v>Công ty Quà tặng Việt</x:v>
      </x:c>
      <x:c r="F111" t="str">
        <x:v>Thanh toán in ấn tài liệu cho Corporate Training</x:v>
      </x:c>
      <x:c r="G111" t="n">
        <x:v>150000000</x:v>
      </x:c>
      <x:c r="H111" t="n">
        <x:f>G111*10%</x:f>
        <x:v>15000000</x:v>
      </x:c>
      <x:c r="I111" t="n">
        <x:f>G111+H111</x:f>
        <x:v>165000000</x:v>
      </x:c>
      <x:c r="J111" t="str">
        <x:v>Đã thanh toán</x:v>
      </x:c>
      <x:c r="K111" t="str">
        <x:v>Nguyễn Minh Anh</x:v>
      </x:c>
      <x:c r="L111" t="str">
        <x:v>DT-CAID-2026-087</x:v>
      </x:c>
      <x:c r="M111" t="str">
        <x:v>Không</x:v>
      </x:c>
      <x:c r="N111" t="str">
        <x:v>Có</x:v>
      </x:c>
      <x:c r="O111" t="str">
        <x:v>Hồ sơ mẫu dùng cho quy trình đề nghị thanh toán</x:v>
      </x:c>
    </x:row>
    <x:row r="112">
      <x:c r="A112" t="str">
        <x:v>PR-CAID-2026-111</x:v>
      </x:c>
      <x:c r="B112" t="n">
        <x:v>46086</x:v>
      </x:c>
      <x:c r="C112" t="str">
        <x:v>Internship Program</x:v>
      </x:c>
      <x:c r="D112" t="str">
        <x:v>Tài trợ sinh viên</x:v>
      </x:c>
      <x:c r="E112" t="str">
        <x:v>Công ty EventPro</x:v>
      </x:c>
      <x:c r="F112" t="str">
        <x:v>Thanh toán tài trợ sinh viên cho Internship Program</x:v>
      </x:c>
      <x:c r="G112" t="n">
        <x:v>150000000</x:v>
      </x:c>
      <x:c r="H112" t="n">
        <x:f>G112*10%</x:f>
        <x:v>15000000</x:v>
      </x:c>
      <x:c r="I112" t="n">
        <x:f>G112+H112</x:f>
        <x:v>165000000</x:v>
      </x:c>
      <x:c r="J112" t="str">
        <x:v>Đã duyệt</x:v>
      </x:c>
      <x:c r="K112" t="str">
        <x:v>Phạm Quang Huy</x:v>
      </x:c>
      <x:c r="L112" t="str">
        <x:v>DT-CAID-2026-132</x:v>
      </x:c>
      <x:c r="M112" t="str">
        <x:v>Không</x:v>
      </x:c>
      <x:c r="N112" t="str">
        <x:v>Có</x:v>
      </x:c>
      <x:c r="O112" t="str">
        <x:v>Hồ sơ mẫu dùng cho quy trình đề nghị thanh toán</x:v>
      </x:c>
    </x:row>
    <x:row r="113">
      <x:c r="A113" t="str">
        <x:v>PR-CAID-2026-112</x:v>
      </x:c>
      <x:c r="B113" t="n">
        <x:v>46124</x:v>
      </x:c>
      <x:c r="C113" t="str">
        <x:v>Scholarship Donor Program</x:v>
      </x:c>
      <x:c r="D113" t="str">
        <x:v>Hội thảo doanh nghiệp</x:v>
      </x:c>
      <x:c r="E113" t="str">
        <x:v>Khách sạn Grand Hanoi</x:v>
      </x:c>
      <x:c r="F113" t="str">
        <x:v>Thanh toán hội thảo doanh nghiệp cho Scholarship Donor Program</x:v>
      </x:c>
      <x:c r="G113" t="n">
        <x:v>5000000</x:v>
      </x:c>
      <x:c r="H113" t="n">
        <x:f>G113*10%</x:f>
        <x:v>500000</x:v>
      </x:c>
      <x:c r="I113" t="n">
        <x:f>G113+H113</x:f>
        <x:v>5500000</x:v>
      </x:c>
      <x:c r="J113" t="str">
        <x:v>Cần bổ sung hồ sơ</x:v>
      </x:c>
      <x:c r="K113" t="str">
        <x:v>Phạm Quang Huy</x:v>
      </x:c>
      <x:c r="L113" t="str">
        <x:v>DT-CAID-2026-083</x:v>
      </x:c>
      <x:c r="M113" t="str">
        <x:v>Có</x:v>
      </x:c>
      <x:c r="N113" t="str">
        <x:v>Có</x:v>
      </x:c>
      <x:c r="O113" t="str">
        <x:v>Hồ sơ mẫu dùng cho quy trình đề nghị thanh toán</x:v>
      </x:c>
    </x:row>
    <x:row r="114">
      <x:c r="A114" t="str">
        <x:v>PR-CAID-2026-113</x:v>
      </x:c>
      <x:c r="B114" t="n">
        <x:v>46161</x:v>
      </x:c>
      <x:c r="C114" t="str">
        <x:v>Alumni Engagement</x:v>
      </x:c>
      <x:c r="D114" t="str">
        <x:v>Di chuyển công tác</x:v>
      </x:c>
      <x:c r="E114" t="str">
        <x:v>Công ty Logistics FastGo</x:v>
      </x:c>
      <x:c r="F114" t="str">
        <x:v>Thanh toán di chuyển công tác cho Alumni Engagement</x:v>
      </x:c>
      <x:c r="G114" t="n">
        <x:v>12000000</x:v>
      </x:c>
      <x:c r="H114" t="n">
        <x:f>G114*10%</x:f>
        <x:v>1200000</x:v>
      </x:c>
      <x:c r="I114" t="n">
        <x:f>G114+H114</x:f>
        <x:v>13200000</x:v>
      </x:c>
      <x:c r="J114" t="str">
        <x:v>Đã thanh toán</x:v>
      </x:c>
      <x:c r="K114" t="str">
        <x:v>Lê Thu Hà</x:v>
      </x:c>
      <x:c r="L114" t="str">
        <x:v>DT-CAID-2026-078</x:v>
      </x:c>
      <x:c r="M114" t="str">
        <x:v>Có</x:v>
      </x:c>
      <x:c r="N114" t="str">
        <x:v>Không</x:v>
      </x:c>
      <x:c r="O114" t="str">
        <x:v>Hồ sơ mẫu dùng cho quy trình đề nghị thanh toán</x:v>
      </x:c>
    </x:row>
    <x:row r="115">
      <x:c r="A115" t="str">
        <x:v>PR-CAID-2026-114</x:v>
      </x:c>
      <x:c r="B115" t="n">
        <x:v>46199</x:v>
      </x:c>
      <x:c r="C115" t="str">
        <x:v>Mentorship Program</x:v>
      </x:c>
      <x:c r="D115" t="str">
        <x:v>Diễn giả/chuyên gia</x:v>
      </x:c>
      <x:c r="E115" t="str">
        <x:v>Công ty Sự kiện BizConnect</x:v>
      </x:c>
      <x:c r="F115" t="str">
        <x:v>Thanh toán diễn giả/chuyên gia cho Mentorship Program</x:v>
      </x:c>
      <x:c r="G115" t="n">
        <x:v>12000000</x:v>
      </x:c>
      <x:c r="H115" t="n">
        <x:f>G115*10%</x:f>
        <x:v>1200000</x:v>
      </x:c>
      <x:c r="I115" t="n">
        <x:f>G115+H115</x:f>
        <x:v>13200000</x:v>
      </x:c>
      <x:c r="J115" t="str">
        <x:v>Đã thanh toán</x:v>
      </x:c>
      <x:c r="K115" t="str">
        <x:v>Phạm Quang Huy</x:v>
      </x:c>
      <x:c r="L115" t="str">
        <x:v>DT-CAID-2026-079</x:v>
      </x:c>
      <x:c r="M115" t="str">
        <x:v>Có</x:v>
      </x:c>
      <x:c r="N115" t="str">
        <x:v>Không</x:v>
      </x:c>
      <x:c r="O115" t="str">
        <x:v>Hồ sơ mẫu dùng cho quy trình đề nghị thanh toán</x:v>
      </x:c>
    </x:row>
    <x:row r="116">
      <x:c r="A116" t="str">
        <x:v>PR-CAID-2026-115</x:v>
      </x:c>
      <x:c r="B116" t="n">
        <x:v>46211</x:v>
      </x:c>
      <x:c r="C116" t="str">
        <x:v>Mentorship Program</x:v>
      </x:c>
      <x:c r="D116" t="str">
        <x:v>Phần mềm CRM</x:v>
      </x:c>
      <x:c r="E116" t="str">
        <x:v>Công ty Digital Growth</x:v>
      </x:c>
      <x:c r="F116" t="str">
        <x:v>Thanh toán phần mềm crm cho Mentorship Program</x:v>
      </x:c>
      <x:c r="G116" t="n">
        <x:v>15000000</x:v>
      </x:c>
      <x:c r="H116" t="n">
        <x:f>G116*10%</x:f>
        <x:v>1500000</x:v>
      </x:c>
      <x:c r="I116" t="n">
        <x:f>G116+H116</x:f>
        <x:v>16500000</x:v>
      </x:c>
      <x:c r="J116" t="str">
        <x:v>Đã gửi duyệt</x:v>
      </x:c>
      <x:c r="K116" t="str">
        <x:v>Lê Thu Hà</x:v>
      </x:c>
      <x:c r="L116" t="str">
        <x:v>DT-CAID-2026-095</x:v>
      </x:c>
      <x:c r="M116" t="str">
        <x:v>Có</x:v>
      </x:c>
      <x:c r="N116" t="str">
        <x:v>Có</x:v>
      </x:c>
      <x:c r="O116" t="str">
        <x:v>Hồ sơ mẫu dùng cho quy trình đề nghị thanh toán</x:v>
      </x:c>
    </x:row>
    <x:row r="117">
      <x:c r="A117" t="str">
        <x:v>PR-CAID-2026-116</x:v>
      </x:c>
      <x:c r="B117" t="n">
        <x:v>46249</x:v>
      </x:c>
      <x:c r="C117" t="str">
        <x:v>Internship Program</x:v>
      </x:c>
      <x:c r="D117" t="str">
        <x:v>In ấn tài liệu</x:v>
      </x:c>
      <x:c r="E117" t="str">
        <x:v>Công ty Logistics FastGo</x:v>
      </x:c>
      <x:c r="F117" t="str">
        <x:v>Thanh toán in ấn tài liệu cho Internship Program</x:v>
      </x:c>
      <x:c r="G117" t="n">
        <x:v>8000000</x:v>
      </x:c>
      <x:c r="H117" t="n">
        <x:f>G117*10%</x:f>
        <x:v>800000</x:v>
      </x:c>
      <x:c r="I117" t="n">
        <x:f>G117+H117</x:f>
        <x:v>8800000</x:v>
      </x:c>
      <x:c r="J117" t="str">
        <x:v>Đã thanh toán</x:v>
      </x:c>
      <x:c r="K117" t="str">
        <x:v>Đỗ Bảo Ngọc</x:v>
      </x:c>
      <x:c r="L117" t="str">
        <x:v>DT-CAID-2026-096</x:v>
      </x:c>
      <x:c r="M117" t="str">
        <x:v>Không</x:v>
      </x:c>
      <x:c r="N117" t="str">
        <x:v>Không</x:v>
      </x:c>
      <x:c r="O117" t="str">
        <x:v>Hồ sơ mẫu dùng cho quy trình đề nghị thanh toán</x:v>
      </x:c>
    </x:row>
    <x:row r="118">
      <x:c r="A118" t="str">
        <x:v>PR-CAID-2026-117</x:v>
      </x:c>
      <x:c r="B118" t="n">
        <x:v>46287</x:v>
      </x:c>
      <x:c r="C118" t="str">
        <x:v>Development Event</x:v>
      </x:c>
      <x:c r="D118" t="str">
        <x:v>Phần mềm CRM</x:v>
      </x:c>
      <x:c r="E118" t="str">
        <x:v>Công ty Alumni Network</x:v>
      </x:c>
      <x:c r="F118" t="str">
        <x:v>Thanh toán phần mềm crm cho Development Event</x:v>
      </x:c>
      <x:c r="G118" t="n">
        <x:v>75000000</x:v>
      </x:c>
      <x:c r="H118" t="n">
        <x:f>G118*10%</x:f>
        <x:v>7500000</x:v>
      </x:c>
      <x:c r="I118" t="n">
        <x:f>G118+H118</x:f>
        <x:v>82500000</x:v>
      </x:c>
      <x:c r="J118" t="str">
        <x:v>Đã duyệt</x:v>
      </x:c>
      <x:c r="K118" t="str">
        <x:v>Hoàng Gia Bảo</x:v>
      </x:c>
      <x:c r="L118" t="str">
        <x:v>DT-CAID-2026-021</x:v>
      </x:c>
      <x:c r="M118" t="str">
        <x:v>Không</x:v>
      </x:c>
      <x:c r="N118" t="str">
        <x:v>Không</x:v>
      </x:c>
      <x:c r="O118" t="str">
        <x:v>Hồ sơ mẫu dùng cho quy trình đề nghị thanh toán</x:v>
      </x:c>
    </x:row>
    <x:row r="119">
      <x:c r="A119" t="str">
        <x:v>PR-CAID-2026-118</x:v>
      </x:c>
      <x:c r="B119" t="n">
        <x:v>46299</x:v>
      </x:c>
      <x:c r="C119" t="str">
        <x:v>Career Fair</x:v>
      </x:c>
      <x:c r="D119" t="str">
        <x:v>Tài trợ sinh viên</x:v>
      </x:c>
      <x:c r="E119" t="str">
        <x:v>Công ty Fundraising Solutions</x:v>
      </x:c>
      <x:c r="F119" t="str">
        <x:v>Thanh toán tài trợ sinh viên cho Career Fair</x:v>
      </x:c>
      <x:c r="G119" t="n">
        <x:v>50000000</x:v>
      </x:c>
      <x:c r="H119" t="n">
        <x:f>G119*10%</x:f>
        <x:v>5000000</x:v>
      </x:c>
      <x:c r="I119" t="n">
        <x:f>G119+H119</x:f>
        <x:v>55000000</x:v>
      </x:c>
      <x:c r="J119" t="str">
        <x:v>Đã thanh toán</x:v>
      </x:c>
      <x:c r="K119" t="str">
        <x:v>Đỗ Bảo Ngọc</x:v>
      </x:c>
      <x:c r="L119" t="str">
        <x:v>DT-CAID-2026-052</x:v>
      </x:c>
      <x:c r="M119" t="str">
        <x:v>Có</x:v>
      </x:c>
      <x:c r="N119" t="str">
        <x:v>Có</x:v>
      </x:c>
      <x:c r="O119" t="str">
        <x:v>Hồ sơ mẫu dùng cho quy trình đề nghị thanh toán</x:v>
      </x:c>
    </x:row>
    <x:row r="120">
      <x:c r="A120" t="str">
        <x:v>PR-CAID-2026-119</x:v>
      </x:c>
      <x:c r="B120" t="n">
        <x:v>46337</x:v>
      </x:c>
      <x:c r="C120" t="str">
        <x:v>Fundraising Campaign</x:v>
      </x:c>
      <x:c r="D120" t="str">
        <x:v>Phần mềm CRM</x:v>
      </x:c>
      <x:c r="E120" t="str">
        <x:v>Công ty HR Bridge</x:v>
      </x:c>
      <x:c r="F120" t="str">
        <x:v>Thanh toán phần mềm crm cho Fundraising Campaign</x:v>
      </x:c>
      <x:c r="G120" t="n">
        <x:v>50000000</x:v>
      </x:c>
      <x:c r="H120" t="n">
        <x:f>G120*10%</x:f>
        <x:v>5000000</x:v>
      </x:c>
      <x:c r="I120" t="n">
        <x:f>G120+H120</x:f>
        <x:v>55000000</x:v>
      </x:c>
      <x:c r="J120" t="str">
        <x:v>Đã duyệt</x:v>
      </x:c>
      <x:c r="K120" t="str">
        <x:v>Đỗ Bảo Ngọc</x:v>
      </x:c>
      <x:c r="L120" t="str">
        <x:v>DT-CAID-2026-126</x:v>
      </x:c>
      <x:c r="M120" t="str">
        <x:v>Có</x:v>
      </x:c>
      <x:c r="N120" t="str">
        <x:v>Không</x:v>
      </x:c>
      <x:c r="O120" t="str">
        <x:v>Hồ sơ mẫu dùng cho quy trình đề nghị thanh toán</x:v>
      </x:c>
    </x:row>
    <x:row r="121">
      <x:c r="A121" t="str">
        <x:v>PR-CAID-2026-120</x:v>
      </x:c>
      <x:c r="B121" t="n">
        <x:v>46374</x:v>
      </x:c>
      <x:c r="C121" t="str">
        <x:v>Development Event</x:v>
      </x:c>
      <x:c r="D121" t="str">
        <x:v>Tổ chức sự kiện</x:v>
      </x:c>
      <x:c r="E121" t="str">
        <x:v>Công ty Thiết kế BrandLab</x:v>
      </x:c>
      <x:c r="F121" t="str">
        <x:v>Thanh toán tổ chức sự kiện cho Development Event</x:v>
      </x:c>
      <x:c r="G121" t="n">
        <x:v>75000000</x:v>
      </x:c>
      <x:c r="H121" t="n">
        <x:f>G121*10%</x:f>
        <x:v>7500000</x:v>
      </x:c>
      <x:c r="I121" t="n">
        <x:f>G121+H121</x:f>
        <x:v>82500000</x:v>
      </x:c>
      <x:c r="J121" t="str">
        <x:v>Đã duyệt</x:v>
      </x:c>
      <x:c r="K121" t="str">
        <x:v>Đỗ Bảo Ngọc</x:v>
      </x:c>
      <x:c r="L121" t="str">
        <x:v>DT-CAID-2026-015</x:v>
      </x:c>
      <x:c r="M121" t="str">
        <x:v>Không</x:v>
      </x:c>
      <x:c r="N121" t="str">
        <x:v>Không</x:v>
      </x:c>
      <x:c r="O121" t="str">
        <x:v>Hồ sơ mẫu dùng cho quy trình đề nghị thanh toán</x:v>
      </x:c>
    </x:row>
    <x:row r="122">
      <x:c r="A122" t="str">
        <x:v>PR-CAID-2026-121</x:v>
      </x:c>
      <x:c r="B122" t="n">
        <x:v>46047</x:v>
      </x:c>
      <x:c r="C122" t="str">
        <x:v>Corporate Training</x:v>
      </x:c>
      <x:c r="D122" t="str">
        <x:v>Tổ chức sự kiện</x:v>
      </x:c>
      <x:c r="E122" t="str">
        <x:v>Công ty Quà tặng Việt</x:v>
      </x:c>
      <x:c r="F122" t="str">
        <x:v>Thanh toán tổ chức sự kiện cho Corporate Training</x:v>
      </x:c>
      <x:c r="G122" t="n">
        <x:v>35000000</x:v>
      </x:c>
      <x:c r="H122" t="n">
        <x:f>G122*10%</x:f>
        <x:v>3500000</x:v>
      </x:c>
      <x:c r="I122" t="n">
        <x:f>G122+H122</x:f>
        <x:v>38500000</x:v>
      </x:c>
      <x:c r="J122" t="str">
        <x:v>Từ chối</x:v>
      </x:c>
      <x:c r="K122" t="str">
        <x:v>Vũ Khánh Linh</x:v>
      </x:c>
      <x:c r="L122" t="str">
        <x:v>DT-CAID-2026-056</x:v>
      </x:c>
      <x:c r="M122" t="str">
        <x:v>Có</x:v>
      </x:c>
      <x:c r="N122" t="str">
        <x:v>Có</x:v>
      </x:c>
      <x:c r="O122" t="str">
        <x:v>Hồ sơ mẫu dùng cho quy trình đề nghị thanh toán</x:v>
      </x:c>
    </x:row>
    <x:row r="123">
      <x:c r="A123" t="str">
        <x:v>PR-CAID-2026-122</x:v>
      </x:c>
      <x:c r="B123" t="n">
        <x:v>46060</x:v>
      </x:c>
      <x:c r="C123" t="str">
        <x:v>Scholarship Donor Program</x:v>
      </x:c>
      <x:c r="D123" t="str">
        <x:v>Diễn giả/chuyên gia</x:v>
      </x:c>
      <x:c r="E123" t="str">
        <x:v>Công ty Thiết kế BrandLab</x:v>
      </x:c>
      <x:c r="F123" t="str">
        <x:v>Thanh toán diễn giả/chuyên gia cho Scholarship Donor Program</x:v>
      </x:c>
      <x:c r="G123" t="n">
        <x:v>5000000</x:v>
      </x:c>
      <x:c r="H123" t="n">
        <x:f>G123*10%</x:f>
        <x:v>500000</x:v>
      </x:c>
      <x:c r="I123" t="n">
        <x:f>G123+H123</x:f>
        <x:v>5500000</x:v>
      </x:c>
      <x:c r="J123" t="str">
        <x:v>Cần bổ sung hồ sơ</x:v>
      </x:c>
      <x:c r="K123" t="str">
        <x:v>Nguyễn Minh Anh</x:v>
      </x:c>
      <x:c r="L123" t="str">
        <x:v>DT-CAID-2026-121</x:v>
      </x:c>
      <x:c r="M123" t="str">
        <x:v>Có</x:v>
      </x:c>
      <x:c r="N123" t="str">
        <x:v>Không</x:v>
      </x:c>
      <x:c r="O123" t="str">
        <x:v>Hồ sơ mẫu dùng cho quy trình đề nghị thanh toán</x:v>
      </x:c>
    </x:row>
    <x:row r="124">
      <x:c r="A124" t="str">
        <x:v>PR-CAID-2026-123</x:v>
      </x:c>
      <x:c r="B124" t="n">
        <x:v>46095</x:v>
      </x:c>
      <x:c r="C124" t="str">
        <x:v>Scholarship Donor Program</x:v>
      </x:c>
      <x:c r="D124" t="str">
        <x:v>Truyền thông &amp; thiết kế</x:v>
      </x:c>
      <x:c r="E124" t="str">
        <x:v>Công ty Alumni Network</x:v>
      </x:c>
      <x:c r="F124" t="str">
        <x:v>Thanh toán truyền thông &amp; thiết kế cho Scholarship Donor Program</x:v>
      </x:c>
      <x:c r="G124" t="n">
        <x:v>8000000</x:v>
      </x:c>
      <x:c r="H124" t="n">
        <x:f>G124*10%</x:f>
        <x:v>800000</x:v>
      </x:c>
      <x:c r="I124" t="n">
        <x:f>G124+H124</x:f>
        <x:v>8800000</x:v>
      </x:c>
      <x:c r="J124" t="str">
        <x:v>Đã thanh toán</x:v>
      </x:c>
      <x:c r="K124" t="str">
        <x:v>Vũ Khánh Linh</x:v>
      </x:c>
      <x:c r="L124" t="str">
        <x:v>DT-CAID-2026-108</x:v>
      </x:c>
      <x:c r="M124" t="str">
        <x:v>Không</x:v>
      </x:c>
      <x:c r="N124" t="str">
        <x:v>Không</x:v>
      </x:c>
      <x:c r="O124" t="str">
        <x:v>Hồ sơ mẫu dùng cho quy trình đề nghị thanh toán</x:v>
      </x:c>
    </x:row>
    <x:row r="125">
      <x:c r="A125" t="str">
        <x:v>PR-CAID-2026-124</x:v>
      </x:c>
      <x:c r="B125" t="n">
        <x:v>46133</x:v>
      </x:c>
      <x:c r="C125" t="str">
        <x:v>MoU Signing</x:v>
      </x:c>
      <x:c r="D125" t="str">
        <x:v>Di chuyển công tác</x:v>
      </x:c>
      <x:c r="E125" t="str">
        <x:v>Công ty Truyền thông Apex</x:v>
      </x:c>
      <x:c r="F125" t="str">
        <x:v>Thanh toán di chuyển công tác cho MoU Signing</x:v>
      </x:c>
      <x:c r="G125" t="n">
        <x:v>35000000</x:v>
      </x:c>
      <x:c r="H125" t="n">
        <x:f>G125*10%</x:f>
        <x:v>3500000</x:v>
      </x:c>
      <x:c r="I125" t="n">
        <x:f>G125+H125</x:f>
        <x:v>38500000</x:v>
      </x:c>
      <x:c r="J125" t="str">
        <x:v>Đã thanh toán</x:v>
      </x:c>
      <x:c r="K125" t="str">
        <x:v>Vũ Khánh Linh</x:v>
      </x:c>
      <x:c r="L125" t="str">
        <x:v>DT-CAID-2026-139</x:v>
      </x:c>
      <x:c r="M125" t="str">
        <x:v>Có</x:v>
      </x:c>
      <x:c r="N125" t="str">
        <x:v>Không</x:v>
      </x:c>
      <x:c r="O125" t="str">
        <x:v>Hồ sơ mẫu dùng cho quy trình đề nghị thanh toán</x:v>
      </x:c>
    </x:row>
    <x:row r="126">
      <x:c r="A126" t="str">
        <x:v>PR-CAID-2026-125</x:v>
      </x:c>
      <x:c r="B126" t="n">
        <x:v>46145</x:v>
      </x:c>
      <x:c r="C126" t="str">
        <x:v>Career Fair</x:v>
      </x:c>
      <x:c r="D126" t="str">
        <x:v>Truyền thông &amp; thiết kế</x:v>
      </x:c>
      <x:c r="E126" t="str">
        <x:v>Công ty Thiết kế BrandLab</x:v>
      </x:c>
      <x:c r="F126" t="str">
        <x:v>Thanh toán truyền thông &amp; thiết kế cho Career Fair</x:v>
      </x:c>
      <x:c r="G126" t="n">
        <x:v>150000000</x:v>
      </x:c>
      <x:c r="H126" t="n">
        <x:f>G126*10%</x:f>
        <x:v>15000000</x:v>
      </x:c>
      <x:c r="I126" t="n">
        <x:f>G126+H126</x:f>
        <x:v>165000000</x:v>
      </x:c>
      <x:c r="J126" t="str">
        <x:v>Đã gửi duyệt</x:v>
      </x:c>
      <x:c r="K126" t="str">
        <x:v>Trần Hoàng Long</x:v>
      </x:c>
      <x:c r="L126" t="str">
        <x:v>DT-CAID-2026-001</x:v>
      </x:c>
      <x:c r="M126" t="str">
        <x:v>Có</x:v>
      </x:c>
      <x:c r="N126" t="str">
        <x:v>Không</x:v>
      </x:c>
      <x:c r="O126" t="str">
        <x:v>Hồ sơ mẫu dùng cho quy trình đề nghị thanh toán</x:v>
      </x:c>
    </x:row>
    <x:row r="127">
      <x:c r="A127" t="str">
        <x:v>PR-CAID-2026-126</x:v>
      </x:c>
      <x:c r="B127" t="n">
        <x:v>46183</x:v>
      </x:c>
      <x:c r="C127" t="str">
        <x:v>MoU Signing</x:v>
      </x:c>
      <x:c r="D127" t="str">
        <x:v>Hội thảo doanh nghiệp</x:v>
      </x:c>
      <x:c r="E127" t="str">
        <x:v>Trung tâm Hội nghị Skyline</x:v>
      </x:c>
      <x:c r="F127" t="str">
        <x:v>Thanh toán hội thảo doanh nghiệp cho MoU Signing</x:v>
      </x:c>
      <x:c r="G127" t="n">
        <x:v>75000000</x:v>
      </x:c>
      <x:c r="H127" t="n">
        <x:f>G127*10%</x:f>
        <x:v>7500000</x:v>
      </x:c>
      <x:c r="I127" t="n">
        <x:f>G127+H127</x:f>
        <x:v>82500000</x:v>
      </x:c>
      <x:c r="J127" t="str">
        <x:v>Đã thanh toán</x:v>
      </x:c>
      <x:c r="K127" t="str">
        <x:v>Hoàng Gia Bảo</x:v>
      </x:c>
      <x:c r="L127" t="str">
        <x:v>DT-CAID-2026-059</x:v>
      </x:c>
      <x:c r="M127" t="str">
        <x:v>Có</x:v>
      </x:c>
      <x:c r="N127" t="str">
        <x:v>Không</x:v>
      </x:c>
      <x:c r="O127" t="str">
        <x:v>Hồ sơ mẫu dùng cho quy trình đề nghị thanh toán</x:v>
      </x:c>
    </x:row>
    <x:row r="128">
      <x:c r="A128" t="str">
        <x:v>PR-CAID-2026-127</x:v>
      </x:c>
      <x:c r="B128" t="n">
        <x:v>46220</x:v>
      </x:c>
      <x:c r="C128" t="str">
        <x:v>Fundraising Campaign</x:v>
      </x:c>
      <x:c r="D128" t="str">
        <x:v>Truyền thông &amp; thiết kế</x:v>
      </x:c>
      <x:c r="E128" t="str">
        <x:v>Công ty EventPro</x:v>
      </x:c>
      <x:c r="F128" t="str">
        <x:v>Thanh toán truyền thông &amp; thiết kế cho Fundraising Campaign</x:v>
      </x:c>
      <x:c r="G128" t="n">
        <x:v>75000000</x:v>
      </x:c>
      <x:c r="H128" t="n">
        <x:f>G128*10%</x:f>
        <x:v>7500000</x:v>
      </x:c>
      <x:c r="I128" t="n">
        <x:f>G128+H128</x:f>
        <x:v>82500000</x:v>
      </x:c>
      <x:c r="J128" t="str">
        <x:v>Từ chối</x:v>
      </x:c>
      <x:c r="K128" t="str">
        <x:v>Hoàng Gia Bảo</x:v>
      </x:c>
      <x:c r="L128" t="str">
        <x:v>DT-CAID-2026-029</x:v>
      </x:c>
      <x:c r="M128" t="str">
        <x:v>Có</x:v>
      </x:c>
      <x:c r="N128" t="str">
        <x:v>Không</x:v>
      </x:c>
      <x:c r="O128" t="str">
        <x:v>Hồ sơ mẫu dùng cho quy trình đề nghị thanh toán</x:v>
      </x:c>
    </x:row>
    <x:row r="129">
      <x:c r="A129" t="str">
        <x:v>PR-CAID-2026-128</x:v>
      </x:c>
      <x:c r="B129" t="n">
        <x:v>46258</x:v>
      </x:c>
      <x:c r="C129" t="str">
        <x:v>Industry Advisory Board</x:v>
      </x:c>
      <x:c r="D129" t="str">
        <x:v>Tổ chức sự kiện</x:v>
      </x:c>
      <x:c r="E129" t="str">
        <x:v>Công ty In ấn Minh Long</x:v>
      </x:c>
      <x:c r="F129" t="str">
        <x:v>Thanh toán tổ chức sự kiện cho Industry Advisory Board</x:v>
      </x:c>
      <x:c r="G129" t="n">
        <x:v>12000000</x:v>
      </x:c>
      <x:c r="H129" t="n">
        <x:f>G129*10%</x:f>
        <x:v>1200000</x:v>
      </x:c>
      <x:c r="I129" t="n">
        <x:f>G129+H129</x:f>
        <x:v>13200000</x:v>
      </x:c>
      <x:c r="J129" t="str">
        <x:v>Đã gửi duyệt</x:v>
      </x:c>
      <x:c r="K129" t="str">
        <x:v>Đỗ Bảo Ngọc</x:v>
      </x:c>
      <x:c r="L129" t="str">
        <x:v>DT-CAID-2026-009</x:v>
      </x:c>
      <x:c r="M129" t="str">
        <x:v>Không</x:v>
      </x:c>
      <x:c r="N129" t="str">
        <x:v>Có</x:v>
      </x:c>
      <x:c r="O129" t="str">
        <x:v>Hồ sơ mẫu dùng cho quy trình đề nghị thanh toán</x:v>
      </x:c>
    </x:row>
    <x:row r="130">
      <x:c r="A130" t="str">
        <x:v>PR-CAID-2026-129</x:v>
      </x:c>
      <x:c r="B130" t="n">
        <x:v>46271</x:v>
      </x:c>
      <x:c r="C130" t="str">
        <x:v>Employer Branding</x:v>
      </x:c>
      <x:c r="D130" t="str">
        <x:v>Chăm sóc nhà tài trợ</x:v>
      </x:c>
      <x:c r="E130" t="str">
        <x:v>Trung tâm Hội nghị Skyline</x:v>
      </x:c>
      <x:c r="F130" t="str">
        <x:v>Thanh toán chăm sóc nhà tài trợ cho Employer Branding</x:v>
      </x:c>
      <x:c r="G130" t="n">
        <x:v>3000000</x:v>
      </x:c>
      <x:c r="H130" t="n">
        <x:f>G130*10%</x:f>
        <x:v>300000</x:v>
      </x:c>
      <x:c r="I130" t="n">
        <x:f>G130+H130</x:f>
        <x:v>3300000</x:v>
      </x:c>
      <x:c r="J130" t="str">
        <x:v>Đã duyệt</x:v>
      </x:c>
      <x:c r="K130" t="str">
        <x:v>Đỗ Bảo Ngọc</x:v>
      </x:c>
      <x:c r="L130" t="str">
        <x:v>DT-CAID-2026-056</x:v>
      </x:c>
      <x:c r="M130" t="str">
        <x:v>Có</x:v>
      </x:c>
      <x:c r="N130" t="str">
        <x:v>Có</x:v>
      </x:c>
      <x:c r="O130" t="str">
        <x:v>Hồ sơ mẫu dùng cho quy trình đề nghị thanh toán</x:v>
      </x:c>
    </x:row>
    <x:row r="131">
      <x:c r="A131" t="str">
        <x:v>PR-CAID-2026-130</x:v>
      </x:c>
      <x:c r="B131" t="n">
        <x:v>46308</x:v>
      </x:c>
      <x:c r="C131" t="str">
        <x:v>Company Visit</x:v>
      </x:c>
      <x:c r="D131" t="str">
        <x:v>Quà tặng đối tác</x:v>
      </x:c>
      <x:c r="E131" t="str">
        <x:v>Công ty Fundraising Solutions</x:v>
      </x:c>
      <x:c r="F131" t="str">
        <x:v>Thanh toán quà tặng đối tác cho Company Visit</x:v>
      </x:c>
      <x:c r="G131" t="n">
        <x:v>12000000</x:v>
      </x:c>
      <x:c r="H131" t="n">
        <x:f>G131*10%</x:f>
        <x:v>1200000</x:v>
      </x:c>
      <x:c r="I131" t="n">
        <x:f>G131+H131</x:f>
        <x:v>13200000</x:v>
      </x:c>
      <x:c r="J131" t="str">
        <x:v>Cần bổ sung hồ sơ</x:v>
      </x:c>
      <x:c r="K131" t="str">
        <x:v>Đỗ Bảo Ngọc</x:v>
      </x:c>
      <x:c r="L131" t="str">
        <x:v>DT-CAID-2026-082</x:v>
      </x:c>
      <x:c r="M131" t="str">
        <x:v>Không</x:v>
      </x:c>
      <x:c r="N131" t="str">
        <x:v>Có</x:v>
      </x:c>
      <x:c r="O131" t="str">
        <x:v>Hồ sơ mẫu dùng cho quy trình đề nghị thanh toán</x:v>
      </x:c>
    </x:row>
    <x:row r="132">
      <x:c r="A132" t="str">
        <x:v>PR-CAID-2026-131</x:v>
      </x:c>
      <x:c r="B132" t="n">
        <x:v>46346</x:v>
      </x:c>
      <x:c r="C132" t="str">
        <x:v>Alumni Engagement</x:v>
      </x:c>
      <x:c r="D132" t="str">
        <x:v>Truyền thông &amp; thiết kế</x:v>
      </x:c>
      <x:c r="E132" t="str">
        <x:v>Công ty Thiết kế BrandLab</x:v>
      </x:c>
      <x:c r="F132" t="str">
        <x:v>Thanh toán truyền thông &amp; thiết kế cho Alumni Engagement</x:v>
      </x:c>
      <x:c r="G132" t="n">
        <x:v>150000000</x:v>
      </x:c>
      <x:c r="H132" t="n">
        <x:f>G132*10%</x:f>
        <x:v>15000000</x:v>
      </x:c>
      <x:c r="I132" t="n">
        <x:f>G132+H132</x:f>
        <x:v>165000000</x:v>
      </x:c>
      <x:c r="J132" t="str">
        <x:v>Đã duyệt</x:v>
      </x:c>
      <x:c r="K132" t="str">
        <x:v>Lê Thu Hà</x:v>
      </x:c>
      <x:c r="L132" t="str">
        <x:v>DT-CAID-2026-071</x:v>
      </x:c>
      <x:c r="M132" t="str">
        <x:v>Có</x:v>
      </x:c>
      <x:c r="N132" t="str">
        <x:v>Có</x:v>
      </x:c>
      <x:c r="O132" t="str">
        <x:v>Hồ sơ mẫu dùng cho quy trình đề nghị thanh toán</x:v>
      </x:c>
    </x:row>
    <x:row r="133">
      <x:c r="A133" t="str">
        <x:v>PR-CAID-2026-132</x:v>
      </x:c>
      <x:c r="B133" t="n">
        <x:v>46383</x:v>
      </x:c>
      <x:c r="C133" t="str">
        <x:v>Mentorship Program</x:v>
      </x:c>
      <x:c r="D133" t="str">
        <x:v>Hội thảo doanh nghiệp</x:v>
      </x:c>
      <x:c r="E133" t="str">
        <x:v>Công ty Thiết kế BrandLab</x:v>
      </x:c>
      <x:c r="F133" t="str">
        <x:v>Thanh toán hội thảo doanh nghiệp cho Mentorship Program</x:v>
      </x:c>
      <x:c r="G133" t="n">
        <x:v>35000000</x:v>
      </x:c>
      <x:c r="H133" t="n">
        <x:f>G133*10%</x:f>
        <x:v>3500000</x:v>
      </x:c>
      <x:c r="I133" t="n">
        <x:f>G133+H133</x:f>
        <x:v>38500000</x:v>
      </x:c>
      <x:c r="J133" t="str">
        <x:v>Đã thanh toán</x:v>
      </x:c>
      <x:c r="K133" t="str">
        <x:v>Lê Thu Hà</x:v>
      </x:c>
      <x:c r="L133" t="str">
        <x:v>DT-CAID-2026-098</x:v>
      </x:c>
      <x:c r="M133" t="str">
        <x:v>Không</x:v>
      </x:c>
      <x:c r="N133" t="str">
        <x:v>Không</x:v>
      </x:c>
      <x:c r="O133" t="str">
        <x:v>Hồ sơ mẫu dùng cho quy trình đề nghị thanh toán</x:v>
      </x:c>
    </x:row>
    <x:row r="134">
      <x:c r="A134" t="str">
        <x:v>PR-CAID-2026-133</x:v>
      </x:c>
      <x:c r="B134" t="n">
        <x:v>46031</x:v>
      </x:c>
      <x:c r="C134" t="str">
        <x:v>Scholarship Donor Program</x:v>
      </x:c>
      <x:c r="D134" t="str">
        <x:v>Truyền thông &amp; thiết kế</x:v>
      </x:c>
      <x:c r="E134" t="str">
        <x:v>Trung tâm Hội nghị Skyline</x:v>
      </x:c>
      <x:c r="F134" t="str">
        <x:v>Thanh toán truyền thông &amp; thiết kế cho Scholarship Donor Program</x:v>
      </x:c>
      <x:c r="G134" t="n">
        <x:v>15000000</x:v>
      </x:c>
      <x:c r="H134" t="n">
        <x:f>G134*10%</x:f>
        <x:v>1500000</x:v>
      </x:c>
      <x:c r="I134" t="n">
        <x:f>G134+H134</x:f>
        <x:v>16500000</x:v>
      </x:c>
      <x:c r="J134" t="str">
        <x:v>Đã gửi duyệt</x:v>
      </x:c>
      <x:c r="K134" t="str">
        <x:v>Đỗ Bảo Ngọc</x:v>
      </x:c>
      <x:c r="L134" t="str">
        <x:v>DT-CAID-2026-122</x:v>
      </x:c>
      <x:c r="M134" t="str">
        <x:v>Có</x:v>
      </x:c>
      <x:c r="N134" t="str">
        <x:v>Có</x:v>
      </x:c>
      <x:c r="O134" t="str">
        <x:v>Hồ sơ mẫu dùng cho quy trình đề nghị thanh toán</x:v>
      </x:c>
    </x:row>
    <x:row r="135">
      <x:c r="A135" t="str">
        <x:v>PR-CAID-2026-134</x:v>
      </x:c>
      <x:c r="B135" t="n">
        <x:v>46069</x:v>
      </x:c>
      <x:c r="C135" t="str">
        <x:v>Alumni Engagement</x:v>
      </x:c>
      <x:c r="D135" t="str">
        <x:v>Chăm sóc nhà tài trợ</x:v>
      </x:c>
      <x:c r="E135" t="str">
        <x:v>Công ty Alumni Network</x:v>
      </x:c>
      <x:c r="F135" t="str">
        <x:v>Thanh toán chăm sóc nhà tài trợ cho Alumni Engagement</x:v>
      </x:c>
      <x:c r="G135" t="n">
        <x:v>8000000</x:v>
      </x:c>
      <x:c r="H135" t="n">
        <x:f>G135*10%</x:f>
        <x:v>800000</x:v>
      </x:c>
      <x:c r="I135" t="n">
        <x:f>G135+H135</x:f>
        <x:v>8800000</x:v>
      </x:c>
      <x:c r="J135" t="str">
        <x:v>Đã thanh toán</x:v>
      </x:c>
      <x:c r="K135" t="str">
        <x:v>Nguyễn Minh Anh</x:v>
      </x:c>
      <x:c r="L135" t="str">
        <x:v>DT-CAID-2026-144</x:v>
      </x:c>
      <x:c r="M135" t="str">
        <x:v>Không</x:v>
      </x:c>
      <x:c r="N135" t="str">
        <x:v>Không</x:v>
      </x:c>
      <x:c r="O135" t="str">
        <x:v>Hồ sơ mẫu dùng cho quy trình đề nghị thanh toán</x:v>
      </x:c>
    </x:row>
    <x:row r="136">
      <x:c r="A136" t="str">
        <x:v>PR-CAID-2026-135</x:v>
      </x:c>
      <x:c r="B136" t="n">
        <x:v>46104</x:v>
      </x:c>
      <x:c r="C136" t="str">
        <x:v>Company Visit</x:v>
      </x:c>
      <x:c r="D136" t="str">
        <x:v>Phần mềm CRM</x:v>
      </x:c>
      <x:c r="E136" t="str">
        <x:v>Trung tâm Hội nghị Skyline</x:v>
      </x:c>
      <x:c r="F136" t="str">
        <x:v>Thanh toán phần mềm crm cho Company Visit</x:v>
      </x:c>
      <x:c r="G136" t="n">
        <x:v>8000000</x:v>
      </x:c>
      <x:c r="H136" t="n">
        <x:f>G136*10%</x:f>
        <x:v>800000</x:v>
      </x:c>
      <x:c r="I136" t="n">
        <x:f>G136+H136</x:f>
        <x:v>8800000</x:v>
      </x:c>
      <x:c r="J136" t="str">
        <x:v>Đã duyệt</x:v>
      </x:c>
      <x:c r="K136" t="str">
        <x:v>Trần Hoàng Long</x:v>
      </x:c>
      <x:c r="L136" t="str">
        <x:v>DT-CAID-2026-085</x:v>
      </x:c>
      <x:c r="M136" t="str">
        <x:v>Có</x:v>
      </x:c>
      <x:c r="N136" t="str">
        <x:v>Không</x:v>
      </x:c>
      <x:c r="O136" t="str">
        <x:v>Hồ sơ mẫu dùng cho quy trình đề nghị thanh toán</x:v>
      </x:c>
    </x:row>
    <x:row r="137">
      <x:c r="A137" t="str">
        <x:v>PR-CAID-2026-136</x:v>
      </x:c>
      <x:c r="B137" t="n">
        <x:v>46117</x:v>
      </x:c>
      <x:c r="C137" t="str">
        <x:v>Donor Stewardship</x:v>
      </x:c>
      <x:c r="D137" t="str">
        <x:v>Diễn giả/chuyên gia</x:v>
      </x:c>
      <x:c r="E137" t="str">
        <x:v>Công ty Thiết kế BrandLab</x:v>
      </x:c>
      <x:c r="F137" t="str">
        <x:v>Thanh toán diễn giả/chuyên gia cho Donor Stewardship</x:v>
      </x:c>
      <x:c r="G137" t="n">
        <x:v>5000000</x:v>
      </x:c>
      <x:c r="H137" t="n">
        <x:f>G137*10%</x:f>
        <x:v>500000</x:v>
      </x:c>
      <x:c r="I137" t="n">
        <x:f>G137+H137</x:f>
        <x:v>5500000</x:v>
      </x:c>
      <x:c r="J137" t="str">
        <x:v>Đã thanh toán</x:v>
      </x:c>
      <x:c r="K137" t="str">
        <x:v>Trần Hoàng Long</x:v>
      </x:c>
      <x:c r="L137" t="str">
        <x:v>DT-CAID-2026-014</x:v>
      </x:c>
      <x:c r="M137" t="str">
        <x:v>Không</x:v>
      </x:c>
      <x:c r="N137" t="str">
        <x:v>Không</x:v>
      </x:c>
      <x:c r="O137" t="str">
        <x:v>Hồ sơ mẫu dùng cho quy trình đề nghị thanh toán</x:v>
      </x:c>
    </x:row>
    <x:row r="138">
      <x:c r="A138" t="str">
        <x:v>PR-CAID-2026-137</x:v>
      </x:c>
      <x:c r="B138" t="n">
        <x:v>46154</x:v>
      </x:c>
      <x:c r="C138" t="str">
        <x:v>Mentorship Program</x:v>
      </x:c>
      <x:c r="D138" t="str">
        <x:v>Tài trợ sinh viên</x:v>
      </x:c>
      <x:c r="E138" t="str">
        <x:v>Công ty Sự kiện BizConnect</x:v>
      </x:c>
      <x:c r="F138" t="str">
        <x:v>Thanh toán tài trợ sinh viên cho Mentorship Program</x:v>
      </x:c>
      <x:c r="G138" t="n">
        <x:v>100000000</x:v>
      </x:c>
      <x:c r="H138" t="n">
        <x:f>G138*10%</x:f>
        <x:v>10000000</x:v>
      </x:c>
      <x:c r="I138" t="n">
        <x:f>G138+H138</x:f>
        <x:v>110000000</x:v>
      </x:c>
      <x:c r="J138" t="str">
        <x:v>Từ chối</x:v>
      </x:c>
      <x:c r="K138" t="str">
        <x:v>Trần Hoàng Long</x:v>
      </x:c>
      <x:c r="L138" t="str">
        <x:v>DT-CAID-2026-144</x:v>
      </x:c>
      <x:c r="M138" t="str">
        <x:v>Có</x:v>
      </x:c>
      <x:c r="N138" t="str">
        <x:v>Không</x:v>
      </x:c>
      <x:c r="O138" t="str">
        <x:v>Hồ sơ mẫu dùng cho quy trình đề nghị thanh toán</x:v>
      </x:c>
    </x:row>
    <x:row r="139">
      <x:c r="A139" t="str">
        <x:v>PR-CAID-2026-138</x:v>
      </x:c>
      <x:c r="B139" t="n">
        <x:v>46192</x:v>
      </x:c>
      <x:c r="C139" t="str">
        <x:v>Employer Branding</x:v>
      </x:c>
      <x:c r="D139" t="str">
        <x:v>Diễn giả/chuyên gia</x:v>
      </x:c>
      <x:c r="E139" t="str">
        <x:v>Công ty EventPro</x:v>
      </x:c>
      <x:c r="F139" t="str">
        <x:v>Thanh toán diễn giả/chuyên gia cho Employer Branding</x:v>
      </x:c>
      <x:c r="G139" t="n">
        <x:v>15000000</x:v>
      </x:c>
      <x:c r="H139" t="n">
        <x:f>G139*10%</x:f>
        <x:v>1500000</x:v>
      </x:c>
      <x:c r="I139" t="n">
        <x:f>G139+H139</x:f>
        <x:v>16500000</x:v>
      </x:c>
      <x:c r="J139" t="str">
        <x:v>Nháp</x:v>
      </x:c>
      <x:c r="K139" t="str">
        <x:v>Trần Hoàng Long</x:v>
      </x:c>
      <x:c r="L139" t="str">
        <x:v>DT-CAID-2026-031</x:v>
      </x:c>
      <x:c r="M139" t="str">
        <x:v>Không</x:v>
      </x:c>
      <x:c r="N139" t="str">
        <x:v>Có</x:v>
      </x:c>
      <x:c r="O139" t="str">
        <x:v>Hồ sơ mẫu dùng cho quy trình đề nghị thanh toán</x:v>
      </x:c>
    </x:row>
    <x:row r="140">
      <x:c r="A140" t="str">
        <x:v>PR-CAID-2026-139</x:v>
      </x:c>
      <x:c r="B140" t="n">
        <x:v>46229</x:v>
      </x:c>
      <x:c r="C140" t="str">
        <x:v>Corporate Training</x:v>
      </x:c>
      <x:c r="D140" t="str">
        <x:v>Tài trợ sinh viên</x:v>
      </x:c>
      <x:c r="E140" t="str">
        <x:v>Trung tâm Hội nghị Skyline</x:v>
      </x:c>
      <x:c r="F140" t="str">
        <x:v>Thanh toán tài trợ sinh viên cho Corporate Training</x:v>
      </x:c>
      <x:c r="G140" t="n">
        <x:v>12000000</x:v>
      </x:c>
      <x:c r="H140" t="n">
        <x:f>G140*10%</x:f>
        <x:v>1200000</x:v>
      </x:c>
      <x:c r="I140" t="n">
        <x:f>G140+H140</x:f>
        <x:v>13200000</x:v>
      </x:c>
      <x:c r="J140" t="str">
        <x:v>Cần bổ sung hồ sơ</x:v>
      </x:c>
      <x:c r="K140" t="str">
        <x:v>Đỗ Bảo Ngọc</x:v>
      </x:c>
      <x:c r="L140" t="str">
        <x:v>DT-CAID-2026-083</x:v>
      </x:c>
      <x:c r="M140" t="str">
        <x:v>Không</x:v>
      </x:c>
      <x:c r="N140" t="str">
        <x:v>Không</x:v>
      </x:c>
      <x:c r="O140" t="str">
        <x:v>Hồ sơ mẫu dùng cho quy trình đề nghị thanh toán</x:v>
      </x:c>
    </x:row>
    <x:row r="141">
      <x:c r="A141" t="str">
        <x:v>PR-CAID-2026-140</x:v>
      </x:c>
      <x:c r="B141" t="n">
        <x:v>46242</x:v>
      </x:c>
      <x:c r="C141" t="str">
        <x:v>MoU Signing</x:v>
      </x:c>
      <x:c r="D141" t="str">
        <x:v>Phần mềm CRM</x:v>
      </x:c>
      <x:c r="E141" t="str">
        <x:v>Nền tảng CRM EduPartner</x:v>
      </x:c>
      <x:c r="F141" t="str">
        <x:v>Thanh toán phần mềm crm cho MoU Signing</x:v>
      </x:c>
      <x:c r="G141" t="n">
        <x:v>150000000</x:v>
      </x:c>
      <x:c r="H141" t="n">
        <x:f>G141*10%</x:f>
        <x:v>15000000</x:v>
      </x:c>
      <x:c r="I141" t="n">
        <x:f>G141+H141</x:f>
        <x:v>165000000</x:v>
      </x:c>
      <x:c r="J141" t="str">
        <x:v>Đã duyệt</x:v>
      </x:c>
      <x:c r="K141" t="str">
        <x:v>Lê Thu Hà</x:v>
      </x:c>
      <x:c r="L141" t="str">
        <x:v>DT-CAID-2026-132</x:v>
      </x:c>
      <x:c r="M141" t="str">
        <x:v>Không</x:v>
      </x:c>
      <x:c r="N141" t="str">
        <x:v>Không</x:v>
      </x:c>
      <x:c r="O141" t="str">
        <x:v>Hồ sơ mẫu dùng cho quy trình đề nghị thanh toán</x:v>
      </x:c>
    </x:row>
    <x:row r="142">
      <x:c r="A142" t="str">
        <x:v>PR-CAID-2026-141</x:v>
      </x:c>
      <x:c r="B142" t="n">
        <x:v>46280</x:v>
      </x:c>
      <x:c r="C142" t="str">
        <x:v>Career Fair</x:v>
      </x:c>
      <x:c r="D142" t="str">
        <x:v>Chăm sóc nhà tài trợ</x:v>
      </x:c>
      <x:c r="E142" t="str">
        <x:v>Công ty EventPro</x:v>
      </x:c>
      <x:c r="F142" t="str">
        <x:v>Thanh toán chăm sóc nhà tài trợ cho Career Fair</x:v>
      </x:c>
      <x:c r="G142" t="n">
        <x:v>100000000</x:v>
      </x:c>
      <x:c r="H142" t="n">
        <x:f>G142*10%</x:f>
        <x:v>10000000</x:v>
      </x:c>
      <x:c r="I142" t="n">
        <x:f>G142+H142</x:f>
        <x:v>110000000</x:v>
      </x:c>
      <x:c r="J142" t="str">
        <x:v>Đã duyệt</x:v>
      </x:c>
      <x:c r="K142" t="str">
        <x:v>Lê Thu Hà</x:v>
      </x:c>
      <x:c r="L142" t="str">
        <x:v>DT-CAID-2026-106</x:v>
      </x:c>
      <x:c r="M142" t="str">
        <x:v>Có</x:v>
      </x:c>
      <x:c r="N142" t="str">
        <x:v>Có</x:v>
      </x:c>
      <x:c r="O142" t="str">
        <x:v>Hồ sơ mẫu dùng cho quy trình đề nghị thanh toán</x:v>
      </x:c>
    </x:row>
    <x:row r="143">
      <x:c r="A143" t="str">
        <x:v>PR-CAID-2026-142</x:v>
      </x:c>
      <x:c r="B143" t="n">
        <x:v>46317</x:v>
      </x:c>
      <x:c r="C143" t="str">
        <x:v>Corporate Training</x:v>
      </x:c>
      <x:c r="D143" t="str">
        <x:v>Truyền thông &amp; thiết kế</x:v>
      </x:c>
      <x:c r="E143" t="str">
        <x:v>Công ty Quà tặng Việt</x:v>
      </x:c>
      <x:c r="F143" t="str">
        <x:v>Thanh toán truyền thông &amp; thiết kế cho Corporate Training</x:v>
      </x:c>
      <x:c r="G143" t="n">
        <x:v>3000000</x:v>
      </x:c>
      <x:c r="H143" t="n">
        <x:f>G143*10%</x:f>
        <x:v>300000</x:v>
      </x:c>
      <x:c r="I143" t="n">
        <x:f>G143+H143</x:f>
        <x:v>3300000</x:v>
      </x:c>
      <x:c r="J143" t="str">
        <x:v>Đã thanh toán</x:v>
      </x:c>
      <x:c r="K143" t="str">
        <x:v>Đỗ Bảo Ngọc</x:v>
      </x:c>
      <x:c r="L143" t="str">
        <x:v>DT-CAID-2026-149</x:v>
      </x:c>
      <x:c r="M143" t="str">
        <x:v>Không</x:v>
      </x:c>
      <x:c r="N143" t="str">
        <x:v>Không</x:v>
      </x:c>
      <x:c r="O143" t="str">
        <x:v>Hồ sơ mẫu dùng cho quy trình đề nghị thanh toán</x:v>
      </x:c>
    </x:row>
    <x:row r="144">
      <x:c r="A144" t="str">
        <x:v>PR-CAID-2026-143</x:v>
      </x:c>
      <x:c r="B144" t="n">
        <x:v>46330</x:v>
      </x:c>
      <x:c r="C144" t="str">
        <x:v>Internship Program</x:v>
      </x:c>
      <x:c r="D144" t="str">
        <x:v>Thuê địa điểm</x:v>
      </x:c>
      <x:c r="E144" t="str">
        <x:v>Công ty In ấn Minh Long</x:v>
      </x:c>
      <x:c r="F144" t="str">
        <x:v>Thanh toán thuê địa điểm cho Internship Program</x:v>
      </x:c>
      <x:c r="G144" t="n">
        <x:v>20000000</x:v>
      </x:c>
      <x:c r="H144" t="n">
        <x:f>G144*10%</x:f>
        <x:v>2000000</x:v>
      </x:c>
      <x:c r="I144" t="n">
        <x:f>G144+H144</x:f>
        <x:v>22000000</x:v>
      </x:c>
      <x:c r="J144" t="str">
        <x:v>Đã duyệt</x:v>
      </x:c>
      <x:c r="K144" t="str">
        <x:v>Hoàng Gia Bảo</x:v>
      </x:c>
      <x:c r="L144" t="str">
        <x:v>DT-CAID-2026-063</x:v>
      </x:c>
      <x:c r="M144" t="str">
        <x:v>Không</x:v>
      </x:c>
      <x:c r="N144" t="str">
        <x:v>Không</x:v>
      </x:c>
      <x:c r="O144" t="str">
        <x:v>Hồ sơ mẫu dùng cho quy trình đề nghị thanh toán</x:v>
      </x:c>
    </x:row>
    <x:row r="145">
      <x:c r="A145" t="str">
        <x:v>PR-CAID-2026-144</x:v>
      </x:c>
      <x:c r="B145" t="n">
        <x:v>46367</x:v>
      </x:c>
      <x:c r="C145" t="str">
        <x:v>Alumni Engagement</x:v>
      </x:c>
      <x:c r="D145" t="str">
        <x:v>In ấn tài liệu</x:v>
      </x:c>
      <x:c r="E145" t="str">
        <x:v>Công ty Digital Growth</x:v>
      </x:c>
      <x:c r="F145" t="str">
        <x:v>Thanh toán in ấn tài liệu cho Alumni Engagement</x:v>
      </x:c>
      <x:c r="G145" t="n">
        <x:v>150000000</x:v>
      </x:c>
      <x:c r="H145" t="n">
        <x:f>G145*10%</x:f>
        <x:v>15000000</x:v>
      </x:c>
      <x:c r="I145" t="n">
        <x:f>G145+H145</x:f>
        <x:v>165000000</x:v>
      </x:c>
      <x:c r="J145" t="str">
        <x:v>Đã thanh toán</x:v>
      </x:c>
      <x:c r="K145" t="str">
        <x:v>Trần Hoàng Long</x:v>
      </x:c>
      <x:c r="L145" t="str">
        <x:v>DT-CAID-2026-091</x:v>
      </x:c>
      <x:c r="M145" t="str">
        <x:v>Có</x:v>
      </x:c>
      <x:c r="N145" t="str">
        <x:v>Có</x:v>
      </x:c>
      <x:c r="O145" t="str">
        <x:v>Hồ sơ mẫu dùng cho quy trình đề nghị thanh toán</x:v>
      </x:c>
    </x:row>
    <x:row r="146">
      <x:c r="A146" t="str">
        <x:v>PR-CAID-2026-145</x:v>
      </x:c>
      <x:c r="B146" t="n">
        <x:v>46040</x:v>
      </x:c>
      <x:c r="C146" t="str">
        <x:v>Corporate Training</x:v>
      </x:c>
      <x:c r="D146" t="str">
        <x:v>Phần mềm CRM</x:v>
      </x:c>
      <x:c r="E146" t="str">
        <x:v>Khách sạn Grand Hanoi</x:v>
      </x:c>
      <x:c r="F146" t="str">
        <x:v>Thanh toán phần mềm crm cho Corporate Training</x:v>
      </x:c>
      <x:c r="G146" t="n">
        <x:v>50000000</x:v>
      </x:c>
      <x:c r="H146" t="n">
        <x:f>G146*10%</x:f>
        <x:v>5000000</x:v>
      </x:c>
      <x:c r="I146" t="n">
        <x:f>G146+H146</x:f>
        <x:v>55000000</x:v>
      </x:c>
      <x:c r="J146" t="str">
        <x:v>Cần bổ sung hồ sơ</x:v>
      </x:c>
      <x:c r="K146" t="str">
        <x:v>Đỗ Bảo Ngọc</x:v>
      </x:c>
      <x:c r="L146" t="str">
        <x:v>DT-CAID-2026-016</x:v>
      </x:c>
      <x:c r="M146" t="str">
        <x:v>Có</x:v>
      </x:c>
      <x:c r="N146" t="str">
        <x:v>Có</x:v>
      </x:c>
      <x:c r="O146" t="str">
        <x:v>Hồ sơ mẫu dùng cho quy trình đề nghị thanh toán</x:v>
      </x:c>
    </x:row>
    <x:row r="147">
      <x:c r="A147" t="str">
        <x:v>PR-CAID-2026-146</x:v>
      </x:c>
      <x:c r="B147" t="n">
        <x:v>46078</x:v>
      </x:c>
      <x:c r="C147" t="str">
        <x:v>Donor Stewardship</x:v>
      </x:c>
      <x:c r="D147" t="str">
        <x:v>Hội thảo doanh nghiệp</x:v>
      </x:c>
      <x:c r="E147" t="str">
        <x:v>Công ty Alumni Network</x:v>
      </x:c>
      <x:c r="F147" t="str">
        <x:v>Thanh toán hội thảo doanh nghiệp cho Donor Stewardship</x:v>
      </x:c>
      <x:c r="G147" t="n">
        <x:v>3000000</x:v>
      </x:c>
      <x:c r="H147" t="n">
        <x:f>G147*10%</x:f>
        <x:v>300000</x:v>
      </x:c>
      <x:c r="I147" t="n">
        <x:f>G147+H147</x:f>
        <x:v>3300000</x:v>
      </x:c>
      <x:c r="J147" t="str">
        <x:v>Nháp</x:v>
      </x:c>
      <x:c r="K147" t="str">
        <x:v>Trần Hoàng Long</x:v>
      </x:c>
      <x:c r="L147" t="str">
        <x:v>DT-CAID-2026-060</x:v>
      </x:c>
      <x:c r="M147" t="str">
        <x:v>Có</x:v>
      </x:c>
      <x:c r="N147" t="str">
        <x:v>Có</x:v>
      </x:c>
      <x:c r="O147" t="str">
        <x:v>Hồ sơ mẫu dùng cho quy trình đề nghị thanh toán</x:v>
      </x:c>
    </x:row>
    <x:row r="148">
      <x:c r="A148" t="str">
        <x:v>PR-CAID-2026-147</x:v>
      </x:c>
      <x:c r="B148" t="n">
        <x:v>46088</x:v>
      </x:c>
      <x:c r="C148" t="str">
        <x:v>Corporate Partnership</x:v>
      </x:c>
      <x:c r="D148" t="str">
        <x:v>Thuê địa điểm</x:v>
      </x:c>
      <x:c r="E148" t="str">
        <x:v>Công ty Logistics FastGo</x:v>
      </x:c>
      <x:c r="F148" t="str">
        <x:v>Thanh toán thuê địa điểm cho Corporate Partnership</x:v>
      </x:c>
      <x:c r="G148" t="n">
        <x:v>75000000</x:v>
      </x:c>
      <x:c r="H148" t="n">
        <x:f>G148*10%</x:f>
        <x:v>7500000</x:v>
      </x:c>
      <x:c r="I148" t="n">
        <x:f>G148+H148</x:f>
        <x:v>82500000</x:v>
      </x:c>
      <x:c r="J148" t="str">
        <x:v>Đã duyệt</x:v>
      </x:c>
      <x:c r="K148" t="str">
        <x:v>Đỗ Bảo Ngọc</x:v>
      </x:c>
      <x:c r="L148" t="str">
        <x:v>DT-CAID-2026-124</x:v>
      </x:c>
      <x:c r="M148" t="str">
        <x:v>Không</x:v>
      </x:c>
      <x:c r="N148" t="str">
        <x:v>Có</x:v>
      </x:c>
      <x:c r="O148" t="str">
        <x:v>Hồ sơ mẫu dùng cho quy trình đề nghị thanh toán</x:v>
      </x:c>
    </x:row>
    <x:row r="149">
      <x:c r="A149" t="str">
        <x:v>PR-CAID-2026-148</x:v>
      </x:c>
      <x:c r="B149" t="n">
        <x:v>46126</x:v>
      </x:c>
      <x:c r="C149" t="str">
        <x:v>Corporate Partnership</x:v>
      </x:c>
      <x:c r="D149" t="str">
        <x:v>Phần mềm CRM</x:v>
      </x:c>
      <x:c r="E149" t="str">
        <x:v>Trung tâm Hội nghị Skyline</x:v>
      </x:c>
      <x:c r="F149" t="str">
        <x:v>Thanh toán phần mềm crm cho Corporate Partnership</x:v>
      </x:c>
      <x:c r="G149" t="n">
        <x:v>75000000</x:v>
      </x:c>
      <x:c r="H149" t="n">
        <x:f>G149*10%</x:f>
        <x:v>7500000</x:v>
      </x:c>
      <x:c r="I149" t="n">
        <x:f>G149+H149</x:f>
        <x:v>82500000</x:v>
      </x:c>
      <x:c r="J149" t="str">
        <x:v>Nháp</x:v>
      </x:c>
      <x:c r="K149" t="str">
        <x:v>Đỗ Bảo Ngọc</x:v>
      </x:c>
      <x:c r="L149" t="str">
        <x:v>DT-CAID-2026-071</x:v>
      </x:c>
      <x:c r="M149" t="str">
        <x:v>Không</x:v>
      </x:c>
      <x:c r="N149" t="str">
        <x:v>Có</x:v>
      </x:c>
      <x:c r="O149" t="str">
        <x:v>Hồ sơ mẫu dùng cho quy trình đề nghị thanh toán</x:v>
      </x:c>
    </x:row>
    <x:row r="150">
      <x:c r="A150" t="str">
        <x:v>PR-CAID-2026-149</x:v>
      </x:c>
      <x:c r="B150" t="n">
        <x:v>46163</x:v>
      </x:c>
      <x:c r="C150" t="str">
        <x:v>Company Visit</x:v>
      </x:c>
      <x:c r="D150" t="str">
        <x:v>Chăm sóc nhà tài trợ</x:v>
      </x:c>
      <x:c r="E150" t="str">
        <x:v>Trung tâm Hội nghị Skyline</x:v>
      </x:c>
      <x:c r="F150" t="str">
        <x:v>Thanh toán chăm sóc nhà tài trợ cho Company Visit</x:v>
      </x:c>
      <x:c r="G150" t="n">
        <x:v>150000000</x:v>
      </x:c>
      <x:c r="H150" t="n">
        <x:f>G150*10%</x:f>
        <x:v>15000000</x:v>
      </x:c>
      <x:c r="I150" t="n">
        <x:f>G150+H150</x:f>
        <x:v>165000000</x:v>
      </x:c>
      <x:c r="J150" t="str">
        <x:v>Từ chối</x:v>
      </x:c>
      <x:c r="K150" t="str">
        <x:v>Trần Hoàng Long</x:v>
      </x:c>
      <x:c r="L150" t="str">
        <x:v>DT-CAID-2026-028</x:v>
      </x:c>
      <x:c r="M150" t="str">
        <x:v>Có</x:v>
      </x:c>
      <x:c r="N150" t="str">
        <x:v>Có</x:v>
      </x:c>
      <x:c r="O150" t="str">
        <x:v>Hồ sơ mẫu dùng cho quy trình đề nghị thanh toán</x:v>
      </x:c>
    </x:row>
    <x:row r="151">
      <x:c r="A151" t="str">
        <x:v>PR-CAID-2026-150</x:v>
      </x:c>
      <x:c r="B151" t="n">
        <x:v>46176</x:v>
      </x:c>
      <x:c r="C151" t="str">
        <x:v>Employer Branding</x:v>
      </x:c>
      <x:c r="D151" t="str">
        <x:v>Thuê địa điểm</x:v>
      </x:c>
      <x:c r="E151" t="str">
        <x:v>Công ty Thiết kế BrandLab</x:v>
      </x:c>
      <x:c r="F151" t="str">
        <x:v>Thanh toán thuê địa điểm cho Employer Branding</x:v>
      </x:c>
      <x:c r="G151" t="n">
        <x:v>100000000</x:v>
      </x:c>
      <x:c r="H151" t="n">
        <x:f>G151*10%</x:f>
        <x:v>10000000</x:v>
      </x:c>
      <x:c r="I151" t="n">
        <x:f>G151+H151</x:f>
        <x:v>110000000</x:v>
      </x:c>
      <x:c r="J151" t="str">
        <x:v>Đã duyệt</x:v>
      </x:c>
      <x:c r="K151" t="str">
        <x:v>Lê Thu Hà</x:v>
      </x:c>
      <x:c r="L151" t="str">
        <x:v>DT-CAID-2026-069</x:v>
      </x:c>
      <x:c r="M151" t="str">
        <x:v>Không</x:v>
      </x:c>
      <x:c r="N151" t="str">
        <x:v>Có</x:v>
      </x:c>
      <x:c r="O151" t="str">
        <x:v>Hồ sơ mẫu dùng cho quy trình đề nghị thanh toán</x:v>
      </x:c>
    </x:row>
    <x:row r="152">
      <x:c r="A152" t="str">
        <x:v>PR-CAID-2026-151</x:v>
      </x:c>
      <x:c r="B152" t="n">
        <x:v>46213</x:v>
      </x:c>
      <x:c r="C152" t="str">
        <x:v>Fundraising Campaign</x:v>
      </x:c>
      <x:c r="D152" t="str">
        <x:v>Di chuyển công tác</x:v>
      </x:c>
      <x:c r="E152" t="str">
        <x:v>Công ty In ấn Minh Long</x:v>
      </x:c>
      <x:c r="F152" t="str">
        <x:v>Thanh toán di chuyển công tác cho Fundraising Campaign</x:v>
      </x:c>
      <x:c r="G152" t="n">
        <x:v>200000000</x:v>
      </x:c>
      <x:c r="H152" t="n">
        <x:f>G152*10%</x:f>
        <x:v>20000000</x:v>
      </x:c>
      <x:c r="I152" t="n">
        <x:f>G152+H152</x:f>
        <x:v>220000000</x:v>
      </x:c>
      <x:c r="J152" t="str">
        <x:v>Cần bổ sung hồ sơ</x:v>
      </x:c>
      <x:c r="K152" t="str">
        <x:v>Trần Hoàng Long</x:v>
      </x:c>
      <x:c r="L152" t="str">
        <x:v>DT-CAID-2026-077</x:v>
      </x:c>
      <x:c r="M152" t="str">
        <x:v>Có</x:v>
      </x:c>
      <x:c r="N152" t="str">
        <x:v>Có</x:v>
      </x:c>
      <x:c r="O152" t="str">
        <x:v>Hồ sơ mẫu dùng cho quy trình đề nghị thanh toán</x:v>
      </x:c>
    </x:row>
    <x:row r="153">
      <x:c r="A153" t="str">
        <x:v>PR-CAID-2026-152</x:v>
      </x:c>
      <x:c r="B153" t="n">
        <x:v>46251</x:v>
      </x:c>
      <x:c r="C153" t="str">
        <x:v>Career Fair</x:v>
      </x:c>
      <x:c r="D153" t="str">
        <x:v>Di chuyển công tác</x:v>
      </x:c>
      <x:c r="E153" t="str">
        <x:v>Công ty Thiết kế BrandLab</x:v>
      </x:c>
      <x:c r="F153" t="str">
        <x:v>Thanh toán di chuyển công tác cho Career Fair</x:v>
      </x:c>
      <x:c r="G153" t="n">
        <x:v>150000000</x:v>
      </x:c>
      <x:c r="H153" t="n">
        <x:f>G153*10%</x:f>
        <x:v>15000000</x:v>
      </x:c>
      <x:c r="I153" t="n">
        <x:f>G153+H153</x:f>
        <x:v>165000000</x:v>
      </x:c>
      <x:c r="J153" t="str">
        <x:v>Đã thanh toán</x:v>
      </x:c>
      <x:c r="K153" t="str">
        <x:v>Vũ Khánh Linh</x:v>
      </x:c>
      <x:c r="L153" t="str">
        <x:v>DT-CAID-2026-003</x:v>
      </x:c>
      <x:c r="M153" t="str">
        <x:v>Có</x:v>
      </x:c>
      <x:c r="N153" t="str">
        <x:v>Có</x:v>
      </x:c>
      <x:c r="O153" t="str">
        <x:v>Hồ sơ mẫu dùng cho quy trình đề nghị thanh toán</x:v>
      </x:c>
    </x:row>
    <x:row r="154">
      <x:c r="A154" t="str">
        <x:v>PR-CAID-2026-153</x:v>
      </x:c>
      <x:c r="B154" t="n">
        <x:v>46289</x:v>
      </x:c>
      <x:c r="C154" t="str">
        <x:v>MoU Signing</x:v>
      </x:c>
      <x:c r="D154" t="str">
        <x:v>Di chuyển công tác</x:v>
      </x:c>
      <x:c r="E154" t="str">
        <x:v>Công ty Alumni Network</x:v>
      </x:c>
      <x:c r="F154" t="str">
        <x:v>Thanh toán di chuyển công tác cho MoU Signing</x:v>
      </x:c>
      <x:c r="G154" t="n">
        <x:v>150000000</x:v>
      </x:c>
      <x:c r="H154" t="n">
        <x:f>G154*10%</x:f>
        <x:v>15000000</x:v>
      </x:c>
      <x:c r="I154" t="n">
        <x:f>G154+H154</x:f>
        <x:v>165000000</x:v>
      </x:c>
      <x:c r="J154" t="str">
        <x:v>Đã duyệt</x:v>
      </x:c>
      <x:c r="K154" t="str">
        <x:v>Hoàng Gia Bảo</x:v>
      </x:c>
      <x:c r="L154" t="str">
        <x:v>DT-CAID-2026-025</x:v>
      </x:c>
      <x:c r="M154" t="str">
        <x:v>Có</x:v>
      </x:c>
      <x:c r="N154" t="str">
        <x:v>Có</x:v>
      </x:c>
      <x:c r="O154" t="str">
        <x:v>Hồ sơ mẫu dùng cho quy trình đề nghị thanh toán</x:v>
      </x:c>
    </x:row>
    <x:row r="155">
      <x:c r="A155" t="str">
        <x:v>PR-CAID-2026-154</x:v>
      </x:c>
      <x:c r="B155" t="n">
        <x:v>46301</x:v>
      </x:c>
      <x:c r="C155" t="str">
        <x:v>Employer Branding</x:v>
      </x:c>
      <x:c r="D155" t="str">
        <x:v>Chăm sóc nhà tài trợ</x:v>
      </x:c>
      <x:c r="E155" t="str">
        <x:v>Công ty Logistics FastGo</x:v>
      </x:c>
      <x:c r="F155" t="str">
        <x:v>Thanh toán chăm sóc nhà tài trợ cho Employer Branding</x:v>
      </x:c>
      <x:c r="G155" t="n">
        <x:v>100000000</x:v>
      </x:c>
      <x:c r="H155" t="n">
        <x:f>G155*10%</x:f>
        <x:v>10000000</x:v>
      </x:c>
      <x:c r="I155" t="n">
        <x:f>G155+H155</x:f>
        <x:v>110000000</x:v>
      </x:c>
      <x:c r="J155" t="str">
        <x:v>Đã duyệt</x:v>
      </x:c>
      <x:c r="K155" t="str">
        <x:v>Nguyễn Minh Anh</x:v>
      </x:c>
      <x:c r="L155" t="str">
        <x:v>DT-CAID-2026-072</x:v>
      </x:c>
      <x:c r="M155" t="str">
        <x:v>Có</x:v>
      </x:c>
      <x:c r="N155" t="str">
        <x:v>Có</x:v>
      </x:c>
      <x:c r="O155" t="str">
        <x:v>Hồ sơ mẫu dùng cho quy trình đề nghị thanh toán</x:v>
      </x:c>
    </x:row>
    <x:row r="156">
      <x:c r="A156" t="str">
        <x:v>PR-CAID-2026-155</x:v>
      </x:c>
      <x:c r="B156" t="n">
        <x:v>46339</x:v>
      </x:c>
      <x:c r="C156" t="str">
        <x:v>Innovation Challenge</x:v>
      </x:c>
      <x:c r="D156" t="str">
        <x:v>Diễn giả/chuyên gia</x:v>
      </x:c>
      <x:c r="E156" t="str">
        <x:v>Công ty In ấn Minh Long</x:v>
      </x:c>
      <x:c r="F156" t="str">
        <x:v>Thanh toán diễn giả/chuyên gia cho Innovation Challenge</x:v>
      </x:c>
      <x:c r="G156" t="n">
        <x:v>3000000</x:v>
      </x:c>
      <x:c r="H156" t="n">
        <x:f>G156*10%</x:f>
        <x:v>300000</x:v>
      </x:c>
      <x:c r="I156" t="n">
        <x:f>G156+H156</x:f>
        <x:v>3300000</x:v>
      </x:c>
      <x:c r="J156" t="str">
        <x:v>Đã thanh toán</x:v>
      </x:c>
      <x:c r="K156" t="str">
        <x:v>Hoàng Gia Bảo</x:v>
      </x:c>
      <x:c r="L156" t="str">
        <x:v>DT-CAID-2026-102</x:v>
      </x:c>
      <x:c r="M156" t="str">
        <x:v>Có</x:v>
      </x:c>
      <x:c r="N156" t="str">
        <x:v>Không</x:v>
      </x:c>
      <x:c r="O156" t="str">
        <x:v>Hồ sơ mẫu dùng cho quy trình đề nghị thanh toán</x:v>
      </x:c>
    </x:row>
    <x:row r="157">
      <x:c r="A157" t="str">
        <x:v>PR-CAID-2026-156</x:v>
      </x:c>
      <x:c r="B157" t="n">
        <x:v>46376</x:v>
      </x:c>
      <x:c r="C157" t="str">
        <x:v>Internship Program</x:v>
      </x:c>
      <x:c r="D157" t="str">
        <x:v>Tài trợ sinh viên</x:v>
      </x:c>
      <x:c r="E157" t="str">
        <x:v>Công ty CareerHub Việt Nam</x:v>
      </x:c>
      <x:c r="F157" t="str">
        <x:v>Thanh toán tài trợ sinh viên cho Internship Program</x:v>
      </x:c>
      <x:c r="G157" t="n">
        <x:v>12000000</x:v>
      </x:c>
      <x:c r="H157" t="n">
        <x:f>G157*10%</x:f>
        <x:v>1200000</x:v>
      </x:c>
      <x:c r="I157" t="n">
        <x:f>G157+H157</x:f>
        <x:v>13200000</x:v>
      </x:c>
      <x:c r="J157" t="str">
        <x:v>Từ chối</x:v>
      </x:c>
      <x:c r="K157" t="str">
        <x:v>Phạm Quang Huy</x:v>
      </x:c>
      <x:c r="L157" t="str">
        <x:v>DT-CAID-2026-139</x:v>
      </x:c>
      <x:c r="M157" t="str">
        <x:v>Không</x:v>
      </x:c>
      <x:c r="N157" t="str">
        <x:v>Không</x:v>
      </x:c>
      <x:c r="O157" t="str">
        <x:v>Hồ sơ mẫu dùng cho quy trình đề nghị thanh toán</x:v>
      </x:c>
    </x:row>
    <x:row r="158">
      <x:c r="A158" t="str">
        <x:v>PR-CAID-2026-157</x:v>
      </x:c>
      <x:c r="B158" t="n">
        <x:v>46049</x:v>
      </x:c>
      <x:c r="C158" t="str">
        <x:v>Development Event</x:v>
      </x:c>
      <x:c r="D158" t="str">
        <x:v>Chăm sóc nhà tài trợ</x:v>
      </x:c>
      <x:c r="E158" t="str">
        <x:v>Công ty Digital Growth</x:v>
      </x:c>
      <x:c r="F158" t="str">
        <x:v>Thanh toán chăm sóc nhà tài trợ cho Development Event</x:v>
      </x:c>
      <x:c r="G158" t="n">
        <x:v>300000000</x:v>
      </x:c>
      <x:c r="H158" t="n">
        <x:f>G158*10%</x:f>
        <x:v>30000000</x:v>
      </x:c>
      <x:c r="I158" t="n">
        <x:f>G158+H158</x:f>
        <x:v>330000000</x:v>
      </x:c>
      <x:c r="J158" t="str">
        <x:v>Đã gửi duyệt</x:v>
      </x:c>
      <x:c r="K158" t="str">
        <x:v>Vũ Khánh Linh</x:v>
      </x:c>
      <x:c r="L158" t="str">
        <x:v>DT-CAID-2026-089</x:v>
      </x:c>
      <x:c r="M158" t="str">
        <x:v>Có</x:v>
      </x:c>
      <x:c r="N158" t="str">
        <x:v>Có</x:v>
      </x:c>
      <x:c r="O158" t="str">
        <x:v>Hồ sơ mẫu dùng cho quy trình đề nghị thanh toán</x:v>
      </x:c>
    </x:row>
    <x:row r="159">
      <x:c r="A159" t="str">
        <x:v>PR-CAID-2026-158</x:v>
      </x:c>
      <x:c r="B159" t="n">
        <x:v>46062</x:v>
      </x:c>
      <x:c r="C159" t="str">
        <x:v>Scholarship Donor Program</x:v>
      </x:c>
      <x:c r="D159" t="str">
        <x:v>Thuê địa điểm</x:v>
      </x:c>
      <x:c r="E159" t="str">
        <x:v>Nền tảng CRM EduPartner</x:v>
      </x:c>
      <x:c r="F159" t="str">
        <x:v>Thanh toán thuê địa điểm cho Scholarship Donor Program</x:v>
      </x:c>
      <x:c r="G159" t="n">
        <x:v>5000000</x:v>
      </x:c>
      <x:c r="H159" t="n">
        <x:f>G159*10%</x:f>
        <x:v>500000</x:v>
      </x:c>
      <x:c r="I159" t="n">
        <x:f>G159+H159</x:f>
        <x:v>5500000</x:v>
      </x:c>
      <x:c r="J159" t="str">
        <x:v>Đã thanh toán</x:v>
      </x:c>
      <x:c r="K159" t="str">
        <x:v>Đỗ Bảo Ngọc</x:v>
      </x:c>
      <x:c r="L159" t="str">
        <x:v>DT-CAID-2026-102</x:v>
      </x:c>
      <x:c r="M159" t="str">
        <x:v>Không</x:v>
      </x:c>
      <x:c r="N159" t="str">
        <x:v>Có</x:v>
      </x:c>
      <x:c r="O159" t="str">
        <x:v>Hồ sơ mẫu dùng cho quy trình đề nghị thanh toán</x:v>
      </x:c>
    </x:row>
    <x:row r="160">
      <x:c r="A160" t="str">
        <x:v>PR-CAID-2026-159</x:v>
      </x:c>
      <x:c r="B160" t="n">
        <x:v>46097</x:v>
      </x:c>
      <x:c r="C160" t="str">
        <x:v>Mentorship Program</x:v>
      </x:c>
      <x:c r="D160" t="str">
        <x:v>Quà tặng đối tác</x:v>
      </x:c>
      <x:c r="E160" t="str">
        <x:v>Công ty Logistics FastGo</x:v>
      </x:c>
      <x:c r="F160" t="str">
        <x:v>Thanh toán quà tặng đối tác cho Mentorship Program</x:v>
      </x:c>
      <x:c r="G160" t="n">
        <x:v>50000000</x:v>
      </x:c>
      <x:c r="H160" t="n">
        <x:f>G160*10%</x:f>
        <x:v>5000000</x:v>
      </x:c>
      <x:c r="I160" t="n">
        <x:f>G160+H160</x:f>
        <x:v>55000000</x:v>
      </x:c>
      <x:c r="J160" t="str">
        <x:v>Đã duyệt</x:v>
      </x:c>
      <x:c r="K160" t="str">
        <x:v>Đỗ Bảo Ngọc</x:v>
      </x:c>
      <x:c r="L160" t="str">
        <x:v>DT-CAID-2026-097</x:v>
      </x:c>
      <x:c r="M160" t="str">
        <x:v>Không</x:v>
      </x:c>
      <x:c r="N160" t="str">
        <x:v>Có</x:v>
      </x:c>
      <x:c r="O160" t="str">
        <x:v>Hồ sơ mẫu dùng cho quy trình đề nghị thanh toán</x:v>
      </x:c>
    </x:row>
    <x:row r="161">
      <x:c r="A161" t="str">
        <x:v>PR-CAID-2026-160</x:v>
      </x:c>
      <x:c r="B161" t="n">
        <x:v>46135</x:v>
      </x:c>
      <x:c r="C161" t="str">
        <x:v>Mentorship Program</x:v>
      </x:c>
      <x:c r="D161" t="str">
        <x:v>Tài trợ sinh viên</x:v>
      </x:c>
      <x:c r="E161" t="str">
        <x:v>Trung tâm Hội nghị Skyline</x:v>
      </x:c>
      <x:c r="F161" t="str">
        <x:v>Thanh toán tài trợ sinh viên cho Mentorship Program</x:v>
      </x:c>
      <x:c r="G161" t="n">
        <x:v>150000000</x:v>
      </x:c>
      <x:c r="H161" t="n">
        <x:f>G161*10%</x:f>
        <x:v>15000000</x:v>
      </x:c>
      <x:c r="I161" t="n">
        <x:f>G161+H161</x:f>
        <x:v>165000000</x:v>
      </x:c>
      <x:c r="J161" t="str">
        <x:v>Đã gửi duyệt</x:v>
      </x:c>
      <x:c r="K161" t="str">
        <x:v>Đỗ Bảo Ngọc</x:v>
      </x:c>
      <x:c r="L161" t="str">
        <x:v>DT-CAID-2026-076</x:v>
      </x:c>
      <x:c r="M161" t="str">
        <x:v>Có</x:v>
      </x:c>
      <x:c r="N161" t="str">
        <x:v>Có</x:v>
      </x:c>
      <x:c r="O161" t="str">
        <x:v>Hồ sơ mẫu dùng cho quy trình đề nghị thanh toán</x:v>
      </x:c>
    </x:row>
    <x:row r="162">
      <x:c r="A162" t="str">
        <x:v>PR-CAID-2026-161</x:v>
      </x:c>
      <x:c r="B162" t="n">
        <x:v>46147</x:v>
      </x:c>
      <x:c r="C162" t="str">
        <x:v>Career Fair</x:v>
      </x:c>
      <x:c r="D162" t="str">
        <x:v>Quà tặng đối tác</x:v>
      </x:c>
      <x:c r="E162" t="str">
        <x:v>Công ty Digital Growth</x:v>
      </x:c>
      <x:c r="F162" t="str">
        <x:v>Thanh toán quà tặng đối tác cho Career Fair</x:v>
      </x:c>
      <x:c r="G162" t="n">
        <x:v>150000000</x:v>
      </x:c>
      <x:c r="H162" t="n">
        <x:f>G162*10%</x:f>
        <x:v>15000000</x:v>
      </x:c>
      <x:c r="I162" t="n">
        <x:f>G162+H162</x:f>
        <x:v>165000000</x:v>
      </x:c>
      <x:c r="J162" t="str">
        <x:v>Đã thanh toán</x:v>
      </x:c>
      <x:c r="K162" t="str">
        <x:v>Trần Hoàng Long</x:v>
      </x:c>
      <x:c r="L162" t="str">
        <x:v>DT-CAID-2026-100</x:v>
      </x:c>
      <x:c r="M162" t="str">
        <x:v>Không</x:v>
      </x:c>
      <x:c r="N162" t="str">
        <x:v>Không</x:v>
      </x:c>
      <x:c r="O162" t="str">
        <x:v>Hồ sơ mẫu dùng cho quy trình đề nghị thanh toán</x:v>
      </x:c>
    </x:row>
    <x:row r="163">
      <x:c r="A163" t="str">
        <x:v>PR-CAID-2026-162</x:v>
      </x:c>
      <x:c r="B163" t="n">
        <x:v>46185</x:v>
      </x:c>
      <x:c r="C163" t="str">
        <x:v>Career Fair</x:v>
      </x:c>
      <x:c r="D163" t="str">
        <x:v>Tiếp khách doanh nghiệp</x:v>
      </x:c>
      <x:c r="E163" t="str">
        <x:v>Công ty Logistics FastGo</x:v>
      </x:c>
      <x:c r="F163" t="str">
        <x:v>Thanh toán tiếp khách doanh nghiệp cho Career Fair</x:v>
      </x:c>
      <x:c r="G163" t="n">
        <x:v>100000000</x:v>
      </x:c>
      <x:c r="H163" t="n">
        <x:f>G163*10%</x:f>
        <x:v>10000000</x:v>
      </x:c>
      <x:c r="I163" t="n">
        <x:f>G163+H163</x:f>
        <x:v>110000000</x:v>
      </x:c>
      <x:c r="J163" t="str">
        <x:v>Đã duyệt</x:v>
      </x:c>
      <x:c r="K163" t="str">
        <x:v>Lê Thu Hà</x:v>
      </x:c>
      <x:c r="L163" t="str">
        <x:v>DT-CAID-2026-027</x:v>
      </x:c>
      <x:c r="M163" t="str">
        <x:v>Có</x:v>
      </x:c>
      <x:c r="N163" t="str">
        <x:v>Có</x:v>
      </x:c>
      <x:c r="O163" t="str">
        <x:v>Hồ sơ mẫu dùng cho quy trình đề nghị thanh toán</x:v>
      </x:c>
    </x:row>
    <x:row r="164">
      <x:c r="A164" t="str">
        <x:v>PR-CAID-2026-163</x:v>
      </x:c>
      <x:c r="B164" t="n">
        <x:v>46222</x:v>
      </x:c>
      <x:c r="C164" t="str">
        <x:v>Internship Program</x:v>
      </x:c>
      <x:c r="D164" t="str">
        <x:v>Di chuyển công tác</x:v>
      </x:c>
      <x:c r="E164" t="str">
        <x:v>Công ty Thiết kế BrandLab</x:v>
      </x:c>
      <x:c r="F164" t="str">
        <x:v>Thanh toán di chuyển công tác cho Internship Program</x:v>
      </x:c>
      <x:c r="G164" t="n">
        <x:v>50000000</x:v>
      </x:c>
      <x:c r="H164" t="n">
        <x:f>G164*10%</x:f>
        <x:v>5000000</x:v>
      </x:c>
      <x:c r="I164" t="n">
        <x:f>G164+H164</x:f>
        <x:v>55000000</x:v>
      </x:c>
      <x:c r="J164" t="str">
        <x:v>Đã thanh toán</x:v>
      </x:c>
      <x:c r="K164" t="str">
        <x:v>Phạm Quang Huy</x:v>
      </x:c>
      <x:c r="L164" t="str">
        <x:v>DT-CAID-2026-027</x:v>
      </x:c>
      <x:c r="M164" t="str">
        <x:v>Có</x:v>
      </x:c>
      <x:c r="N164" t="str">
        <x:v>Có</x:v>
      </x:c>
      <x:c r="O164" t="str">
        <x:v>Hồ sơ mẫu dùng cho quy trình đề nghị thanh toán</x:v>
      </x:c>
    </x:row>
    <x:row r="165">
      <x:c r="A165" t="str">
        <x:v>PR-CAID-2026-164</x:v>
      </x:c>
      <x:c r="B165" t="n">
        <x:v>46260</x:v>
      </x:c>
      <x:c r="C165" t="str">
        <x:v>Fundraising Campaign</x:v>
      </x:c>
      <x:c r="D165" t="str">
        <x:v>Phần mềm CRM</x:v>
      </x:c>
      <x:c r="E165" t="str">
        <x:v>Công ty CareerHub Việt Nam</x:v>
      </x:c>
      <x:c r="F165" t="str">
        <x:v>Thanh toán phần mềm crm cho Fundraising Campaign</x:v>
      </x:c>
      <x:c r="G165" t="n">
        <x:v>200000000</x:v>
      </x:c>
      <x:c r="H165" t="n">
        <x:f>G165*10%</x:f>
        <x:v>20000000</x:v>
      </x:c>
      <x:c r="I165" t="n">
        <x:f>G165+H165</x:f>
        <x:v>220000000</x:v>
      </x:c>
      <x:c r="J165" t="str">
        <x:v>Đã thanh toán</x:v>
      </x:c>
      <x:c r="K165" t="str">
        <x:v>Hoàng Gia Bảo</x:v>
      </x:c>
      <x:c r="L165" t="str">
        <x:v>DT-CAID-2026-099</x:v>
      </x:c>
      <x:c r="M165" t="str">
        <x:v>Có</x:v>
      </x:c>
      <x:c r="N165" t="str">
        <x:v>Không</x:v>
      </x:c>
      <x:c r="O165" t="str">
        <x:v>Hồ sơ mẫu dùng cho quy trình đề nghị thanh toán</x:v>
      </x:c>
    </x:row>
    <x:row r="166">
      <x:c r="A166" t="str">
        <x:v>PR-CAID-2026-165</x:v>
      </x:c>
      <x:c r="B166" t="n">
        <x:v>46273</x:v>
      </x:c>
      <x:c r="C166" t="str">
        <x:v>Scholarship Donor Program</x:v>
      </x:c>
      <x:c r="D166" t="str">
        <x:v>Di chuyển công tác</x:v>
      </x:c>
      <x:c r="E166" t="str">
        <x:v>Công ty Digital Growth</x:v>
      </x:c>
      <x:c r="F166" t="str">
        <x:v>Thanh toán di chuyển công tác cho Scholarship Donor Program</x:v>
      </x:c>
      <x:c r="G166" t="n">
        <x:v>5000000</x:v>
      </x:c>
      <x:c r="H166" t="n">
        <x:f>G166*10%</x:f>
        <x:v>500000</x:v>
      </x:c>
      <x:c r="I166" t="n">
        <x:f>G166+H166</x:f>
        <x:v>5500000</x:v>
      </x:c>
      <x:c r="J166" t="str">
        <x:v>Cần bổ sung hồ sơ</x:v>
      </x:c>
      <x:c r="K166" t="str">
        <x:v>Trần Hoàng Long</x:v>
      </x:c>
      <x:c r="L166" t="str">
        <x:v>DT-CAID-2026-147</x:v>
      </x:c>
      <x:c r="M166" t="str">
        <x:v>Có</x:v>
      </x:c>
      <x:c r="N166" t="str">
        <x:v>Không</x:v>
      </x:c>
      <x:c r="O166" t="str">
        <x:v>Hồ sơ mẫu dùng cho quy trình đề nghị thanh toán</x:v>
      </x:c>
    </x:row>
    <x:row r="167">
      <x:c r="A167" t="str">
        <x:v>PR-CAID-2026-166</x:v>
      </x:c>
      <x:c r="B167" t="n">
        <x:v>46310</x:v>
      </x:c>
      <x:c r="C167" t="str">
        <x:v>Internship Program</x:v>
      </x:c>
      <x:c r="D167" t="str">
        <x:v>Truyền thông &amp; thiết kế</x:v>
      </x:c>
      <x:c r="E167" t="str">
        <x:v>Công ty Quà tặng Việt</x:v>
      </x:c>
      <x:c r="F167" t="str">
        <x:v>Thanh toán truyền thông &amp; thiết kế cho Internship Program</x:v>
      </x:c>
      <x:c r="G167" t="n">
        <x:v>15000000</x:v>
      </x:c>
      <x:c r="H167" t="n">
        <x:f>G167*10%</x:f>
        <x:v>1500000</x:v>
      </x:c>
      <x:c r="I167" t="n">
        <x:f>G167+H167</x:f>
        <x:v>16500000</x:v>
      </x:c>
      <x:c r="J167" t="str">
        <x:v>Đã duyệt</x:v>
      </x:c>
      <x:c r="K167" t="str">
        <x:v>Trần Hoàng Long</x:v>
      </x:c>
      <x:c r="L167" t="str">
        <x:v>DT-CAID-2026-017</x:v>
      </x:c>
      <x:c r="M167" t="str">
        <x:v>Có</x:v>
      </x:c>
      <x:c r="N167" t="str">
        <x:v>Không</x:v>
      </x:c>
      <x:c r="O167" t="str">
        <x:v>Hồ sơ mẫu dùng cho quy trình đề nghị thanh toán</x:v>
      </x:c>
    </x:row>
    <x:row r="168">
      <x:c r="A168" t="str">
        <x:v>PR-CAID-2026-167</x:v>
      </x:c>
      <x:c r="B168" t="n">
        <x:v>46348</x:v>
      </x:c>
      <x:c r="C168" t="str">
        <x:v>Alumni Engagement</x:v>
      </x:c>
      <x:c r="D168" t="str">
        <x:v>Di chuyển công tác</x:v>
      </x:c>
      <x:c r="E168" t="str">
        <x:v>Công ty Logistics FastGo</x:v>
      </x:c>
      <x:c r="F168" t="str">
        <x:v>Thanh toán di chuyển công tác cho Alumni Engagement</x:v>
      </x:c>
      <x:c r="G168" t="n">
        <x:v>15000000</x:v>
      </x:c>
      <x:c r="H168" t="n">
        <x:f>G168*10%</x:f>
        <x:v>1500000</x:v>
      </x:c>
      <x:c r="I168" t="n">
        <x:f>G168+H168</x:f>
        <x:v>16500000</x:v>
      </x:c>
      <x:c r="J168" t="str">
        <x:v>Đã thanh toán</x:v>
      </x:c>
      <x:c r="K168" t="str">
        <x:v>Lê Thu Hà</x:v>
      </x:c>
      <x:c r="L168" t="str">
        <x:v>DT-CAID-2026-065</x:v>
      </x:c>
      <x:c r="M168" t="str">
        <x:v>Có</x:v>
      </x:c>
      <x:c r="N168" t="str">
        <x:v>Không</x:v>
      </x:c>
      <x:c r="O168" t="str">
        <x:v>Hồ sơ mẫu dùng cho quy trình đề nghị thanh toán</x:v>
      </x:c>
    </x:row>
    <x:row r="169">
      <x:c r="A169" t="str">
        <x:v>PR-CAID-2026-168</x:v>
      </x:c>
      <x:c r="B169" t="n">
        <x:v>46360</x:v>
      </x:c>
      <x:c r="C169" t="str">
        <x:v>Industry Advisory Board</x:v>
      </x:c>
      <x:c r="D169" t="str">
        <x:v>Tài trợ sinh viên</x:v>
      </x:c>
      <x:c r="E169" t="str">
        <x:v>Công ty Logistics FastGo</x:v>
      </x:c>
      <x:c r="F169" t="str">
        <x:v>Thanh toán tài trợ sinh viên cho Industry Advisory Board</x:v>
      </x:c>
      <x:c r="G169" t="n">
        <x:v>12000000</x:v>
      </x:c>
      <x:c r="H169" t="n">
        <x:f>G169*10%</x:f>
        <x:v>1200000</x:v>
      </x:c>
      <x:c r="I169" t="n">
        <x:f>G169+H169</x:f>
        <x:v>13200000</x:v>
      </x:c>
      <x:c r="J169" t="str">
        <x:v>Đã gửi duyệt</x:v>
      </x:c>
      <x:c r="K169" t="str">
        <x:v>Lê Thu Hà</x:v>
      </x:c>
      <x:c r="L169" t="str">
        <x:v>DT-CAID-2026-002</x:v>
      </x:c>
      <x:c r="M169" t="str">
        <x:v>Không</x:v>
      </x:c>
      <x:c r="N169" t="str">
        <x:v>Không</x:v>
      </x:c>
      <x:c r="O169" t="str">
        <x:v>Hồ sơ mẫu dùng cho quy trình đề nghị thanh toán</x:v>
      </x:c>
    </x:row>
    <x:row r="170">
      <x:c r="A170" t="str">
        <x:v>PR-CAID-2026-169</x:v>
      </x:c>
      <x:c r="B170" t="n">
        <x:v>46033</x:v>
      </x:c>
      <x:c r="C170" t="str">
        <x:v>Donor Stewardship</x:v>
      </x:c>
      <x:c r="D170" t="str">
        <x:v>Tài trợ sinh viên</x:v>
      </x:c>
      <x:c r="E170" t="str">
        <x:v>Công ty Alumni Network</x:v>
      </x:c>
      <x:c r="F170" t="str">
        <x:v>Thanh toán tài trợ sinh viên cho Donor Stewardship</x:v>
      </x:c>
      <x:c r="G170" t="n">
        <x:v>35000000</x:v>
      </x:c>
      <x:c r="H170" t="n">
        <x:f>G170*10%</x:f>
        <x:v>3500000</x:v>
      </x:c>
      <x:c r="I170" t="n">
        <x:f>G170+H170</x:f>
        <x:v>38500000</x:v>
      </x:c>
      <x:c r="J170" t="str">
        <x:v>Từ chối</x:v>
      </x:c>
      <x:c r="K170" t="str">
        <x:v>Phạm Quang Huy</x:v>
      </x:c>
      <x:c r="L170" t="str">
        <x:v>DT-CAID-2026-086</x:v>
      </x:c>
      <x:c r="M170" t="str">
        <x:v>Không</x:v>
      </x:c>
      <x:c r="N170" t="str">
        <x:v>Có</x:v>
      </x:c>
      <x:c r="O170" t="str">
        <x:v>Hồ sơ mẫu dùng cho quy trình đề nghị thanh toán</x:v>
      </x:c>
    </x:row>
    <x:row r="171">
      <x:c r="A171" t="str">
        <x:v>PR-CAID-2026-170</x:v>
      </x:c>
      <x:c r="B171" t="n">
        <x:v>46071</x:v>
      </x:c>
      <x:c r="C171" t="str">
        <x:v>Alumni Engagement</x:v>
      </x:c>
      <x:c r="D171" t="str">
        <x:v>Diễn giả/chuyên gia</x:v>
      </x:c>
      <x:c r="E171" t="str">
        <x:v>Công ty Digital Growth</x:v>
      </x:c>
      <x:c r="F171" t="str">
        <x:v>Thanh toán diễn giả/chuyên gia cho Alumni Engagement</x:v>
      </x:c>
      <x:c r="G171" t="n">
        <x:v>100000000</x:v>
      </x:c>
      <x:c r="H171" t="n">
        <x:f>G171*10%</x:f>
        <x:v>10000000</x:v>
      </x:c>
      <x:c r="I171" t="n">
        <x:f>G171+H171</x:f>
        <x:v>110000000</x:v>
      </x:c>
      <x:c r="J171" t="str">
        <x:v>Đã duyệt</x:v>
      </x:c>
      <x:c r="K171" t="str">
        <x:v>Lê Thu Hà</x:v>
      </x:c>
      <x:c r="L171" t="str">
        <x:v>DT-CAID-2026-046</x:v>
      </x:c>
      <x:c r="M171" t="str">
        <x:v>Không</x:v>
      </x:c>
      <x:c r="N171" t="str">
        <x:v>Không</x:v>
      </x:c>
      <x:c r="O171" t="str">
        <x:v>Hồ sơ mẫu dùng cho quy trình đề nghị thanh toán</x:v>
      </x:c>
    </x:row>
    <x:row r="172">
      <x:c r="A172" t="str">
        <x:v>PR-CAID-2026-171</x:v>
      </x:c>
      <x:c r="B172" t="n">
        <x:v>46106</x:v>
      </x:c>
      <x:c r="C172" t="str">
        <x:v>Alumni Engagement</x:v>
      </x:c>
      <x:c r="D172" t="str">
        <x:v>Chăm sóc nhà tài trợ</x:v>
      </x:c>
      <x:c r="E172" t="str">
        <x:v>Công ty Logistics FastGo</x:v>
      </x:c>
      <x:c r="F172" t="str">
        <x:v>Thanh toán chăm sóc nhà tài trợ cho Alumni Engagement</x:v>
      </x:c>
      <x:c r="G172" t="n">
        <x:v>150000000</x:v>
      </x:c>
      <x:c r="H172" t="n">
        <x:f>G172*10%</x:f>
        <x:v>15000000</x:v>
      </x:c>
      <x:c r="I172" t="n">
        <x:f>G172+H172</x:f>
        <x:v>165000000</x:v>
      </x:c>
      <x:c r="J172" t="str">
        <x:v>Cần bổ sung hồ sơ</x:v>
      </x:c>
      <x:c r="K172" t="str">
        <x:v>Hoàng Gia Bảo</x:v>
      </x:c>
      <x:c r="L172" t="str">
        <x:v>DT-CAID-2026-063</x:v>
      </x:c>
      <x:c r="M172" t="str">
        <x:v>Không</x:v>
      </x:c>
      <x:c r="N172" t="str">
        <x:v>Không</x:v>
      </x:c>
      <x:c r="O172" t="str">
        <x:v>Hồ sơ mẫu dùng cho quy trình đề nghị thanh toán</x:v>
      </x:c>
    </x:row>
    <x:row r="173">
      <x:c r="A173" t="str">
        <x:v>PR-CAID-2026-172</x:v>
      </x:c>
      <x:c r="B173" t="n">
        <x:v>46119</x:v>
      </x:c>
      <x:c r="C173" t="str">
        <x:v>Alumni Engagement</x:v>
      </x:c>
      <x:c r="D173" t="str">
        <x:v>Di chuyển công tác</x:v>
      </x:c>
      <x:c r="E173" t="str">
        <x:v>Công ty Truyền thông Apex</x:v>
      </x:c>
      <x:c r="F173" t="str">
        <x:v>Thanh toán di chuyển công tác cho Alumni Engagement</x:v>
      </x:c>
      <x:c r="G173" t="n">
        <x:v>20000000</x:v>
      </x:c>
      <x:c r="H173" t="n">
        <x:f>G173*10%</x:f>
        <x:v>2000000</x:v>
      </x:c>
      <x:c r="I173" t="n">
        <x:f>G173+H173</x:f>
        <x:v>22000000</x:v>
      </x:c>
      <x:c r="J173" t="str">
        <x:v>Cần bổ sung hồ sơ</x:v>
      </x:c>
      <x:c r="K173" t="str">
        <x:v>Trần Hoàng Long</x:v>
      </x:c>
      <x:c r="L173" t="str">
        <x:v>DT-CAID-2026-140</x:v>
      </x:c>
      <x:c r="M173" t="str">
        <x:v>Có</x:v>
      </x:c>
      <x:c r="N173" t="str">
        <x:v>Có</x:v>
      </x:c>
      <x:c r="O173" t="str">
        <x:v>Hồ sơ mẫu dùng cho quy trình đề nghị thanh toán</x:v>
      </x:c>
    </x:row>
    <x:row r="174">
      <x:c r="A174" t="str">
        <x:v>PR-CAID-2026-173</x:v>
      </x:c>
      <x:c r="B174" t="n">
        <x:v>46156</x:v>
      </x:c>
      <x:c r="C174" t="str">
        <x:v>Corporate Training</x:v>
      </x:c>
      <x:c r="D174" t="str">
        <x:v>In ấn tài liệu</x:v>
      </x:c>
      <x:c r="E174" t="str">
        <x:v>Công ty Logistics FastGo</x:v>
      </x:c>
      <x:c r="F174" t="str">
        <x:v>Thanh toán in ấn tài liệu cho Corporate Training</x:v>
      </x:c>
      <x:c r="G174" t="n">
        <x:v>12000000</x:v>
      </x:c>
      <x:c r="H174" t="n">
        <x:f>G174*10%</x:f>
        <x:v>1200000</x:v>
      </x:c>
      <x:c r="I174" t="n">
        <x:f>G174+H174</x:f>
        <x:v>13200000</x:v>
      </x:c>
      <x:c r="J174" t="str">
        <x:v>Đã thanh toán</x:v>
      </x:c>
      <x:c r="K174" t="str">
        <x:v>Hoàng Gia Bảo</x:v>
      </x:c>
      <x:c r="L174" t="str">
        <x:v>DT-CAID-2026-018</x:v>
      </x:c>
      <x:c r="M174" t="str">
        <x:v>Không</x:v>
      </x:c>
      <x:c r="N174" t="str">
        <x:v>Không</x:v>
      </x:c>
      <x:c r="O174" t="str">
        <x:v>Hồ sơ mẫu dùng cho quy trình đề nghị thanh toán</x:v>
      </x:c>
    </x:row>
    <x:row r="175">
      <x:c r="A175" t="str">
        <x:v>PR-CAID-2026-174</x:v>
      </x:c>
      <x:c r="B175" t="n">
        <x:v>46194</x:v>
      </x:c>
      <x:c r="C175" t="str">
        <x:v>Internship Program</x:v>
      </x:c>
      <x:c r="D175" t="str">
        <x:v>Hội thảo doanh nghiệp</x:v>
      </x:c>
      <x:c r="E175" t="str">
        <x:v>Công ty In ấn Minh Long</x:v>
      </x:c>
      <x:c r="F175" t="str">
        <x:v>Thanh toán hội thảo doanh nghiệp cho Internship Program</x:v>
      </x:c>
      <x:c r="G175" t="n">
        <x:v>15000000</x:v>
      </x:c>
      <x:c r="H175" t="n">
        <x:f>G175*10%</x:f>
        <x:v>1500000</x:v>
      </x:c>
      <x:c r="I175" t="n">
        <x:f>G175+H175</x:f>
        <x:v>16500000</x:v>
      </x:c>
      <x:c r="J175" t="str">
        <x:v>Đã duyệt</x:v>
      </x:c>
      <x:c r="K175" t="str">
        <x:v>Trần Hoàng Long</x:v>
      </x:c>
      <x:c r="L175" t="str">
        <x:v>DT-CAID-2026-109</x:v>
      </x:c>
      <x:c r="M175" t="str">
        <x:v>Không</x:v>
      </x:c>
      <x:c r="N175" t="str">
        <x:v>Có</x:v>
      </x:c>
      <x:c r="O175" t="str">
        <x:v>Hồ sơ mẫu dùng cho quy trình đề nghị thanh toán</x:v>
      </x:c>
    </x:row>
    <x:row r="176">
      <x:c r="A176" t="str">
        <x:v>PR-CAID-2026-175</x:v>
      </x:c>
      <x:c r="B176" t="n">
        <x:v>46206</x:v>
      </x:c>
      <x:c r="C176" t="str">
        <x:v>MoU Signing</x:v>
      </x:c>
      <x:c r="D176" t="str">
        <x:v>Tài trợ sinh viên</x:v>
      </x:c>
      <x:c r="E176" t="str">
        <x:v>Công ty CareerHub Việt Nam</x:v>
      </x:c>
      <x:c r="F176" t="str">
        <x:v>Thanh toán tài trợ sinh viên cho MoU Signing</x:v>
      </x:c>
      <x:c r="G176" t="n">
        <x:v>50000000</x:v>
      </x:c>
      <x:c r="H176" t="n">
        <x:f>G176*10%</x:f>
        <x:v>5000000</x:v>
      </x:c>
      <x:c r="I176" t="n">
        <x:f>G176+H176</x:f>
        <x:v>55000000</x:v>
      </x:c>
      <x:c r="J176" t="str">
        <x:v>Đã duyệt</x:v>
      </x:c>
      <x:c r="K176" t="str">
        <x:v>Đỗ Bảo Ngọc</x:v>
      </x:c>
      <x:c r="L176" t="str">
        <x:v>DT-CAID-2026-108</x:v>
      </x:c>
      <x:c r="M176" t="str">
        <x:v>Có</x:v>
      </x:c>
      <x:c r="N176" t="str">
        <x:v>Không</x:v>
      </x:c>
      <x:c r="O176" t="str">
        <x:v>Hồ sơ mẫu dùng cho quy trình đề nghị thanh toán</x:v>
      </x:c>
    </x:row>
    <x:row r="177">
      <x:c r="A177" t="str">
        <x:v>PR-CAID-2026-176</x:v>
      </x:c>
      <x:c r="B177" t="n">
        <x:v>46244</x:v>
      </x:c>
      <x:c r="C177" t="str">
        <x:v>Corporate Training</x:v>
      </x:c>
      <x:c r="D177" t="str">
        <x:v>Phần mềm CRM</x:v>
      </x:c>
      <x:c r="E177" t="str">
        <x:v>Công ty HR Bridge</x:v>
      </x:c>
      <x:c r="F177" t="str">
        <x:v>Thanh toán phần mềm crm cho Corporate Training</x:v>
      </x:c>
      <x:c r="G177" t="n">
        <x:v>100000000</x:v>
      </x:c>
      <x:c r="H177" t="n">
        <x:f>G177*10%</x:f>
        <x:v>10000000</x:v>
      </x:c>
      <x:c r="I177" t="n">
        <x:f>G177+H177</x:f>
        <x:v>110000000</x:v>
      </x:c>
      <x:c r="J177" t="str">
        <x:v>Cần bổ sung hồ sơ</x:v>
      </x:c>
      <x:c r="K177" t="str">
        <x:v>Nguyễn Minh Anh</x:v>
      </x:c>
      <x:c r="L177" t="str">
        <x:v>DT-CAID-2026-064</x:v>
      </x:c>
      <x:c r="M177" t="str">
        <x:v>Không</x:v>
      </x:c>
      <x:c r="N177" t="str">
        <x:v>Có</x:v>
      </x:c>
      <x:c r="O177" t="str">
        <x:v>Hồ sơ mẫu dùng cho quy trình đề nghị thanh toán</x:v>
      </x:c>
    </x:row>
    <x:row r="178">
      <x:c r="A178" t="str">
        <x:v>PR-CAID-2026-177</x:v>
      </x:c>
      <x:c r="B178" t="n">
        <x:v>46282</x:v>
      </x:c>
      <x:c r="C178" t="str">
        <x:v>Mentorship Program</x:v>
      </x:c>
      <x:c r="D178" t="str">
        <x:v>Tài trợ sinh viên</x:v>
      </x:c>
      <x:c r="E178" t="str">
        <x:v>Công ty CareerHub Việt Nam</x:v>
      </x:c>
      <x:c r="F178" t="str">
        <x:v>Thanh toán tài trợ sinh viên cho Mentorship Program</x:v>
      </x:c>
      <x:c r="G178" t="n">
        <x:v>3000000</x:v>
      </x:c>
      <x:c r="H178" t="n">
        <x:f>G178*10%</x:f>
        <x:v>300000</x:v>
      </x:c>
      <x:c r="I178" t="n">
        <x:f>G178+H178</x:f>
        <x:v>3300000</x:v>
      </x:c>
      <x:c r="J178" t="str">
        <x:v>Cần bổ sung hồ sơ</x:v>
      </x:c>
      <x:c r="K178" t="str">
        <x:v>Vũ Khánh Linh</x:v>
      </x:c>
      <x:c r="L178" t="str">
        <x:v>DT-CAID-2026-103</x:v>
      </x:c>
      <x:c r="M178" t="str">
        <x:v>Không</x:v>
      </x:c>
      <x:c r="N178" t="str">
        <x:v>Không</x:v>
      </x:c>
      <x:c r="O178" t="str">
        <x:v>Hồ sơ mẫu dùng cho quy trình đề nghị thanh toán</x:v>
      </x:c>
    </x:row>
    <x:row r="179">
      <x:c r="A179" t="str">
        <x:v>PR-CAID-2026-178</x:v>
      </x:c>
      <x:c r="B179" t="n">
        <x:v>46319</x:v>
      </x:c>
      <x:c r="C179" t="str">
        <x:v>Career Fair</x:v>
      </x:c>
      <x:c r="D179" t="str">
        <x:v>Tổ chức sự kiện</x:v>
      </x:c>
      <x:c r="E179" t="str">
        <x:v>Công ty In ấn Minh Long</x:v>
      </x:c>
      <x:c r="F179" t="str">
        <x:v>Thanh toán tổ chức sự kiện cho Career Fair</x:v>
      </x:c>
      <x:c r="G179" t="n">
        <x:v>100000000</x:v>
      </x:c>
      <x:c r="H179" t="n">
        <x:f>G179*10%</x:f>
        <x:v>10000000</x:v>
      </x:c>
      <x:c r="I179" t="n">
        <x:f>G179+H179</x:f>
        <x:v>110000000</x:v>
      </x:c>
      <x:c r="J179" t="str">
        <x:v>Đã thanh toán</x:v>
      </x:c>
      <x:c r="K179" t="str">
        <x:v>Đỗ Bảo Ngọc</x:v>
      </x:c>
      <x:c r="L179" t="str">
        <x:v>DT-CAID-2026-143</x:v>
      </x:c>
      <x:c r="M179" t="str">
        <x:v>Có</x:v>
      </x:c>
      <x:c r="N179" t="str">
        <x:v>Không</x:v>
      </x:c>
      <x:c r="O179" t="str">
        <x:v>Hồ sơ mẫu dùng cho quy trình đề nghị thanh toán</x:v>
      </x:c>
    </x:row>
    <x:row r="180">
      <x:c r="A180" t="str">
        <x:v>PR-CAID-2026-179</x:v>
      </x:c>
      <x:c r="B180" t="n">
        <x:v>46332</x:v>
      </x:c>
      <x:c r="C180" t="str">
        <x:v>Fundraising Campaign</x:v>
      </x:c>
      <x:c r="D180" t="str">
        <x:v>Di chuyển công tác</x:v>
      </x:c>
      <x:c r="E180" t="str">
        <x:v>Công ty CareerHub Việt Nam</x:v>
      </x:c>
      <x:c r="F180" t="str">
        <x:v>Thanh toán di chuyển công tác cho Fundraising Campaign</x:v>
      </x:c>
      <x:c r="G180" t="n">
        <x:v>300000000</x:v>
      </x:c>
      <x:c r="H180" t="n">
        <x:f>G180*10%</x:f>
        <x:v>30000000</x:v>
      </x:c>
      <x:c r="I180" t="n">
        <x:f>G180+H180</x:f>
        <x:v>330000000</x:v>
      </x:c>
      <x:c r="J180" t="str">
        <x:v>Đã thanh toán</x:v>
      </x:c>
      <x:c r="K180" t="str">
        <x:v>Trần Hoàng Long</x:v>
      </x:c>
      <x:c r="L180" t="str">
        <x:v>DT-CAID-2026-089</x:v>
      </x:c>
      <x:c r="M180" t="str">
        <x:v>Có</x:v>
      </x:c>
      <x:c r="N180" t="str">
        <x:v>Không</x:v>
      </x:c>
      <x:c r="O180" t="str">
        <x:v>Hồ sơ mẫu dùng cho quy trình đề nghị thanh toán</x:v>
      </x:c>
    </x:row>
    <x:row r="181">
      <x:c r="A181" t="str">
        <x:v>PR-CAID-2026-180</x:v>
      </x:c>
      <x:c r="B181" t="n">
        <x:v>46369</x:v>
      </x:c>
      <x:c r="C181" t="str">
        <x:v>Career Fair</x:v>
      </x:c>
      <x:c r="D181" t="str">
        <x:v>Quà tặng đối tác</x:v>
      </x:c>
      <x:c r="E181" t="str">
        <x:v>Công ty Truyền thông Apex</x:v>
      </x:c>
      <x:c r="F181" t="str">
        <x:v>Thanh toán quà tặng đối tác cho Career Fair</x:v>
      </x:c>
      <x:c r="G181" t="n">
        <x:v>50000000</x:v>
      </x:c>
      <x:c r="H181" t="n">
        <x:f>G181*10%</x:f>
        <x:v>5000000</x:v>
      </x:c>
      <x:c r="I181" t="n">
        <x:f>G181+H181</x:f>
        <x:v>55000000</x:v>
      </x:c>
      <x:c r="J181" t="str">
        <x:v>Từ chối</x:v>
      </x:c>
      <x:c r="K181" t="str">
        <x:v>Vũ Khánh Linh</x:v>
      </x:c>
      <x:c r="L181" t="str">
        <x:v>DT-CAID-2026-037</x:v>
      </x:c>
      <x:c r="M181" t="str">
        <x:v>Không</x:v>
      </x:c>
      <x:c r="N181" t="str">
        <x:v>Không</x:v>
      </x:c>
      <x:c r="O181" t="str">
        <x:v>Hồ sơ mẫu dùng cho quy trình đề nghị thanh toán</x:v>
      </x:c>
    </x:row>
    <x:row r="182">
      <x:c r="A182" t="str">
        <x:v>PR-CAID-2026-181</x:v>
      </x:c>
      <x:c r="B182" t="n">
        <x:v>46042</x:v>
      </x:c>
      <x:c r="C182" t="str">
        <x:v>Fundraising Campaign</x:v>
      </x:c>
      <x:c r="D182" t="str">
        <x:v>In ấn tài liệu</x:v>
      </x:c>
      <x:c r="E182" t="str">
        <x:v>Công ty Logistics FastGo</x:v>
      </x:c>
      <x:c r="F182" t="str">
        <x:v>Thanh toán in ấn tài liệu cho Fundraising Campaign</x:v>
      </x:c>
      <x:c r="G182" t="n">
        <x:v>200000000</x:v>
      </x:c>
      <x:c r="H182" t="n">
        <x:f>G182*10%</x:f>
        <x:v>20000000</x:v>
      </x:c>
      <x:c r="I182" t="n">
        <x:f>G182+H182</x:f>
        <x:v>220000000</x:v>
      </x:c>
      <x:c r="J182" t="str">
        <x:v>Đã duyệt</x:v>
      </x:c>
      <x:c r="K182" t="str">
        <x:v>Nguyễn Minh Anh</x:v>
      </x:c>
      <x:c r="L182" t="str">
        <x:v>DT-CAID-2026-113</x:v>
      </x:c>
      <x:c r="M182" t="str">
        <x:v>Không</x:v>
      </x:c>
      <x:c r="N182" t="str">
        <x:v>Không</x:v>
      </x:c>
      <x:c r="O182" t="str">
        <x:v>Hồ sơ mẫu dùng cho quy trình đề nghị thanh toán</x:v>
      </x:c>
    </x:row>
    <x:row r="183">
      <x:c r="A183" t="str">
        <x:v>PR-CAID-2026-182</x:v>
      </x:c>
      <x:c r="B183" t="n">
        <x:v>46080</x:v>
      </x:c>
      <x:c r="C183" t="str">
        <x:v>Career Fair</x:v>
      </x:c>
      <x:c r="D183" t="str">
        <x:v>Quà tặng đối tác</x:v>
      </x:c>
      <x:c r="E183" t="str">
        <x:v>Công ty Truyền thông Apex</x:v>
      </x:c>
      <x:c r="F183" t="str">
        <x:v>Thanh toán quà tặng đối tác cho Career Fair</x:v>
      </x:c>
      <x:c r="G183" t="n">
        <x:v>300000000</x:v>
      </x:c>
      <x:c r="H183" t="n">
        <x:f>G183*10%</x:f>
        <x:v>30000000</x:v>
      </x:c>
      <x:c r="I183" t="n">
        <x:f>G183+H183</x:f>
        <x:v>330000000</x:v>
      </x:c>
      <x:c r="J183" t="str">
        <x:v>Nháp</x:v>
      </x:c>
      <x:c r="K183" t="str">
        <x:v>Lê Thu Hà</x:v>
      </x:c>
      <x:c r="L183" t="str">
        <x:v>DT-CAID-2026-028</x:v>
      </x:c>
      <x:c r="M183" t="str">
        <x:v>Có</x:v>
      </x:c>
      <x:c r="N183" t="str">
        <x:v>Có</x:v>
      </x:c>
      <x:c r="O183" t="str">
        <x:v>Hồ sơ mẫu dùng cho quy trình đề nghị thanh toán</x:v>
      </x:c>
    </x:row>
    <x:row r="184">
      <x:c r="A184" t="str">
        <x:v>PR-CAID-2026-183</x:v>
      </x:c>
      <x:c r="B184" t="n">
        <x:v>46090</x:v>
      </x:c>
      <x:c r="C184" t="str">
        <x:v>Company Visit</x:v>
      </x:c>
      <x:c r="D184" t="str">
        <x:v>Truyền thông &amp; thiết kế</x:v>
      </x:c>
      <x:c r="E184" t="str">
        <x:v>Khách sạn Grand Hanoi</x:v>
      </x:c>
      <x:c r="F184" t="str">
        <x:v>Thanh toán truyền thông &amp; thiết kế cho Company Visit</x:v>
      </x:c>
      <x:c r="G184" t="n">
        <x:v>75000000</x:v>
      </x:c>
      <x:c r="H184" t="n">
        <x:f>G184*10%</x:f>
        <x:v>7500000</x:v>
      </x:c>
      <x:c r="I184" t="n">
        <x:f>G184+H184</x:f>
        <x:v>82500000</x:v>
      </x:c>
      <x:c r="J184" t="str">
        <x:v>Đã duyệt</x:v>
      </x:c>
      <x:c r="K184" t="str">
        <x:v>Phạm Quang Huy</x:v>
      </x:c>
      <x:c r="L184" t="str">
        <x:v>DT-CAID-2026-119</x:v>
      </x:c>
      <x:c r="M184" t="str">
        <x:v>Có</x:v>
      </x:c>
      <x:c r="N184" t="str">
        <x:v>Không</x:v>
      </x:c>
      <x:c r="O184" t="str">
        <x:v>Hồ sơ mẫu dùng cho quy trình đề nghị thanh toán</x:v>
      </x:c>
    </x:row>
    <x:row r="185">
      <x:c r="A185" t="str">
        <x:v>PR-CAID-2026-184</x:v>
      </x:c>
      <x:c r="B185" t="n">
        <x:v>46128</x:v>
      </x:c>
      <x:c r="C185" t="str">
        <x:v>Mentorship Program</x:v>
      </x:c>
      <x:c r="D185" t="str">
        <x:v>Truyền thông &amp; thiết kế</x:v>
      </x:c>
      <x:c r="E185" t="str">
        <x:v>Công ty HR Bridge</x:v>
      </x:c>
      <x:c r="F185" t="str">
        <x:v>Thanh toán truyền thông &amp; thiết kế cho Mentorship Program</x:v>
      </x:c>
      <x:c r="G185" t="n">
        <x:v>8000000</x:v>
      </x:c>
      <x:c r="H185" t="n">
        <x:f>G185*10%</x:f>
        <x:v>800000</x:v>
      </x:c>
      <x:c r="I185" t="n">
        <x:f>G185+H185</x:f>
        <x:v>8800000</x:v>
      </x:c>
      <x:c r="J185" t="str">
        <x:v>Đã thanh toán</x:v>
      </x:c>
      <x:c r="K185" t="str">
        <x:v>Phạm Quang Huy</x:v>
      </x:c>
      <x:c r="L185" t="str">
        <x:v>DT-CAID-2026-008</x:v>
      </x:c>
      <x:c r="M185" t="str">
        <x:v>Có</x:v>
      </x:c>
      <x:c r="N185" t="str">
        <x:v>Không</x:v>
      </x:c>
      <x:c r="O185" t="str">
        <x:v>Hồ sơ mẫu dùng cho quy trình đề nghị thanh toán</x:v>
      </x:c>
    </x:row>
    <x:row r="186">
      <x:c r="A186" t="str">
        <x:v>PR-CAID-2026-185</x:v>
      </x:c>
      <x:c r="B186" t="n">
        <x:v>46165</x:v>
      </x:c>
      <x:c r="C186" t="str">
        <x:v>Industry Advisory Board</x:v>
      </x:c>
      <x:c r="D186" t="str">
        <x:v>Di chuyển công tác</x:v>
      </x:c>
      <x:c r="E186" t="str">
        <x:v>Công ty Sự kiện BizConnect</x:v>
      </x:c>
      <x:c r="F186" t="str">
        <x:v>Thanh toán di chuyển công tác cho Industry Advisory Board</x:v>
      </x:c>
      <x:c r="G186" t="n">
        <x:v>35000000</x:v>
      </x:c>
      <x:c r="H186" t="n">
        <x:f>G186*10%</x:f>
        <x:v>3500000</x:v>
      </x:c>
      <x:c r="I186" t="n">
        <x:f>G186+H186</x:f>
        <x:v>38500000</x:v>
      </x:c>
      <x:c r="J186" t="str">
        <x:v>Đã thanh toán</x:v>
      </x:c>
      <x:c r="K186" t="str">
        <x:v>Trần Hoàng Long</x:v>
      </x:c>
      <x:c r="L186" t="str">
        <x:v>DT-CAID-2026-072</x:v>
      </x:c>
      <x:c r="M186" t="str">
        <x:v>Có</x:v>
      </x:c>
      <x:c r="N186" t="str">
        <x:v>Có</x:v>
      </x:c>
      <x:c r="O186" t="str">
        <x:v>Hồ sơ mẫu dùng cho quy trình đề nghị thanh toán</x:v>
      </x:c>
    </x:row>
    <x:row r="187">
      <x:c r="A187" t="str">
        <x:v>PR-CAID-2026-186</x:v>
      </x:c>
      <x:c r="B187" t="n">
        <x:v>46178</x:v>
      </x:c>
      <x:c r="C187" t="str">
        <x:v>Development Event</x:v>
      </x:c>
      <x:c r="D187" t="str">
        <x:v>Phần mềm CRM</x:v>
      </x:c>
      <x:c r="E187" t="str">
        <x:v>Nền tảng CRM EduPartner</x:v>
      </x:c>
      <x:c r="F187" t="str">
        <x:v>Thanh toán phần mềm crm cho Development Event</x:v>
      </x:c>
      <x:c r="G187" t="n">
        <x:v>100000000</x:v>
      </x:c>
      <x:c r="H187" t="n">
        <x:f>G187*10%</x:f>
        <x:v>10000000</x:v>
      </x:c>
      <x:c r="I187" t="n">
        <x:f>G187+H187</x:f>
        <x:v>110000000</x:v>
      </x:c>
      <x:c r="J187" t="str">
        <x:v>Đã gửi duyệt</x:v>
      </x:c>
      <x:c r="K187" t="str">
        <x:v>Nguyễn Minh Anh</x:v>
      </x:c>
      <x:c r="L187" t="str">
        <x:v>DT-CAID-2026-068</x:v>
      </x:c>
      <x:c r="M187" t="str">
        <x:v>Không</x:v>
      </x:c>
      <x:c r="N187" t="str">
        <x:v>Không</x:v>
      </x:c>
      <x:c r="O187" t="str">
        <x:v>Hồ sơ mẫu dùng cho quy trình đề nghị thanh toán</x:v>
      </x:c>
    </x:row>
    <x:row r="188">
      <x:c r="A188" t="str">
        <x:v>PR-CAID-2026-187</x:v>
      </x:c>
      <x:c r="B188" t="n">
        <x:v>46215</x:v>
      </x:c>
      <x:c r="C188" t="str">
        <x:v>Industry Advisory Board</x:v>
      </x:c>
      <x:c r="D188" t="str">
        <x:v>Di chuyển công tác</x:v>
      </x:c>
      <x:c r="E188" t="str">
        <x:v>Trung tâm Hội nghị Skyline</x:v>
      </x:c>
      <x:c r="F188" t="str">
        <x:v>Thanh toán di chuyển công tác cho Industry Advisory Board</x:v>
      </x:c>
      <x:c r="G188" t="n">
        <x:v>100000000</x:v>
      </x:c>
      <x:c r="H188" t="n">
        <x:f>G188*10%</x:f>
        <x:v>10000000</x:v>
      </x:c>
      <x:c r="I188" t="n">
        <x:f>G188+H188</x:f>
        <x:v>110000000</x:v>
      </x:c>
      <x:c r="J188" t="str">
        <x:v>Đã thanh toán</x:v>
      </x:c>
      <x:c r="K188" t="str">
        <x:v>Lê Thu Hà</x:v>
      </x:c>
      <x:c r="L188" t="str">
        <x:v>DT-CAID-2026-091</x:v>
      </x:c>
      <x:c r="M188" t="str">
        <x:v>Không</x:v>
      </x:c>
      <x:c r="N188" t="str">
        <x:v>Có</x:v>
      </x:c>
      <x:c r="O188" t="str">
        <x:v>Hồ sơ mẫu dùng cho quy trình đề nghị thanh toán</x:v>
      </x:c>
    </x:row>
    <x:row r="189">
      <x:c r="A189" t="str">
        <x:v>PR-CAID-2026-188</x:v>
      </x:c>
      <x:c r="B189" t="n">
        <x:v>46253</x:v>
      </x:c>
      <x:c r="C189" t="str">
        <x:v>Donor Stewardship</x:v>
      </x:c>
      <x:c r="D189" t="str">
        <x:v>Hội thảo doanh nghiệp</x:v>
      </x:c>
      <x:c r="E189" t="str">
        <x:v>Công ty EventPro</x:v>
      </x:c>
      <x:c r="F189" t="str">
        <x:v>Thanh toán hội thảo doanh nghiệp cho Donor Stewardship</x:v>
      </x:c>
      <x:c r="G189" t="n">
        <x:v>15000000</x:v>
      </x:c>
      <x:c r="H189" t="n">
        <x:f>G189*10%</x:f>
        <x:v>1500000</x:v>
      </x:c>
      <x:c r="I189" t="n">
        <x:f>G189+H189</x:f>
        <x:v>16500000</x:v>
      </x:c>
      <x:c r="J189" t="str">
        <x:v>Đã thanh toán</x:v>
      </x:c>
      <x:c r="K189" t="str">
        <x:v>Nguyễn Minh Anh</x:v>
      </x:c>
      <x:c r="L189" t="str">
        <x:v>DT-CAID-2026-035</x:v>
      </x:c>
      <x:c r="M189" t="str">
        <x:v>Không</x:v>
      </x:c>
      <x:c r="N189" t="str">
        <x:v>Có</x:v>
      </x:c>
      <x:c r="O189" t="str">
        <x:v>Hồ sơ mẫu dùng cho quy trình đề nghị thanh toán</x:v>
      </x:c>
    </x:row>
    <x:row r="190">
      <x:c r="A190" t="str">
        <x:v>PR-CAID-2026-189</x:v>
      </x:c>
      <x:c r="B190" t="n">
        <x:v>46291</x:v>
      </x:c>
      <x:c r="C190" t="str">
        <x:v>Employer Branding</x:v>
      </x:c>
      <x:c r="D190" t="str">
        <x:v>Quà tặng đối tác</x:v>
      </x:c>
      <x:c r="E190" t="str">
        <x:v>Khách sạn Grand Hanoi</x:v>
      </x:c>
      <x:c r="F190" t="str">
        <x:v>Thanh toán quà tặng đối tác cho Employer Branding</x:v>
      </x:c>
      <x:c r="G190" t="n">
        <x:v>5000000</x:v>
      </x:c>
      <x:c r="H190" t="n">
        <x:f>G190*10%</x:f>
        <x:v>500000</x:v>
      </x:c>
      <x:c r="I190" t="n">
        <x:f>G190+H190</x:f>
        <x:v>5500000</x:v>
      </x:c>
      <x:c r="J190" t="str">
        <x:v>Đã duyệt</x:v>
      </x:c>
      <x:c r="K190" t="str">
        <x:v>Trần Hoàng Long</x:v>
      </x:c>
      <x:c r="L190" t="str">
        <x:v>DT-CAID-2026-131</x:v>
      </x:c>
      <x:c r="M190" t="str">
        <x:v>Không</x:v>
      </x:c>
      <x:c r="N190" t="str">
        <x:v>Không</x:v>
      </x:c>
      <x:c r="O190" t="str">
        <x:v>Hồ sơ mẫu dùng cho quy trình đề nghị thanh toán</x:v>
      </x:c>
    </x:row>
    <x:row r="191">
      <x:c r="A191" t="str">
        <x:v>PR-CAID-2026-190</x:v>
      </x:c>
      <x:c r="B191" t="n">
        <x:v>46303</x:v>
      </x:c>
      <x:c r="C191" t="str">
        <x:v>Industry Advisory Board</x:v>
      </x:c>
      <x:c r="D191" t="str">
        <x:v>Truyền thông &amp; thiết kế</x:v>
      </x:c>
      <x:c r="E191" t="str">
        <x:v>Trung tâm Hội nghị Skyline</x:v>
      </x:c>
      <x:c r="F191" t="str">
        <x:v>Thanh toán truyền thông &amp; thiết kế cho Industry Advisory Board</x:v>
      </x:c>
      <x:c r="G191" t="n">
        <x:v>100000000</x:v>
      </x:c>
      <x:c r="H191" t="n">
        <x:f>G191*10%</x:f>
        <x:v>10000000</x:v>
      </x:c>
      <x:c r="I191" t="n">
        <x:f>G191+H191</x:f>
        <x:v>110000000</x:v>
      </x:c>
      <x:c r="J191" t="str">
        <x:v>Đã duyệt</x:v>
      </x:c>
      <x:c r="K191" t="str">
        <x:v>Phạm Quang Huy</x:v>
      </x:c>
      <x:c r="L191" t="str">
        <x:v>DT-CAID-2026-138</x:v>
      </x:c>
      <x:c r="M191" t="str">
        <x:v>Có</x:v>
      </x:c>
      <x:c r="N191" t="str">
        <x:v>Có</x:v>
      </x:c>
      <x:c r="O191" t="str">
        <x:v>Hồ sơ mẫu dùng cho quy trình đề nghị thanh toán</x:v>
      </x:c>
    </x:row>
    <x:row r="192">
      <x:c r="A192" t="str">
        <x:v>PR-CAID-2026-191</x:v>
      </x:c>
      <x:c r="B192" t="n">
        <x:v>46341</x:v>
      </x:c>
      <x:c r="C192" t="str">
        <x:v>MoU Signing</x:v>
      </x:c>
      <x:c r="D192" t="str">
        <x:v>Quà tặng đối tác</x:v>
      </x:c>
      <x:c r="E192" t="str">
        <x:v>Khách sạn Grand Hanoi</x:v>
      </x:c>
      <x:c r="F192" t="str">
        <x:v>Thanh toán quà tặng đối tác cho MoU Signing</x:v>
      </x:c>
      <x:c r="G192" t="n">
        <x:v>8000000</x:v>
      </x:c>
      <x:c r="H192" t="n">
        <x:f>G192*10%</x:f>
        <x:v>800000</x:v>
      </x:c>
      <x:c r="I192" t="n">
        <x:f>G192+H192</x:f>
        <x:v>8800000</x:v>
      </x:c>
      <x:c r="J192" t="str">
        <x:v>Đã duyệt</x:v>
      </x:c>
      <x:c r="K192" t="str">
        <x:v>Phạm Quang Huy</x:v>
      </x:c>
      <x:c r="L192" t="str">
        <x:v>DT-CAID-2026-014</x:v>
      </x:c>
      <x:c r="M192" t="str">
        <x:v>Không</x:v>
      </x:c>
      <x:c r="N192" t="str">
        <x:v>Có</x:v>
      </x:c>
      <x:c r="O192" t="str">
        <x:v>Hồ sơ mẫu dùng cho quy trình đề nghị thanh toán</x:v>
      </x:c>
    </x:row>
    <x:row r="193">
      <x:c r="A193" t="str">
        <x:v>PR-CAID-2026-192</x:v>
      </x:c>
      <x:c r="B193" t="n">
        <x:v>46378</x:v>
      </x:c>
      <x:c r="C193" t="str">
        <x:v>MoU Signing</x:v>
      </x:c>
      <x:c r="D193" t="str">
        <x:v>Truyền thông &amp; thiết kế</x:v>
      </x:c>
      <x:c r="E193" t="str">
        <x:v>Công ty Fundraising Solutions</x:v>
      </x:c>
      <x:c r="F193" t="str">
        <x:v>Thanh toán truyền thông &amp; thiết kế cho MoU Signing</x:v>
      </x:c>
      <x:c r="G193" t="n">
        <x:v>12000000</x:v>
      </x:c>
      <x:c r="H193" t="n">
        <x:f>G193*10%</x:f>
        <x:v>1200000</x:v>
      </x:c>
      <x:c r="I193" t="n">
        <x:f>G193+H193</x:f>
        <x:v>13200000</x:v>
      </x:c>
      <x:c r="J193" t="str">
        <x:v>Đã duyệt</x:v>
      </x:c>
      <x:c r="K193" t="str">
        <x:v>Đỗ Bảo Ngọc</x:v>
      </x:c>
      <x:c r="L193" t="str">
        <x:v>DT-CAID-2026-130</x:v>
      </x:c>
      <x:c r="M193" t="str">
        <x:v>Không</x:v>
      </x:c>
      <x:c r="N193" t="str">
        <x:v>Không</x:v>
      </x:c>
      <x:c r="O193" t="str">
        <x:v>Hồ sơ mẫu dùng cho quy trình đề nghị thanh toán</x:v>
      </x:c>
    </x:row>
    <x:row r="194">
      <x:c r="A194" t="str">
        <x:v>PR-CAID-2026-193</x:v>
      </x:c>
      <x:c r="B194" t="n">
        <x:v>46026</x:v>
      </x:c>
      <x:c r="C194" t="str">
        <x:v>Mentorship Program</x:v>
      </x:c>
      <x:c r="D194" t="str">
        <x:v>In ấn tài liệu</x:v>
      </x:c>
      <x:c r="E194" t="str">
        <x:v>Công ty Digital Growth</x:v>
      </x:c>
      <x:c r="F194" t="str">
        <x:v>Thanh toán in ấn tài liệu cho Mentorship Program</x:v>
      </x:c>
      <x:c r="G194" t="n">
        <x:v>35000000</x:v>
      </x:c>
      <x:c r="H194" t="n">
        <x:f>G194*10%</x:f>
        <x:v>3500000</x:v>
      </x:c>
      <x:c r="I194" t="n">
        <x:f>G194+H194</x:f>
        <x:v>38500000</x:v>
      </x:c>
      <x:c r="J194" t="str">
        <x:v>Từ chối</x:v>
      </x:c>
      <x:c r="K194" t="str">
        <x:v>Phạm Quang Huy</x:v>
      </x:c>
      <x:c r="L194" t="str">
        <x:v>DT-CAID-2026-043</x:v>
      </x:c>
      <x:c r="M194" t="str">
        <x:v>Có</x:v>
      </x:c>
      <x:c r="N194" t="str">
        <x:v>Có</x:v>
      </x:c>
      <x:c r="O194" t="str">
        <x:v>Hồ sơ mẫu dùng cho quy trình đề nghị thanh toán</x:v>
      </x:c>
    </x:row>
    <x:row r="195">
      <x:c r="A195" t="str">
        <x:v>PR-CAID-2026-194</x:v>
      </x:c>
      <x:c r="B195" t="n">
        <x:v>46064</x:v>
      </x:c>
      <x:c r="C195" t="str">
        <x:v>Development Event</x:v>
      </x:c>
      <x:c r="D195" t="str">
        <x:v>Thuê địa điểm</x:v>
      </x:c>
      <x:c r="E195" t="str">
        <x:v>Công ty Quà tặng Việt</x:v>
      </x:c>
      <x:c r="F195" t="str">
        <x:v>Thanh toán thuê địa điểm cho Development Event</x:v>
      </x:c>
      <x:c r="G195" t="n">
        <x:v>50000000</x:v>
      </x:c>
      <x:c r="H195" t="n">
        <x:f>G195*10%</x:f>
        <x:v>5000000</x:v>
      </x:c>
      <x:c r="I195" t="n">
        <x:f>G195+H195</x:f>
        <x:v>55000000</x:v>
      </x:c>
      <x:c r="J195" t="str">
        <x:v>Đã duyệt</x:v>
      </x:c>
      <x:c r="K195" t="str">
        <x:v>Lê Thu Hà</x:v>
      </x:c>
      <x:c r="L195" t="str">
        <x:v>DT-CAID-2026-044</x:v>
      </x:c>
      <x:c r="M195" t="str">
        <x:v>Không</x:v>
      </x:c>
      <x:c r="N195" t="str">
        <x:v>Không</x:v>
      </x:c>
      <x:c r="O195" t="str">
        <x:v>Hồ sơ mẫu dùng cho quy trình đề nghị thanh toán</x:v>
      </x:c>
    </x:row>
    <x:row r="196">
      <x:c r="A196" t="str">
        <x:v>PR-CAID-2026-195</x:v>
      </x:c>
      <x:c r="B196" t="n">
        <x:v>46099</x:v>
      </x:c>
      <x:c r="C196" t="str">
        <x:v>Company Visit</x:v>
      </x:c>
      <x:c r="D196" t="str">
        <x:v>Phần mềm CRM</x:v>
      </x:c>
      <x:c r="E196" t="str">
        <x:v>Công ty CareerHub Việt Nam</x:v>
      </x:c>
      <x:c r="F196" t="str">
        <x:v>Thanh toán phần mềm crm cho Company Visit</x:v>
      </x:c>
      <x:c r="G196" t="n">
        <x:v>5000000</x:v>
      </x:c>
      <x:c r="H196" t="n">
        <x:f>G196*10%</x:f>
        <x:v>500000</x:v>
      </x:c>
      <x:c r="I196" t="n">
        <x:f>G196+H196</x:f>
        <x:v>5500000</x:v>
      </x:c>
      <x:c r="J196" t="str">
        <x:v>Đã gửi duyệt</x:v>
      </x:c>
      <x:c r="K196" t="str">
        <x:v>Hoàng Gia Bảo</x:v>
      </x:c>
      <x:c r="L196" t="str">
        <x:v>DT-CAID-2026-140</x:v>
      </x:c>
      <x:c r="M196" t="str">
        <x:v>Không</x:v>
      </x:c>
      <x:c r="N196" t="str">
        <x:v>Có</x:v>
      </x:c>
      <x:c r="O196" t="str">
        <x:v>Hồ sơ mẫu dùng cho quy trình đề nghị thanh toán</x:v>
      </x:c>
    </x:row>
    <x:row r="197">
      <x:c r="A197" t="str">
        <x:v>PR-CAID-2026-196</x:v>
      </x:c>
      <x:c r="B197" t="n">
        <x:v>46137</x:v>
      </x:c>
      <x:c r="C197" t="str">
        <x:v>Development Event</x:v>
      </x:c>
      <x:c r="D197" t="str">
        <x:v>Chăm sóc nhà tài trợ</x:v>
      </x:c>
      <x:c r="E197" t="str">
        <x:v>Công ty In ấn Minh Long</x:v>
      </x:c>
      <x:c r="F197" t="str">
        <x:v>Thanh toán chăm sóc nhà tài trợ cho Development Event</x:v>
      </x:c>
      <x:c r="G197" t="n">
        <x:v>200000000</x:v>
      </x:c>
      <x:c r="H197" t="n">
        <x:f>G197*10%</x:f>
        <x:v>20000000</x:v>
      </x:c>
      <x:c r="I197" t="n">
        <x:f>G197+H197</x:f>
        <x:v>220000000</x:v>
      </x:c>
      <x:c r="J197" t="str">
        <x:v>Cần bổ sung hồ sơ</x:v>
      </x:c>
      <x:c r="K197" t="str">
        <x:v>Nguyễn Minh Anh</x:v>
      </x:c>
      <x:c r="L197" t="str">
        <x:v>DT-CAID-2026-064</x:v>
      </x:c>
      <x:c r="M197" t="str">
        <x:v>Không</x:v>
      </x:c>
      <x:c r="N197" t="str">
        <x:v>Có</x:v>
      </x:c>
      <x:c r="O197" t="str">
        <x:v>Hồ sơ mẫu dùng cho quy trình đề nghị thanh toán</x:v>
      </x:c>
    </x:row>
    <x:row r="198">
      <x:c r="A198" t="str">
        <x:v>PR-CAID-2026-197</x:v>
      </x:c>
      <x:c r="B198" t="n">
        <x:v>46149</x:v>
      </x:c>
      <x:c r="C198" t="str">
        <x:v>MoU Signing</x:v>
      </x:c>
      <x:c r="D198" t="str">
        <x:v>Quà tặng đối tác</x:v>
      </x:c>
      <x:c r="E198" t="str">
        <x:v>Công ty Fundraising Solutions</x:v>
      </x:c>
      <x:c r="F198" t="str">
        <x:v>Thanh toán quà tặng đối tác cho MoU Signing</x:v>
      </x:c>
      <x:c r="G198" t="n">
        <x:v>20000000</x:v>
      </x:c>
      <x:c r="H198" t="n">
        <x:f>G198*10%</x:f>
        <x:v>2000000</x:v>
      </x:c>
      <x:c r="I198" t="n">
        <x:f>G198+H198</x:f>
        <x:v>22000000</x:v>
      </x:c>
      <x:c r="J198" t="str">
        <x:v>Từ chối</x:v>
      </x:c>
      <x:c r="K198" t="str">
        <x:v>Phạm Quang Huy</x:v>
      </x:c>
      <x:c r="L198" t="str">
        <x:v>DT-CAID-2026-031</x:v>
      </x:c>
      <x:c r="M198" t="str">
        <x:v>Có</x:v>
      </x:c>
      <x:c r="N198" t="str">
        <x:v>Có</x:v>
      </x:c>
      <x:c r="O198" t="str">
        <x:v>Hồ sơ mẫu dùng cho quy trình đề nghị thanh toán</x:v>
      </x:c>
    </x:row>
    <x:row r="199">
      <x:c r="A199" t="str">
        <x:v>PR-CAID-2026-198</x:v>
      </x:c>
      <x:c r="B199" t="n">
        <x:v>46187</x:v>
      </x:c>
      <x:c r="C199" t="str">
        <x:v>Development Event</x:v>
      </x:c>
      <x:c r="D199" t="str">
        <x:v>Chăm sóc nhà tài trợ</x:v>
      </x:c>
      <x:c r="E199" t="str">
        <x:v>Nền tảng CRM EduPartner</x:v>
      </x:c>
      <x:c r="F199" t="str">
        <x:v>Thanh toán chăm sóc nhà tài trợ cho Development Event</x:v>
      </x:c>
      <x:c r="G199" t="n">
        <x:v>300000000</x:v>
      </x:c>
      <x:c r="H199" t="n">
        <x:f>G199*10%</x:f>
        <x:v>30000000</x:v>
      </x:c>
      <x:c r="I199" t="n">
        <x:f>G199+H199</x:f>
        <x:v>330000000</x:v>
      </x:c>
      <x:c r="J199" t="str">
        <x:v>Từ chối</x:v>
      </x:c>
      <x:c r="K199" t="str">
        <x:v>Đỗ Bảo Ngọc</x:v>
      </x:c>
      <x:c r="L199" t="str">
        <x:v>DT-CAID-2026-110</x:v>
      </x:c>
      <x:c r="M199" t="str">
        <x:v>Có</x:v>
      </x:c>
      <x:c r="N199" t="str">
        <x:v>Có</x:v>
      </x:c>
      <x:c r="O199" t="str">
        <x:v>Hồ sơ mẫu dùng cho quy trình đề nghị thanh toán</x:v>
      </x:c>
    </x:row>
    <x:row r="200">
      <x:c r="A200" t="str">
        <x:v>PR-CAID-2026-199</x:v>
      </x:c>
      <x:c r="B200" t="n">
        <x:v>46224</x:v>
      </x:c>
      <x:c r="C200" t="str">
        <x:v>Development Event</x:v>
      </x:c>
      <x:c r="D200" t="str">
        <x:v>Thuê địa điểm</x:v>
      </x:c>
      <x:c r="E200" t="str">
        <x:v>Công ty CareerHub Việt Nam</x:v>
      </x:c>
      <x:c r="F200" t="str">
        <x:v>Thanh toán thuê địa điểm cho Development Event</x:v>
      </x:c>
      <x:c r="G200" t="n">
        <x:v>50000000</x:v>
      </x:c>
      <x:c r="H200" t="n">
        <x:f>G200*10%</x:f>
        <x:v>5000000</x:v>
      </x:c>
      <x:c r="I200" t="n">
        <x:f>G200+H200</x:f>
        <x:v>55000000</x:v>
      </x:c>
      <x:c r="J200" t="str">
        <x:v>Đã duyệt</x:v>
      </x:c>
      <x:c r="K200" t="str">
        <x:v>Lê Thu Hà</x:v>
      </x:c>
      <x:c r="L200" t="str">
        <x:v>DT-CAID-2026-138</x:v>
      </x:c>
      <x:c r="M200" t="str">
        <x:v>Có</x:v>
      </x:c>
      <x:c r="N200" t="str">
        <x:v>Không</x:v>
      </x:c>
      <x:c r="O200" t="str">
        <x:v>Hồ sơ mẫu dùng cho quy trình đề nghị thanh toán</x:v>
      </x:c>
    </x:row>
    <x:row r="201">
      <x:c r="A201" t="str">
        <x:v>PR-CAID-2026-200</x:v>
      </x:c>
      <x:c r="B201" t="n">
        <x:v>46237</x:v>
      </x:c>
      <x:c r="C201" t="str">
        <x:v>Corporate Training</x:v>
      </x:c>
      <x:c r="D201" t="str">
        <x:v>Quà tặng đối tác</x:v>
      </x:c>
      <x:c r="E201" t="str">
        <x:v>Công ty CareerHub Việt Nam</x:v>
      </x:c>
      <x:c r="F201" t="str">
        <x:v>Thanh toán quà tặng đối tác cho Corporate Training</x:v>
      </x:c>
      <x:c r="G201" t="n">
        <x:v>15000000</x:v>
      </x:c>
      <x:c r="H201" t="n">
        <x:f>G201*10%</x:f>
        <x:v>1500000</x:v>
      </x:c>
      <x:c r="I201" t="n">
        <x:f>G201+H201</x:f>
        <x:v>16500000</x:v>
      </x:c>
      <x:c r="J201" t="str">
        <x:v>Đã duyệt</x:v>
      </x:c>
      <x:c r="K201" t="str">
        <x:v>Hoàng Gia Bảo</x:v>
      </x:c>
      <x:c r="L201" t="str">
        <x:v>DT-CAID-2026-132</x:v>
      </x:c>
      <x:c r="M201" t="str">
        <x:v>Có</x:v>
      </x:c>
      <x:c r="N201" t="str">
        <x:v>Có</x:v>
      </x:c>
      <x:c r="O201" t="str">
        <x:v>Hồ sơ mẫu dùng cho quy trình đề nghị thanh toán</x:v>
      </x:c>
    </x:row>
    <x:row r="202">
      <x:c r="A202" t="str">
        <x:v>PR-CAID-2026-201</x:v>
      </x:c>
      <x:c r="B202" t="n">
        <x:v>46275</x:v>
      </x:c>
      <x:c r="C202" t="str">
        <x:v>Development Event</x:v>
      </x:c>
      <x:c r="D202" t="str">
        <x:v>Di chuyển công tác</x:v>
      </x:c>
      <x:c r="E202" t="str">
        <x:v>Công ty Fundraising Solutions</x:v>
      </x:c>
      <x:c r="F202" t="str">
        <x:v>Thanh toán di chuyển công tác cho Development Event</x:v>
      </x:c>
      <x:c r="G202" t="n">
        <x:v>100000000</x:v>
      </x:c>
      <x:c r="H202" t="n">
        <x:f>G202*10%</x:f>
        <x:v>10000000</x:v>
      </x:c>
      <x:c r="I202" t="n">
        <x:f>G202+H202</x:f>
        <x:v>110000000</x:v>
      </x:c>
      <x:c r="J202" t="str">
        <x:v>Đã thanh toán</x:v>
      </x:c>
      <x:c r="K202" t="str">
        <x:v>Vũ Khánh Linh</x:v>
      </x:c>
      <x:c r="L202" t="str">
        <x:v>DT-CAID-2026-034</x:v>
      </x:c>
      <x:c r="M202" t="str">
        <x:v>Có</x:v>
      </x:c>
      <x:c r="N202" t="str">
        <x:v>Có</x:v>
      </x:c>
      <x:c r="O202" t="str">
        <x:v>Hồ sơ mẫu dùng cho quy trình đề nghị thanh toán</x:v>
      </x:c>
    </x:row>
    <x:row r="203">
      <x:c r="A203" t="str">
        <x:v>PR-CAID-2026-202</x:v>
      </x:c>
      <x:c r="B203" t="n">
        <x:v>46312</x:v>
      </x:c>
      <x:c r="C203" t="str">
        <x:v>Corporate Training</x:v>
      </x:c>
      <x:c r="D203" t="str">
        <x:v>Diễn giả/chuyên gia</x:v>
      </x:c>
      <x:c r="E203" t="str">
        <x:v>Công ty Alumni Network</x:v>
      </x:c>
      <x:c r="F203" t="str">
        <x:v>Thanh toán diễn giả/chuyên gia cho Corporate Training</x:v>
      </x:c>
      <x:c r="G203" t="n">
        <x:v>12000000</x:v>
      </x:c>
      <x:c r="H203" t="n">
        <x:f>G203*10%</x:f>
        <x:v>1200000</x:v>
      </x:c>
      <x:c r="I203" t="n">
        <x:f>G203+H203</x:f>
        <x:v>13200000</x:v>
      </x:c>
      <x:c r="J203" t="str">
        <x:v>Từ chối</x:v>
      </x:c>
      <x:c r="K203" t="str">
        <x:v>Phạm Quang Huy</x:v>
      </x:c>
      <x:c r="L203" t="str">
        <x:v>DT-CAID-2026-126</x:v>
      </x:c>
      <x:c r="M203" t="str">
        <x:v>Có</x:v>
      </x:c>
      <x:c r="N203" t="str">
        <x:v>Không</x:v>
      </x:c>
      <x:c r="O203" t="str">
        <x:v>Hồ sơ mẫu dùng cho quy trình đề nghị thanh toán</x:v>
      </x:c>
    </x:row>
    <x:row r="204">
      <x:c r="A204" t="str">
        <x:v>PR-CAID-2026-203</x:v>
      </x:c>
      <x:c r="B204" t="n">
        <x:v>46350</x:v>
      </x:c>
      <x:c r="C204" t="str">
        <x:v>Mentorship Program</x:v>
      </x:c>
      <x:c r="D204" t="str">
        <x:v>Di chuyển công tác</x:v>
      </x:c>
      <x:c r="E204" t="str">
        <x:v>Công ty Logistics FastGo</x:v>
      </x:c>
      <x:c r="F204" t="str">
        <x:v>Thanh toán di chuyển công tác cho Mentorship Program</x:v>
      </x:c>
      <x:c r="G204" t="n">
        <x:v>35000000</x:v>
      </x:c>
      <x:c r="H204" t="n">
        <x:f>G204*10%</x:f>
        <x:v>3500000</x:v>
      </x:c>
      <x:c r="I204" t="n">
        <x:f>G204+H204</x:f>
        <x:v>38500000</x:v>
      </x:c>
      <x:c r="J204" t="str">
        <x:v>Đã gửi duyệt</x:v>
      </x:c>
      <x:c r="K204" t="str">
        <x:v>Hoàng Gia Bảo</x:v>
      </x:c>
      <x:c r="L204" t="str">
        <x:v>DT-CAID-2026-024</x:v>
      </x:c>
      <x:c r="M204" t="str">
        <x:v>Không</x:v>
      </x:c>
      <x:c r="N204" t="str">
        <x:v>Không</x:v>
      </x:c>
      <x:c r="O204" t="str">
        <x:v>Hồ sơ mẫu dùng cho quy trình đề nghị thanh toán</x:v>
      </x:c>
    </x:row>
    <x:row r="205">
      <x:c r="A205" t="str">
        <x:v>PR-CAID-2026-204</x:v>
      </x:c>
      <x:c r="B205" t="n">
        <x:v>46362</x:v>
      </x:c>
      <x:c r="C205" t="str">
        <x:v>Corporate Training</x:v>
      </x:c>
      <x:c r="D205" t="str">
        <x:v>Diễn giả/chuyên gia</x:v>
      </x:c>
      <x:c r="E205" t="str">
        <x:v>Công ty Logistics FastGo</x:v>
      </x:c>
      <x:c r="F205" t="str">
        <x:v>Thanh toán diễn giả/chuyên gia cho Corporate Training</x:v>
      </x:c>
      <x:c r="G205" t="n">
        <x:v>50000000</x:v>
      </x:c>
      <x:c r="H205" t="n">
        <x:f>G205*10%</x:f>
        <x:v>5000000</x:v>
      </x:c>
      <x:c r="I205" t="n">
        <x:f>G205+H205</x:f>
        <x:v>55000000</x:v>
      </x:c>
      <x:c r="J205" t="str">
        <x:v>Đã duyệt</x:v>
      </x:c>
      <x:c r="K205" t="str">
        <x:v>Nguyễn Minh Anh</x:v>
      </x:c>
      <x:c r="L205" t="str">
        <x:v>DT-CAID-2026-024</x:v>
      </x:c>
      <x:c r="M205" t="str">
        <x:v>Không</x:v>
      </x:c>
      <x:c r="N205" t="str">
        <x:v>Không</x:v>
      </x:c>
      <x:c r="O205" t="str">
        <x:v>Hồ sơ mẫu dùng cho quy trình đề nghị thanh toán</x:v>
      </x:c>
    </x:row>
    <x:row r="206">
      <x:c r="A206" t="str">
        <x:v>PR-CAID-2026-205</x:v>
      </x:c>
      <x:c r="B206" t="n">
        <x:v>46035</x:v>
      </x:c>
      <x:c r="C206" t="str">
        <x:v>Donor Stewardship</x:v>
      </x:c>
      <x:c r="D206" t="str">
        <x:v>Tiếp khách doanh nghiệp</x:v>
      </x:c>
      <x:c r="E206" t="str">
        <x:v>Trung tâm Hội nghị Skyline</x:v>
      </x:c>
      <x:c r="F206" t="str">
        <x:v>Thanh toán tiếp khách doanh nghiệp cho Donor Stewardship</x:v>
      </x:c>
      <x:c r="G206" t="n">
        <x:v>75000000</x:v>
      </x:c>
      <x:c r="H206" t="n">
        <x:f>G206*10%</x:f>
        <x:v>7500000</x:v>
      </x:c>
      <x:c r="I206" t="n">
        <x:f>G206+H206</x:f>
        <x:v>82500000</x:v>
      </x:c>
      <x:c r="J206" t="str">
        <x:v>Đã duyệt</x:v>
      </x:c>
      <x:c r="K206" t="str">
        <x:v>Phạm Quang Huy</x:v>
      </x:c>
      <x:c r="L206" t="str">
        <x:v>DT-CAID-2026-055</x:v>
      </x:c>
      <x:c r="M206" t="str">
        <x:v>Không</x:v>
      </x:c>
      <x:c r="N206" t="str">
        <x:v>Không</x:v>
      </x:c>
      <x:c r="O206" t="str">
        <x:v>Hồ sơ mẫu dùng cho quy trình đề nghị thanh toán</x:v>
      </x:c>
    </x:row>
    <x:row r="207">
      <x:c r="A207" t="str">
        <x:v>PR-CAID-2026-206</x:v>
      </x:c>
      <x:c r="B207" t="n">
        <x:v>46073</x:v>
      </x:c>
      <x:c r="C207" t="str">
        <x:v>Fundraising Campaign</x:v>
      </x:c>
      <x:c r="D207" t="str">
        <x:v>Quà tặng đối tác</x:v>
      </x:c>
      <x:c r="E207" t="str">
        <x:v>Công ty CareerHub Việt Nam</x:v>
      </x:c>
      <x:c r="F207" t="str">
        <x:v>Thanh toán quà tặng đối tác cho Fundraising Campaign</x:v>
      </x:c>
      <x:c r="G207" t="n">
        <x:v>200000000</x:v>
      </x:c>
      <x:c r="H207" t="n">
        <x:f>G207*10%</x:f>
        <x:v>20000000</x:v>
      </x:c>
      <x:c r="I207" t="n">
        <x:f>G207+H207</x:f>
        <x:v>220000000</x:v>
      </x:c>
      <x:c r="J207" t="str">
        <x:v>Đã gửi duyệt</x:v>
      </x:c>
      <x:c r="K207" t="str">
        <x:v>Hoàng Gia Bảo</x:v>
      </x:c>
      <x:c r="L207" t="str">
        <x:v>DT-CAID-2026-125</x:v>
      </x:c>
      <x:c r="M207" t="str">
        <x:v>Không</x:v>
      </x:c>
      <x:c r="N207" t="str">
        <x:v>Có</x:v>
      </x:c>
      <x:c r="O207" t="str">
        <x:v>Hồ sơ mẫu dùng cho quy trình đề nghị thanh toán</x:v>
      </x:c>
    </x:row>
    <x:row r="208">
      <x:c r="A208" t="str">
        <x:v>PR-CAID-2026-207</x:v>
      </x:c>
      <x:c r="B208" t="n">
        <x:v>46108</x:v>
      </x:c>
      <x:c r="C208" t="str">
        <x:v>Corporate Partnership</x:v>
      </x:c>
      <x:c r="D208" t="str">
        <x:v>Tiếp khách doanh nghiệp</x:v>
      </x:c>
      <x:c r="E208" t="str">
        <x:v>Công ty Alumni Network</x:v>
      </x:c>
      <x:c r="F208" t="str">
        <x:v>Thanh toán tiếp khách doanh nghiệp cho Corporate Partnership</x:v>
      </x:c>
      <x:c r="G208" t="n">
        <x:v>150000000</x:v>
      </x:c>
      <x:c r="H208" t="n">
        <x:f>G208*10%</x:f>
        <x:v>15000000</x:v>
      </x:c>
      <x:c r="I208" t="n">
        <x:f>G208+H208</x:f>
        <x:v>165000000</x:v>
      </x:c>
      <x:c r="J208" t="str">
        <x:v>Từ chối</x:v>
      </x:c>
      <x:c r="K208" t="str">
        <x:v>Nguyễn Minh Anh</x:v>
      </x:c>
      <x:c r="L208" t="str">
        <x:v>DT-CAID-2026-032</x:v>
      </x:c>
      <x:c r="M208" t="str">
        <x:v>Có</x:v>
      </x:c>
      <x:c r="N208" t="str">
        <x:v>Không</x:v>
      </x:c>
      <x:c r="O208" t="str">
        <x:v>Hồ sơ mẫu dùng cho quy trình đề nghị thanh toán</x:v>
      </x:c>
    </x:row>
    <x:row r="209">
      <x:c r="A209" t="str">
        <x:v>PR-CAID-2026-208</x:v>
      </x:c>
      <x:c r="B209" t="n">
        <x:v>46121</x:v>
      </x:c>
      <x:c r="C209" t="str">
        <x:v>MoU Signing</x:v>
      </x:c>
      <x:c r="D209" t="str">
        <x:v>Tổ chức sự kiện</x:v>
      </x:c>
      <x:c r="E209" t="str">
        <x:v>Công ty In ấn Minh Long</x:v>
      </x:c>
      <x:c r="F209" t="str">
        <x:v>Thanh toán tổ chức sự kiện cho MoU Signing</x:v>
      </x:c>
      <x:c r="G209" t="n">
        <x:v>35000000</x:v>
      </x:c>
      <x:c r="H209" t="n">
        <x:f>G209*10%</x:f>
        <x:v>3500000</x:v>
      </x:c>
      <x:c r="I209" t="n">
        <x:f>G209+H209</x:f>
        <x:v>38500000</x:v>
      </x:c>
      <x:c r="J209" t="str">
        <x:v>Cần bổ sung hồ sơ</x:v>
      </x:c>
      <x:c r="K209" t="str">
        <x:v>Trần Hoàng Long</x:v>
      </x:c>
      <x:c r="L209" t="str">
        <x:v>DT-CAID-2026-078</x:v>
      </x:c>
      <x:c r="M209" t="str">
        <x:v>Có</x:v>
      </x:c>
      <x:c r="N209" t="str">
        <x:v>Không</x:v>
      </x:c>
      <x:c r="O209" t="str">
        <x:v>Hồ sơ mẫu dùng cho quy trình đề nghị thanh toán</x:v>
      </x:c>
    </x:row>
    <x:row r="210">
      <x:c r="A210" t="str">
        <x:v>PR-CAID-2026-209</x:v>
      </x:c>
      <x:c r="B210" t="n">
        <x:v>46158</x:v>
      </x:c>
      <x:c r="C210" t="str">
        <x:v>Career Fair</x:v>
      </x:c>
      <x:c r="D210" t="str">
        <x:v>Hội thảo doanh nghiệp</x:v>
      </x:c>
      <x:c r="E210" t="str">
        <x:v>Công ty Truyền thông Apex</x:v>
      </x:c>
      <x:c r="F210" t="str">
        <x:v>Thanh toán hội thảo doanh nghiệp cho Career Fair</x:v>
      </x:c>
      <x:c r="G210" t="n">
        <x:v>100000000</x:v>
      </x:c>
      <x:c r="H210" t="n">
        <x:f>G210*10%</x:f>
        <x:v>10000000</x:v>
      </x:c>
      <x:c r="I210" t="n">
        <x:f>G210+H210</x:f>
        <x:v>110000000</x:v>
      </x:c>
      <x:c r="J210" t="str">
        <x:v>Đã duyệt</x:v>
      </x:c>
      <x:c r="K210" t="str">
        <x:v>Vũ Khánh Linh</x:v>
      </x:c>
      <x:c r="L210" t="str">
        <x:v>DT-CAID-2026-043</x:v>
      </x:c>
      <x:c r="M210" t="str">
        <x:v>Có</x:v>
      </x:c>
      <x:c r="N210" t="str">
        <x:v>Không</x:v>
      </x:c>
      <x:c r="O210" t="str">
        <x:v>Hồ sơ mẫu dùng cho quy trình đề nghị thanh toán</x:v>
      </x:c>
    </x:row>
    <x:row r="211">
      <x:c r="A211" t="str">
        <x:v>PR-CAID-2026-210</x:v>
      </x:c>
      <x:c r="B211" t="n">
        <x:v>46196</x:v>
      </x:c>
      <x:c r="C211" t="str">
        <x:v>Mentorship Program</x:v>
      </x:c>
      <x:c r="D211" t="str">
        <x:v>Quà tặng đối tác</x:v>
      </x:c>
      <x:c r="E211" t="str">
        <x:v>Trung tâm Hội nghị Skyline</x:v>
      </x:c>
      <x:c r="F211" t="str">
        <x:v>Thanh toán quà tặng đối tác cho Mentorship Program</x:v>
      </x:c>
      <x:c r="G211" t="n">
        <x:v>12000000</x:v>
      </x:c>
      <x:c r="H211" t="n">
        <x:f>G211*10%</x:f>
        <x:v>1200000</x:v>
      </x:c>
      <x:c r="I211" t="n">
        <x:f>G211+H211</x:f>
        <x:v>13200000</x:v>
      </x:c>
      <x:c r="J211" t="str">
        <x:v>Đã thanh toán</x:v>
      </x:c>
      <x:c r="K211" t="str">
        <x:v>Vũ Khánh Linh</x:v>
      </x:c>
      <x:c r="L211" t="str">
        <x:v>DT-CAID-2026-025</x:v>
      </x:c>
      <x:c r="M211" t="str">
        <x:v>Có</x:v>
      </x:c>
      <x:c r="N211" t="str">
        <x:v>Có</x:v>
      </x:c>
      <x:c r="O211" t="str">
        <x:v>Hồ sơ mẫu dùng cho quy trình đề nghị thanh toán</x:v>
      </x:c>
    </x:row>
    <x:row r="212">
      <x:c r="A212" t="str">
        <x:v>PR-CAID-2026-211</x:v>
      </x:c>
      <x:c r="B212" t="n">
        <x:v>46208</x:v>
      </x:c>
      <x:c r="C212" t="str">
        <x:v>MoU Signing</x:v>
      </x:c>
      <x:c r="D212" t="str">
        <x:v>Tiếp khách doanh nghiệp</x:v>
      </x:c>
      <x:c r="E212" t="str">
        <x:v>Công ty CareerHub Việt Nam</x:v>
      </x:c>
      <x:c r="F212" t="str">
        <x:v>Thanh toán tiếp khách doanh nghiệp cho MoU Signing</x:v>
      </x:c>
      <x:c r="G212" t="n">
        <x:v>8000000</x:v>
      </x:c>
      <x:c r="H212" t="n">
        <x:f>G212*10%</x:f>
        <x:v>800000</x:v>
      </x:c>
      <x:c r="I212" t="n">
        <x:f>G212+H212</x:f>
        <x:v>8800000</x:v>
      </x:c>
      <x:c r="J212" t="str">
        <x:v>Đã duyệt</x:v>
      </x:c>
      <x:c r="K212" t="str">
        <x:v>Vũ Khánh Linh</x:v>
      </x:c>
      <x:c r="L212" t="str">
        <x:v>DT-CAID-2026-114</x:v>
      </x:c>
      <x:c r="M212" t="str">
        <x:v>Có</x:v>
      </x:c>
      <x:c r="N212" t="str">
        <x:v>Có</x:v>
      </x:c>
      <x:c r="O212" t="str">
        <x:v>Hồ sơ mẫu dùng cho quy trình đề nghị thanh toán</x:v>
      </x:c>
    </x:row>
    <x:row r="213">
      <x:c r="A213" t="str">
        <x:v>PR-CAID-2026-212</x:v>
      </x:c>
      <x:c r="B213" t="n">
        <x:v>46246</x:v>
      </x:c>
      <x:c r="C213" t="str">
        <x:v>Corporate Training</x:v>
      </x:c>
      <x:c r="D213" t="str">
        <x:v>Diễn giả/chuyên gia</x:v>
      </x:c>
      <x:c r="E213" t="str">
        <x:v>Công ty Fundraising Solutions</x:v>
      </x:c>
      <x:c r="F213" t="str">
        <x:v>Thanh toán diễn giả/chuyên gia cho Corporate Training</x:v>
      </x:c>
      <x:c r="G213" t="n">
        <x:v>5000000</x:v>
      </x:c>
      <x:c r="H213" t="n">
        <x:f>G213*10%</x:f>
        <x:v>500000</x:v>
      </x:c>
      <x:c r="I213" t="n">
        <x:f>G213+H213</x:f>
        <x:v>5500000</x:v>
      </x:c>
      <x:c r="J213" t="str">
        <x:v>Đã duyệt</x:v>
      </x:c>
      <x:c r="K213" t="str">
        <x:v>Trần Hoàng Long</x:v>
      </x:c>
      <x:c r="L213" t="str">
        <x:v>DT-CAID-2026-123</x:v>
      </x:c>
      <x:c r="M213" t="str">
        <x:v>Có</x:v>
      </x:c>
      <x:c r="N213" t="str">
        <x:v>Có</x:v>
      </x:c>
      <x:c r="O213" t="str">
        <x:v>Hồ sơ mẫu dùng cho quy trình đề nghị thanh toán</x:v>
      </x:c>
    </x:row>
    <x:row r="214">
      <x:c r="A214" t="str">
        <x:v>PR-CAID-2026-213</x:v>
      </x:c>
      <x:c r="B214" t="n">
        <x:v>46284</x:v>
      </x:c>
      <x:c r="C214" t="str">
        <x:v>Scholarship Donor Program</x:v>
      </x:c>
      <x:c r="D214" t="str">
        <x:v>Tiếp khách doanh nghiệp</x:v>
      </x:c>
      <x:c r="E214" t="str">
        <x:v>Công ty Truyền thông Apex</x:v>
      </x:c>
      <x:c r="F214" t="str">
        <x:v>Thanh toán tiếp khách doanh nghiệp cho Scholarship Donor Program</x:v>
      </x:c>
      <x:c r="G214" t="n">
        <x:v>5000000</x:v>
      </x:c>
      <x:c r="H214" t="n">
        <x:f>G214*10%</x:f>
        <x:v>500000</x:v>
      </x:c>
      <x:c r="I214" t="n">
        <x:f>G214+H214</x:f>
        <x:v>5500000</x:v>
      </x:c>
      <x:c r="J214" t="str">
        <x:v>Đã duyệt</x:v>
      </x:c>
      <x:c r="K214" t="str">
        <x:v>Lê Thu Hà</x:v>
      </x:c>
      <x:c r="L214" t="str">
        <x:v>DT-CAID-2026-036</x:v>
      </x:c>
      <x:c r="M214" t="str">
        <x:v>Không</x:v>
      </x:c>
      <x:c r="N214" t="str">
        <x:v>Có</x:v>
      </x:c>
      <x:c r="O214" t="str">
        <x:v>Hồ sơ mẫu dùng cho quy trình đề nghị thanh toán</x:v>
      </x:c>
    </x:row>
    <x:row r="215">
      <x:c r="A215" t="str">
        <x:v>PR-CAID-2026-214</x:v>
      </x:c>
      <x:c r="B215" t="n">
        <x:v>46321</x:v>
      </x:c>
      <x:c r="C215" t="str">
        <x:v>Mentorship Program</x:v>
      </x:c>
      <x:c r="D215" t="str">
        <x:v>Hội thảo doanh nghiệp</x:v>
      </x:c>
      <x:c r="E215" t="str">
        <x:v>Công ty Truyền thông Apex</x:v>
      </x:c>
      <x:c r="F215" t="str">
        <x:v>Thanh toán hội thảo doanh nghiệp cho Mentorship Program</x:v>
      </x:c>
      <x:c r="G215" t="n">
        <x:v>8000000</x:v>
      </x:c>
      <x:c r="H215" t="n">
        <x:f>G215*10%</x:f>
        <x:v>800000</x:v>
      </x:c>
      <x:c r="I215" t="n">
        <x:f>G215+H215</x:f>
        <x:v>8800000</x:v>
      </x:c>
      <x:c r="J215" t="str">
        <x:v>Đã thanh toán</x:v>
      </x:c>
      <x:c r="K215" t="str">
        <x:v>Nguyễn Minh Anh</x:v>
      </x:c>
      <x:c r="L215" t="str">
        <x:v>DT-CAID-2026-043</x:v>
      </x:c>
      <x:c r="M215" t="str">
        <x:v>Không</x:v>
      </x:c>
      <x:c r="N215" t="str">
        <x:v>Không</x:v>
      </x:c>
      <x:c r="O215" t="str">
        <x:v>Hồ sơ mẫu dùng cho quy trình đề nghị thanh toán</x:v>
      </x:c>
    </x:row>
    <x:row r="216">
      <x:c r="A216" t="str">
        <x:v>PR-CAID-2026-215</x:v>
      </x:c>
      <x:c r="B216" t="n">
        <x:v>46334</x:v>
      </x:c>
      <x:c r="C216" t="str">
        <x:v>Corporate Training</x:v>
      </x:c>
      <x:c r="D216" t="str">
        <x:v>Thuê địa điểm</x:v>
      </x:c>
      <x:c r="E216" t="str">
        <x:v>Công ty Digital Growth</x:v>
      </x:c>
      <x:c r="F216" t="str">
        <x:v>Thanh toán thuê địa điểm cho Corporate Training</x:v>
      </x:c>
      <x:c r="G216" t="n">
        <x:v>150000000</x:v>
      </x:c>
      <x:c r="H216" t="n">
        <x:f>G216*10%</x:f>
        <x:v>15000000</x:v>
      </x:c>
      <x:c r="I216" t="n">
        <x:f>G216+H216</x:f>
        <x:v>165000000</x:v>
      </x:c>
      <x:c r="J216" t="str">
        <x:v>Đã gửi duyệt</x:v>
      </x:c>
      <x:c r="K216" t="str">
        <x:v>Phạm Quang Huy</x:v>
      </x:c>
      <x:c r="L216" t="str">
        <x:v>DT-CAID-2026-114</x:v>
      </x:c>
      <x:c r="M216" t="str">
        <x:v>Có</x:v>
      </x:c>
      <x:c r="N216" t="str">
        <x:v>Có</x:v>
      </x:c>
      <x:c r="O216" t="str">
        <x:v>Hồ sơ mẫu dùng cho quy trình đề nghị thanh toán</x:v>
      </x:c>
    </x:row>
    <x:row r="217">
      <x:c r="A217" t="str">
        <x:v>PR-CAID-2026-216</x:v>
      </x:c>
      <x:c r="B217" t="n">
        <x:v>46371</x:v>
      </x:c>
      <x:c r="C217" t="str">
        <x:v>Innovation Challenge</x:v>
      </x:c>
      <x:c r="D217" t="str">
        <x:v>Tiếp khách doanh nghiệp</x:v>
      </x:c>
      <x:c r="E217" t="str">
        <x:v>Công ty Alumni Network</x:v>
      </x:c>
      <x:c r="F217" t="str">
        <x:v>Thanh toán tiếp khách doanh nghiệp cho Innovation Challenge</x:v>
      </x:c>
      <x:c r="G217" t="n">
        <x:v>8000000</x:v>
      </x:c>
      <x:c r="H217" t="n">
        <x:f>G217*10%</x:f>
        <x:v>800000</x:v>
      </x:c>
      <x:c r="I217" t="n">
        <x:f>G217+H217</x:f>
        <x:v>8800000</x:v>
      </x:c>
      <x:c r="J217" t="str">
        <x:v>Đã gửi duyệt</x:v>
      </x:c>
      <x:c r="K217" t="str">
        <x:v>Vũ Khánh Linh</x:v>
      </x:c>
      <x:c r="L217" t="str">
        <x:v>DT-CAID-2026-099</x:v>
      </x:c>
      <x:c r="M217" t="str">
        <x:v>Không</x:v>
      </x:c>
      <x:c r="N217" t="str">
        <x:v>Không</x:v>
      </x:c>
      <x:c r="O217" t="str">
        <x:v>Hồ sơ mẫu dùng cho quy trình đề nghị thanh toán</x:v>
      </x:c>
    </x:row>
    <x:row r="218">
      <x:c r="A218" t="str">
        <x:v>PR-CAID-2026-217</x:v>
      </x:c>
      <x:c r="B218" t="n">
        <x:v>46044</x:v>
      </x:c>
      <x:c r="C218" t="str">
        <x:v>Fundraising Campaign</x:v>
      </x:c>
      <x:c r="D218" t="str">
        <x:v>Truyền thông &amp; thiết kế</x:v>
      </x:c>
      <x:c r="E218" t="str">
        <x:v>Công ty HR Bridge</x:v>
      </x:c>
      <x:c r="F218" t="str">
        <x:v>Thanh toán truyền thông &amp; thiết kế cho Fundraising Campaign</x:v>
      </x:c>
      <x:c r="G218" t="n">
        <x:v>100000000</x:v>
      </x:c>
      <x:c r="H218" t="n">
        <x:f>G218*10%</x:f>
        <x:v>10000000</x:v>
      </x:c>
      <x:c r="I218" t="n">
        <x:f>G218+H218</x:f>
        <x:v>110000000</x:v>
      </x:c>
      <x:c r="J218" t="str">
        <x:v>Đã gửi duyệt</x:v>
      </x:c>
      <x:c r="K218" t="str">
        <x:v>Đỗ Bảo Ngọc</x:v>
      </x:c>
      <x:c r="L218" t="str">
        <x:v>DT-CAID-2026-073</x:v>
      </x:c>
      <x:c r="M218" t="str">
        <x:v>Có</x:v>
      </x:c>
      <x:c r="N218" t="str">
        <x:v>Không</x:v>
      </x:c>
      <x:c r="O218" t="str">
        <x:v>Hồ sơ mẫu dùng cho quy trình đề nghị thanh toán</x:v>
      </x:c>
    </x:row>
    <x:row r="219">
      <x:c r="A219" t="str">
        <x:v>PR-CAID-2026-218</x:v>
      </x:c>
      <x:c r="B219" t="n">
        <x:v>46057</x:v>
      </x:c>
      <x:c r="C219" t="str">
        <x:v>Employer Branding</x:v>
      </x:c>
      <x:c r="D219" t="str">
        <x:v>Phần mềm CRM</x:v>
      </x:c>
      <x:c r="E219" t="str">
        <x:v>Công ty Thiết kế BrandLab</x:v>
      </x:c>
      <x:c r="F219" t="str">
        <x:v>Thanh toán phần mềm crm cho Employer Branding</x:v>
      </x:c>
      <x:c r="G219" t="n">
        <x:v>100000000</x:v>
      </x:c>
      <x:c r="H219" t="n">
        <x:f>G219*10%</x:f>
        <x:v>10000000</x:v>
      </x:c>
      <x:c r="I219" t="n">
        <x:f>G219+H219</x:f>
        <x:v>110000000</x:v>
      </x:c>
      <x:c r="J219" t="str">
        <x:v>Đã gửi duyệt</x:v>
      </x:c>
      <x:c r="K219" t="str">
        <x:v>Phạm Quang Huy</x:v>
      </x:c>
      <x:c r="L219" t="str">
        <x:v>DT-CAID-2026-076</x:v>
      </x:c>
      <x:c r="M219" t="str">
        <x:v>Có</x:v>
      </x:c>
      <x:c r="N219" t="str">
        <x:v>Có</x:v>
      </x:c>
      <x:c r="O219" t="str">
        <x:v>Hồ sơ mẫu dùng cho quy trình đề nghị thanh toán</x:v>
      </x:c>
    </x:row>
    <x:row r="220">
      <x:c r="A220" t="str">
        <x:v>PR-CAID-2026-219</x:v>
      </x:c>
      <x:c r="B220" t="n">
        <x:v>46092</x:v>
      </x:c>
      <x:c r="C220" t="str">
        <x:v>MoU Signing</x:v>
      </x:c>
      <x:c r="D220" t="str">
        <x:v>Di chuyển công tác</x:v>
      </x:c>
      <x:c r="E220" t="str">
        <x:v>Công ty In ấn Minh Long</x:v>
      </x:c>
      <x:c r="F220" t="str">
        <x:v>Thanh toán di chuyển công tác cho MoU Signing</x:v>
      </x:c>
      <x:c r="G220" t="n">
        <x:v>5000000</x:v>
      </x:c>
      <x:c r="H220" t="n">
        <x:f>G220*10%</x:f>
        <x:v>500000</x:v>
      </x:c>
      <x:c r="I220" t="n">
        <x:f>G220+H220</x:f>
        <x:v>5500000</x:v>
      </x:c>
      <x:c r="J220" t="str">
        <x:v>Đã thanh toán</x:v>
      </x:c>
      <x:c r="K220" t="str">
        <x:v>Đỗ Bảo Ngọc</x:v>
      </x:c>
      <x:c r="L220" t="str">
        <x:v>DT-CAID-2026-019</x:v>
      </x:c>
      <x:c r="M220" t="str">
        <x:v>Có</x:v>
      </x:c>
      <x:c r="N220" t="str">
        <x:v>Không</x:v>
      </x:c>
      <x:c r="O220" t="str">
        <x:v>Hồ sơ mẫu dùng cho quy trình đề nghị thanh toán</x:v>
      </x:c>
    </x:row>
    <x:row r="221">
      <x:c r="A221" t="str">
        <x:v>PR-CAID-2026-220</x:v>
      </x:c>
      <x:c r="B221" t="n">
        <x:v>46130</x:v>
      </x:c>
      <x:c r="C221" t="str">
        <x:v>Innovation Challenge</x:v>
      </x:c>
      <x:c r="D221" t="str">
        <x:v>Diễn giả/chuyên gia</x:v>
      </x:c>
      <x:c r="E221" t="str">
        <x:v>Trung tâm Hội nghị Skyline</x:v>
      </x:c>
      <x:c r="F221" t="str">
        <x:v>Thanh toán diễn giả/chuyên gia cho Innovation Challenge</x:v>
      </x:c>
      <x:c r="G221" t="n">
        <x:v>8000000</x:v>
      </x:c>
      <x:c r="H221" t="n">
        <x:f>G221*10%</x:f>
        <x:v>800000</x:v>
      </x:c>
      <x:c r="I221" t="n">
        <x:f>G221+H221</x:f>
        <x:v>8800000</x:v>
      </x:c>
      <x:c r="J221" t="str">
        <x:v>Từ chối</x:v>
      </x:c>
      <x:c r="K221" t="str">
        <x:v>Đỗ Bảo Ngọc</x:v>
      </x:c>
      <x:c r="L221" t="str">
        <x:v>DT-CAID-2026-108</x:v>
      </x:c>
      <x:c r="M221" t="str">
        <x:v>Không</x:v>
      </x:c>
      <x:c r="N221" t="str">
        <x:v>Có</x:v>
      </x:c>
      <x:c r="O221" t="str">
        <x:v>Hồ sơ mẫu dùng cho quy trình đề nghị thanh toán</x:v>
      </x:c>
    </x:row>
    <x:row r="222">
      <x:c r="A222" t="str">
        <x:v>PR-CAID-2026-221</x:v>
      </x:c>
      <x:c r="B222" t="n">
        <x:v>46167</x:v>
      </x:c>
      <x:c r="C222" t="str">
        <x:v>Development Event</x:v>
      </x:c>
      <x:c r="D222" t="str">
        <x:v>In ấn tài liệu</x:v>
      </x:c>
      <x:c r="E222" t="str">
        <x:v>Công ty CareerHub Việt Nam</x:v>
      </x:c>
      <x:c r="F222" t="str">
        <x:v>Thanh toán in ấn tài liệu cho Development Event</x:v>
      </x:c>
      <x:c r="G222" t="n">
        <x:v>50000000</x:v>
      </x:c>
      <x:c r="H222" t="n">
        <x:f>G222*10%</x:f>
        <x:v>5000000</x:v>
      </x:c>
      <x:c r="I222" t="n">
        <x:f>G222+H222</x:f>
        <x:v>55000000</x:v>
      </x:c>
      <x:c r="J222" t="str">
        <x:v>Đã gửi duyệt</x:v>
      </x:c>
      <x:c r="K222" t="str">
        <x:v>Lê Thu Hà</x:v>
      </x:c>
      <x:c r="L222" t="str">
        <x:v>DT-CAID-2026-056</x:v>
      </x:c>
      <x:c r="M222" t="str">
        <x:v>Có</x:v>
      </x:c>
      <x:c r="N222" t="str">
        <x:v>Có</x:v>
      </x:c>
      <x:c r="O222" t="str">
        <x:v>Hồ sơ mẫu dùng cho quy trình đề nghị thanh toán</x:v>
      </x:c>
    </x:row>
    <x:row r="223">
      <x:c r="A223" t="str">
        <x:v>PR-CAID-2026-222</x:v>
      </x:c>
      <x:c r="B223" t="n">
        <x:v>46180</x:v>
      </x:c>
      <x:c r="C223" t="str">
        <x:v>Development Event</x:v>
      </x:c>
      <x:c r="D223" t="str">
        <x:v>Di chuyển công tác</x:v>
      </x:c>
      <x:c r="E223" t="str">
        <x:v>Công ty HR Bridge</x:v>
      </x:c>
      <x:c r="F223" t="str">
        <x:v>Thanh toán di chuyển công tác cho Development Event</x:v>
      </x:c>
      <x:c r="G223" t="n">
        <x:v>100000000</x:v>
      </x:c>
      <x:c r="H223" t="n">
        <x:f>G223*10%</x:f>
        <x:v>10000000</x:v>
      </x:c>
      <x:c r="I223" t="n">
        <x:f>G223+H223</x:f>
        <x:v>110000000</x:v>
      </x:c>
      <x:c r="J223" t="str">
        <x:v>Đã thanh toán</x:v>
      </x:c>
      <x:c r="K223" t="str">
        <x:v>Hoàng Gia Bảo</x:v>
      </x:c>
      <x:c r="L223" t="str">
        <x:v>DT-CAID-2026-107</x:v>
      </x:c>
      <x:c r="M223" t="str">
        <x:v>Không</x:v>
      </x:c>
      <x:c r="N223" t="str">
        <x:v>Không</x:v>
      </x:c>
      <x:c r="O223" t="str">
        <x:v>Hồ sơ mẫu dùng cho quy trình đề nghị thanh toán</x:v>
      </x:c>
    </x:row>
    <x:row r="224">
      <x:c r="A224" t="str">
        <x:v>PR-CAID-2026-223</x:v>
      </x:c>
      <x:c r="B224" t="n">
        <x:v>46217</x:v>
      </x:c>
      <x:c r="C224" t="str">
        <x:v>Career Fair</x:v>
      </x:c>
      <x:c r="D224" t="str">
        <x:v>Hội thảo doanh nghiệp</x:v>
      </x:c>
      <x:c r="E224" t="str">
        <x:v>Công ty CareerHub Việt Nam</x:v>
      </x:c>
      <x:c r="F224" t="str">
        <x:v>Thanh toán hội thảo doanh nghiệp cho Career Fair</x:v>
      </x:c>
      <x:c r="G224" t="n">
        <x:v>200000000</x:v>
      </x:c>
      <x:c r="H224" t="n">
        <x:f>G224*10%</x:f>
        <x:v>20000000</x:v>
      </x:c>
      <x:c r="I224" t="n">
        <x:f>G224+H224</x:f>
        <x:v>220000000</x:v>
      </x:c>
      <x:c r="J224" t="str">
        <x:v>Đã gửi duyệt</x:v>
      </x:c>
      <x:c r="K224" t="str">
        <x:v>Nguyễn Minh Anh</x:v>
      </x:c>
      <x:c r="L224" t="str">
        <x:v>DT-CAID-2026-080</x:v>
      </x:c>
      <x:c r="M224" t="str">
        <x:v>Có</x:v>
      </x:c>
      <x:c r="N224" t="str">
        <x:v>Có</x:v>
      </x:c>
      <x:c r="O224" t="str">
        <x:v>Hồ sơ mẫu dùng cho quy trình đề nghị thanh toán</x:v>
      </x:c>
    </x:row>
    <x:row r="225">
      <x:c r="A225" t="str">
        <x:v>PR-CAID-2026-224</x:v>
      </x:c>
      <x:c r="B225" t="n">
        <x:v>46255</x:v>
      </x:c>
      <x:c r="C225" t="str">
        <x:v>Development Event</x:v>
      </x:c>
      <x:c r="D225" t="str">
        <x:v>Truyền thông &amp; thiết kế</x:v>
      </x:c>
      <x:c r="E225" t="str">
        <x:v>Trung tâm Hội nghị Skyline</x:v>
      </x:c>
      <x:c r="F225" t="str">
        <x:v>Thanh toán truyền thông &amp; thiết kế cho Development Event</x:v>
      </x:c>
      <x:c r="G225" t="n">
        <x:v>100000000</x:v>
      </x:c>
      <x:c r="H225" t="n">
        <x:f>G225*10%</x:f>
        <x:v>10000000</x:v>
      </x:c>
      <x:c r="I225" t="n">
        <x:f>G225+H225</x:f>
        <x:v>110000000</x:v>
      </x:c>
      <x:c r="J225" t="str">
        <x:v>Đã thanh toán</x:v>
      </x:c>
      <x:c r="K225" t="str">
        <x:v>Hoàng Gia Bảo</x:v>
      </x:c>
      <x:c r="L225" t="str">
        <x:v>DT-CAID-2026-017</x:v>
      </x:c>
      <x:c r="M225" t="str">
        <x:v>Không</x:v>
      </x:c>
      <x:c r="N225" t="str">
        <x:v>Không</x:v>
      </x:c>
      <x:c r="O225" t="str">
        <x:v>Hồ sơ mẫu dùng cho quy trình đề nghị thanh toán</x:v>
      </x:c>
    </x:row>
    <x:row r="226">
      <x:c r="A226" t="str">
        <x:v>PR-CAID-2026-225</x:v>
      </x:c>
      <x:c r="B226" t="n">
        <x:v>46268</x:v>
      </x:c>
      <x:c r="C226" t="str">
        <x:v>Corporate Training</x:v>
      </x:c>
      <x:c r="D226" t="str">
        <x:v>Thuê địa điểm</x:v>
      </x:c>
      <x:c r="E226" t="str">
        <x:v>Công ty In ấn Minh Long</x:v>
      </x:c>
      <x:c r="F226" t="str">
        <x:v>Thanh toán thuê địa điểm cho Corporate Training</x:v>
      </x:c>
      <x:c r="G226" t="n">
        <x:v>3000000</x:v>
      </x:c>
      <x:c r="H226" t="n">
        <x:f>G226*10%</x:f>
        <x:v>300000</x:v>
      </x:c>
      <x:c r="I226" t="n">
        <x:f>G226+H226</x:f>
        <x:v>3300000</x:v>
      </x:c>
      <x:c r="J226" t="str">
        <x:v>Đã gửi duyệt</x:v>
      </x:c>
      <x:c r="K226" t="str">
        <x:v>Phạm Quang Huy</x:v>
      </x:c>
      <x:c r="L226" t="str">
        <x:v>DT-CAID-2026-030</x:v>
      </x:c>
      <x:c r="M226" t="str">
        <x:v>Không</x:v>
      </x:c>
      <x:c r="N226" t="str">
        <x:v>Có</x:v>
      </x:c>
      <x:c r="O226" t="str">
        <x:v>Hồ sơ mẫu dùng cho quy trình đề nghị thanh toán</x:v>
      </x:c>
    </x:row>
    <x:row r="227">
      <x:c r="A227" t="str">
        <x:v>PR-CAID-2026-226</x:v>
      </x:c>
      <x:c r="B227" t="n">
        <x:v>46305</x:v>
      </x:c>
      <x:c r="C227" t="str">
        <x:v>Alumni Engagement</x:v>
      </x:c>
      <x:c r="D227" t="str">
        <x:v>Hội thảo doanh nghiệp</x:v>
      </x:c>
      <x:c r="E227" t="str">
        <x:v>Công ty Digital Growth</x:v>
      </x:c>
      <x:c r="F227" t="str">
        <x:v>Thanh toán hội thảo doanh nghiệp cho Alumni Engagement</x:v>
      </x:c>
      <x:c r="G227" t="n">
        <x:v>150000000</x:v>
      </x:c>
      <x:c r="H227" t="n">
        <x:f>G227*10%</x:f>
        <x:v>15000000</x:v>
      </x:c>
      <x:c r="I227" t="n">
        <x:f>G227+H227</x:f>
        <x:v>165000000</x:v>
      </x:c>
      <x:c r="J227" t="str">
        <x:v>Đã gửi duyệt</x:v>
      </x:c>
      <x:c r="K227" t="str">
        <x:v>Nguyễn Minh Anh</x:v>
      </x:c>
      <x:c r="L227" t="str">
        <x:v>DT-CAID-2026-036</x:v>
      </x:c>
      <x:c r="M227" t="str">
        <x:v>Có</x:v>
      </x:c>
      <x:c r="N227" t="str">
        <x:v>Có</x:v>
      </x:c>
      <x:c r="O227" t="str">
        <x:v>Hồ sơ mẫu dùng cho quy trình đề nghị thanh toán</x:v>
      </x:c>
    </x:row>
    <x:row r="228">
      <x:c r="A228" t="str">
        <x:v>PR-CAID-2026-227</x:v>
      </x:c>
      <x:c r="B228" t="n">
        <x:v>46343</x:v>
      </x:c>
      <x:c r="C228" t="str">
        <x:v>MoU Signing</x:v>
      </x:c>
      <x:c r="D228" t="str">
        <x:v>Diễn giả/chuyên gia</x:v>
      </x:c>
      <x:c r="E228" t="str">
        <x:v>Công ty Thiết kế BrandLab</x:v>
      </x:c>
      <x:c r="F228" t="str">
        <x:v>Thanh toán diễn giả/chuyên gia cho MoU Signing</x:v>
      </x:c>
      <x:c r="G228" t="n">
        <x:v>75000000</x:v>
      </x:c>
      <x:c r="H228" t="n">
        <x:f>G228*10%</x:f>
        <x:v>7500000</x:v>
      </x:c>
      <x:c r="I228" t="n">
        <x:f>G228+H228</x:f>
        <x:v>82500000</x:v>
      </x:c>
      <x:c r="J228" t="str">
        <x:v>Đã thanh toán</x:v>
      </x:c>
      <x:c r="K228" t="str">
        <x:v>Vũ Khánh Linh</x:v>
      </x:c>
      <x:c r="L228" t="str">
        <x:v>DT-CAID-2026-067</x:v>
      </x:c>
      <x:c r="M228" t="str">
        <x:v>Có</x:v>
      </x:c>
      <x:c r="N228" t="str">
        <x:v>Không</x:v>
      </x:c>
      <x:c r="O228" t="str">
        <x:v>Hồ sơ mẫu dùng cho quy trình đề nghị thanh toán</x:v>
      </x:c>
    </x:row>
    <x:row r="229">
      <x:c r="A229" t="str">
        <x:v>PR-CAID-2026-228</x:v>
      </x:c>
      <x:c r="B229" t="n">
        <x:v>46380</x:v>
      </x:c>
      <x:c r="C229" t="str">
        <x:v>Internship Program</x:v>
      </x:c>
      <x:c r="D229" t="str">
        <x:v>Chăm sóc nhà tài trợ</x:v>
      </x:c>
      <x:c r="E229" t="str">
        <x:v>Công ty Digital Growth</x:v>
      </x:c>
      <x:c r="F229" t="str">
        <x:v>Thanh toán chăm sóc nhà tài trợ cho Internship Program</x:v>
      </x:c>
      <x:c r="G229" t="n">
        <x:v>15000000</x:v>
      </x:c>
      <x:c r="H229" t="n">
        <x:f>G229*10%</x:f>
        <x:v>1500000</x:v>
      </x:c>
      <x:c r="I229" t="n">
        <x:f>G229+H229</x:f>
        <x:v>16500000</x:v>
      </x:c>
      <x:c r="J229" t="str">
        <x:v>Cần bổ sung hồ sơ</x:v>
      </x:c>
      <x:c r="K229" t="str">
        <x:v>Hoàng Gia Bảo</x:v>
      </x:c>
      <x:c r="L229" t="str">
        <x:v>DT-CAID-2026-008</x:v>
      </x:c>
      <x:c r="M229" t="str">
        <x:v>Không</x:v>
      </x:c>
      <x:c r="N229" t="str">
        <x:v>Không</x:v>
      </x:c>
      <x:c r="O229" t="str">
        <x:v>Hồ sơ mẫu dùng cho quy trình đề nghị thanh toán</x:v>
      </x:c>
    </x:row>
    <x:row r="230">
      <x:c r="A230" t="str">
        <x:v>PR-CAID-2026-229</x:v>
      </x:c>
      <x:c r="B230" t="n">
        <x:v>46028</x:v>
      </x:c>
      <x:c r="C230" t="str">
        <x:v>Alumni Engagement</x:v>
      </x:c>
      <x:c r="D230" t="str">
        <x:v>Phần mềm CRM</x:v>
      </x:c>
      <x:c r="E230" t="str">
        <x:v>Công ty Quà tặng Việt</x:v>
      </x:c>
      <x:c r="F230" t="str">
        <x:v>Thanh toán phần mềm crm cho Alumni Engagement</x:v>
      </x:c>
      <x:c r="G230" t="n">
        <x:v>5000000</x:v>
      </x:c>
      <x:c r="H230" t="n">
        <x:f>G230*10%</x:f>
        <x:v>500000</x:v>
      </x:c>
      <x:c r="I230" t="n">
        <x:f>G230+H230</x:f>
        <x:v>5500000</x:v>
      </x:c>
      <x:c r="J230" t="str">
        <x:v>Đã thanh toán</x:v>
      </x:c>
      <x:c r="K230" t="str">
        <x:v>Đỗ Bảo Ngọc</x:v>
      </x:c>
      <x:c r="L230" t="str">
        <x:v>DT-CAID-2026-020</x:v>
      </x:c>
      <x:c r="M230" t="str">
        <x:v>Không</x:v>
      </x:c>
      <x:c r="N230" t="str">
        <x:v>Không</x:v>
      </x:c>
      <x:c r="O230" t="str">
        <x:v>Hồ sơ mẫu dùng cho quy trình đề nghị thanh toán</x:v>
      </x:c>
    </x:row>
    <x:row r="231">
      <x:c r="A231" t="str">
        <x:v>PR-CAID-2026-230</x:v>
      </x:c>
      <x:c r="B231" t="n">
        <x:v>46066</x:v>
      </x:c>
      <x:c r="C231" t="str">
        <x:v>Company Visit</x:v>
      </x:c>
      <x:c r="D231" t="str">
        <x:v>Diễn giả/chuyên gia</x:v>
      </x:c>
      <x:c r="E231" t="str">
        <x:v>Công ty Logistics FastGo</x:v>
      </x:c>
      <x:c r="F231" t="str">
        <x:v>Thanh toán diễn giả/chuyên gia cho Company Visit</x:v>
      </x:c>
      <x:c r="G231" t="n">
        <x:v>3000000</x:v>
      </x:c>
      <x:c r="H231" t="n">
        <x:f>G231*10%</x:f>
        <x:v>300000</x:v>
      </x:c>
      <x:c r="I231" t="n">
        <x:f>G231+H231</x:f>
        <x:v>3300000</x:v>
      </x:c>
      <x:c r="J231" t="str">
        <x:v>Từ chối</x:v>
      </x:c>
      <x:c r="K231" t="str">
        <x:v>Trần Hoàng Long</x:v>
      </x:c>
      <x:c r="L231" t="str">
        <x:v>DT-CAID-2026-095</x:v>
      </x:c>
      <x:c r="M231" t="str">
        <x:v>Có</x:v>
      </x:c>
      <x:c r="N231" t="str">
        <x:v>Không</x:v>
      </x:c>
      <x:c r="O231" t="str">
        <x:v>Hồ sơ mẫu dùng cho quy trình đề nghị thanh toán</x:v>
      </x:c>
    </x:row>
    <x:row r="232">
      <x:c r="A232" t="str">
        <x:v>PR-CAID-2026-231</x:v>
      </x:c>
      <x:c r="B232" t="n">
        <x:v>46101</x:v>
      </x:c>
      <x:c r="C232" t="str">
        <x:v>Development Event</x:v>
      </x:c>
      <x:c r="D232" t="str">
        <x:v>Tiếp khách doanh nghiệp</x:v>
      </x:c>
      <x:c r="E232" t="str">
        <x:v>Công ty Digital Growth</x:v>
      </x:c>
      <x:c r="F232" t="str">
        <x:v>Thanh toán tiếp khách doanh nghiệp cho Development Event</x:v>
      </x:c>
      <x:c r="G232" t="n">
        <x:v>300000000</x:v>
      </x:c>
      <x:c r="H232" t="n">
        <x:f>G232*10%</x:f>
        <x:v>30000000</x:v>
      </x:c>
      <x:c r="I232" t="n">
        <x:f>G232+H232</x:f>
        <x:v>330000000</x:v>
      </x:c>
      <x:c r="J232" t="str">
        <x:v>Đã gửi duyệt</x:v>
      </x:c>
      <x:c r="K232" t="str">
        <x:v>Vũ Khánh Linh</x:v>
      </x:c>
      <x:c r="L232" t="str">
        <x:v>DT-CAID-2026-131</x:v>
      </x:c>
      <x:c r="M232" t="str">
        <x:v>Có</x:v>
      </x:c>
      <x:c r="N232" t="str">
        <x:v>Có</x:v>
      </x:c>
      <x:c r="O232" t="str">
        <x:v>Hồ sơ mẫu dùng cho quy trình đề nghị thanh toán</x:v>
      </x:c>
    </x:row>
    <x:row r="233">
      <x:c r="A233" t="str">
        <x:v>PR-CAID-2026-232</x:v>
      </x:c>
      <x:c r="B233" t="n">
        <x:v>46139</x:v>
      </x:c>
      <x:c r="C233" t="str">
        <x:v>Donor Stewardship</x:v>
      </x:c>
      <x:c r="D233" t="str">
        <x:v>Tổ chức sự kiện</x:v>
      </x:c>
      <x:c r="E233" t="str">
        <x:v>Công ty Sự kiện BizConnect</x:v>
      </x:c>
      <x:c r="F233" t="str">
        <x:v>Thanh toán tổ chức sự kiện cho Donor Stewardship</x:v>
      </x:c>
      <x:c r="G233" t="n">
        <x:v>12000000</x:v>
      </x:c>
      <x:c r="H233" t="n">
        <x:f>G233*10%</x:f>
        <x:v>1200000</x:v>
      </x:c>
      <x:c r="I233" t="n">
        <x:f>G233+H233</x:f>
        <x:v>13200000</x:v>
      </x:c>
      <x:c r="J233" t="str">
        <x:v>Đã thanh toán</x:v>
      </x:c>
      <x:c r="K233" t="str">
        <x:v>Phạm Quang Huy</x:v>
      </x:c>
      <x:c r="L233" t="str">
        <x:v>DT-CAID-2026-039</x:v>
      </x:c>
      <x:c r="M233" t="str">
        <x:v>Có</x:v>
      </x:c>
      <x:c r="N233" t="str">
        <x:v>Có</x:v>
      </x:c>
      <x:c r="O233" t="str">
        <x:v>Hồ sơ mẫu dùng cho quy trình đề nghị thanh toán</x:v>
      </x:c>
    </x:row>
    <x:row r="234">
      <x:c r="A234" t="str">
        <x:v>PR-CAID-2026-233</x:v>
      </x:c>
      <x:c r="B234" t="n">
        <x:v>46151</x:v>
      </x:c>
      <x:c r="C234" t="str">
        <x:v>Company Visit</x:v>
      </x:c>
      <x:c r="D234" t="str">
        <x:v>Chăm sóc nhà tài trợ</x:v>
      </x:c>
      <x:c r="E234" t="str">
        <x:v>Trung tâm Hội nghị Skyline</x:v>
      </x:c>
      <x:c r="F234" t="str">
        <x:v>Thanh toán chăm sóc nhà tài trợ cho Company Visit</x:v>
      </x:c>
      <x:c r="G234" t="n">
        <x:v>150000000</x:v>
      </x:c>
      <x:c r="H234" t="n">
        <x:f>G234*10%</x:f>
        <x:v>15000000</x:v>
      </x:c>
      <x:c r="I234" t="n">
        <x:f>G234+H234</x:f>
        <x:v>165000000</x:v>
      </x:c>
      <x:c r="J234" t="str">
        <x:v>Đã duyệt</x:v>
      </x:c>
      <x:c r="K234" t="str">
        <x:v>Trần Hoàng Long</x:v>
      </x:c>
      <x:c r="L234" t="str">
        <x:v>DT-CAID-2026-107</x:v>
      </x:c>
      <x:c r="M234" t="str">
        <x:v>Không</x:v>
      </x:c>
      <x:c r="N234" t="str">
        <x:v>Không</x:v>
      </x:c>
      <x:c r="O234" t="str">
        <x:v>Hồ sơ mẫu dùng cho quy trình đề nghị thanh toán</x:v>
      </x:c>
    </x:row>
    <x:row r="235">
      <x:c r="A235" t="str">
        <x:v>PR-CAID-2026-234</x:v>
      </x:c>
      <x:c r="B235" t="n">
        <x:v>46189</x:v>
      </x:c>
      <x:c r="C235" t="str">
        <x:v>Donor Stewardship</x:v>
      </x:c>
      <x:c r="D235" t="str">
        <x:v>Tiếp khách doanh nghiệp</x:v>
      </x:c>
      <x:c r="E235" t="str">
        <x:v>Nền tảng CRM EduPartner</x:v>
      </x:c>
      <x:c r="F235" t="str">
        <x:v>Thanh toán tiếp khách doanh nghiệp cho Donor Stewardship</x:v>
      </x:c>
      <x:c r="G235" t="n">
        <x:v>100000000</x:v>
      </x:c>
      <x:c r="H235" t="n">
        <x:f>G235*10%</x:f>
        <x:v>10000000</x:v>
      </x:c>
      <x:c r="I235" t="n">
        <x:f>G235+H235</x:f>
        <x:v>110000000</x:v>
      </x:c>
      <x:c r="J235" t="str">
        <x:v>Đã gửi duyệt</x:v>
      </x:c>
      <x:c r="K235" t="str">
        <x:v>Vũ Khánh Linh</x:v>
      </x:c>
      <x:c r="L235" t="str">
        <x:v>DT-CAID-2026-014</x:v>
      </x:c>
      <x:c r="M235" t="str">
        <x:v>Có</x:v>
      </x:c>
      <x:c r="N235" t="str">
        <x:v>Có</x:v>
      </x:c>
      <x:c r="O235" t="str">
        <x:v>Hồ sơ mẫu dùng cho quy trình đề nghị thanh toán</x:v>
      </x:c>
    </x:row>
    <x:row r="236">
      <x:c r="A236" t="str">
        <x:v>PR-CAID-2026-235</x:v>
      </x:c>
      <x:c r="B236" t="n">
        <x:v>46226</x:v>
      </x:c>
      <x:c r="C236" t="str">
        <x:v>Development Event</x:v>
      </x:c>
      <x:c r="D236" t="str">
        <x:v>Phần mềm CRM</x:v>
      </x:c>
      <x:c r="E236" t="str">
        <x:v>Công ty Truyền thông Apex</x:v>
      </x:c>
      <x:c r="F236" t="str">
        <x:v>Thanh toán phần mềm crm cho Development Event</x:v>
      </x:c>
      <x:c r="G236" t="n">
        <x:v>150000000</x:v>
      </x:c>
      <x:c r="H236" t="n">
        <x:f>G236*10%</x:f>
        <x:v>15000000</x:v>
      </x:c>
      <x:c r="I236" t="n">
        <x:f>G236+H236</x:f>
        <x:v>165000000</x:v>
      </x:c>
      <x:c r="J236" t="str">
        <x:v>Từ chối</x:v>
      </x:c>
      <x:c r="K236" t="str">
        <x:v>Hoàng Gia Bảo</x:v>
      </x:c>
      <x:c r="L236" t="str">
        <x:v>DT-CAID-2026-073</x:v>
      </x:c>
      <x:c r="M236" t="str">
        <x:v>Không</x:v>
      </x:c>
      <x:c r="N236" t="str">
        <x:v>Không</x:v>
      </x:c>
      <x:c r="O236" t="str">
        <x:v>Hồ sơ mẫu dùng cho quy trình đề nghị thanh toán</x:v>
      </x:c>
    </x:row>
    <x:row r="237">
      <x:c r="A237" t="str">
        <x:v>PR-CAID-2026-236</x:v>
      </x:c>
      <x:c r="B237" t="n">
        <x:v>46239</x:v>
      </x:c>
      <x:c r="C237" t="str">
        <x:v>Career Fair</x:v>
      </x:c>
      <x:c r="D237" t="str">
        <x:v>Phần mềm CRM</x:v>
      </x:c>
      <x:c r="E237" t="str">
        <x:v>Nền tảng CRM EduPartner</x:v>
      </x:c>
      <x:c r="F237" t="str">
        <x:v>Thanh toán phần mềm crm cho Career Fair</x:v>
      </x:c>
      <x:c r="G237" t="n">
        <x:v>50000000</x:v>
      </x:c>
      <x:c r="H237" t="n">
        <x:f>G237*10%</x:f>
        <x:v>5000000</x:v>
      </x:c>
      <x:c r="I237" t="n">
        <x:f>G237+H237</x:f>
        <x:v>55000000</x:v>
      </x:c>
      <x:c r="J237" t="str">
        <x:v>Đã duyệt</x:v>
      </x:c>
      <x:c r="K237" t="str">
        <x:v>Đỗ Bảo Ngọc</x:v>
      </x:c>
      <x:c r="L237" t="str">
        <x:v>DT-CAID-2026-078</x:v>
      </x:c>
      <x:c r="M237" t="str">
        <x:v>Có</x:v>
      </x:c>
      <x:c r="N237" t="str">
        <x:v>Không</x:v>
      </x:c>
      <x:c r="O237" t="str">
        <x:v>Hồ sơ mẫu dùng cho quy trình đề nghị thanh toán</x:v>
      </x:c>
    </x:row>
    <x:row r="238">
      <x:c r="A238" t="str">
        <x:v>PR-CAID-2026-237</x:v>
      </x:c>
      <x:c r="B238" t="n">
        <x:v>46277</x:v>
      </x:c>
      <x:c r="C238" t="str">
        <x:v>Fundraising Campaign</x:v>
      </x:c>
      <x:c r="D238" t="str">
        <x:v>Tài trợ sinh viên</x:v>
      </x:c>
      <x:c r="E238" t="str">
        <x:v>Công ty Digital Growth</x:v>
      </x:c>
      <x:c r="F238" t="str">
        <x:v>Thanh toán tài trợ sinh viên cho Fundraising Campaign</x:v>
      </x:c>
      <x:c r="G238" t="n">
        <x:v>75000000</x:v>
      </x:c>
      <x:c r="H238" t="n">
        <x:f>G238*10%</x:f>
        <x:v>7500000</x:v>
      </x:c>
      <x:c r="I238" t="n">
        <x:f>G238+H238</x:f>
        <x:v>82500000</x:v>
      </x:c>
      <x:c r="J238" t="str">
        <x:v>Cần bổ sung hồ sơ</x:v>
      </x:c>
      <x:c r="K238" t="str">
        <x:v>Hoàng Gia Bảo</x:v>
      </x:c>
      <x:c r="L238" t="str">
        <x:v>DT-CAID-2026-063</x:v>
      </x:c>
      <x:c r="M238" t="str">
        <x:v>Có</x:v>
      </x:c>
      <x:c r="N238" t="str">
        <x:v>Có</x:v>
      </x:c>
      <x:c r="O238" t="str">
        <x:v>Hồ sơ mẫu dùng cho quy trình đề nghị thanh toán</x:v>
      </x:c>
    </x:row>
    <x:row r="239">
      <x:c r="A239" t="str">
        <x:v>PR-CAID-2026-238</x:v>
      </x:c>
      <x:c r="B239" t="n">
        <x:v>46314</x:v>
      </x:c>
      <x:c r="C239" t="str">
        <x:v>Innovation Challenge</x:v>
      </x:c>
      <x:c r="D239" t="str">
        <x:v>Di chuyển công tác</x:v>
      </x:c>
      <x:c r="E239" t="str">
        <x:v>Công ty In ấn Minh Long</x:v>
      </x:c>
      <x:c r="F239" t="str">
        <x:v>Thanh toán di chuyển công tác cho Innovation Challenge</x:v>
      </x:c>
      <x:c r="G239" t="n">
        <x:v>3000000</x:v>
      </x:c>
      <x:c r="H239" t="n">
        <x:f>G239*10%</x:f>
        <x:v>300000</x:v>
      </x:c>
      <x:c r="I239" t="n">
        <x:f>G239+H239</x:f>
        <x:v>3300000</x:v>
      </x:c>
      <x:c r="J239" t="str">
        <x:v>Đã thanh toán</x:v>
      </x:c>
      <x:c r="K239" t="str">
        <x:v>Vũ Khánh Linh</x:v>
      </x:c>
      <x:c r="L239" t="str">
        <x:v>DT-CAID-2026-003</x:v>
      </x:c>
      <x:c r="M239" t="str">
        <x:v>Không</x:v>
      </x:c>
      <x:c r="N239" t="str">
        <x:v>Có</x:v>
      </x:c>
      <x:c r="O239" t="str">
        <x:v>Hồ sơ mẫu dùng cho quy trình đề nghị thanh toán</x:v>
      </x:c>
    </x:row>
    <x:row r="240">
      <x:c r="A240" t="str">
        <x:v>PR-CAID-2026-239</x:v>
      </x:c>
      <x:c r="B240" t="n">
        <x:v>46352</x:v>
      </x:c>
      <x:c r="C240" t="str">
        <x:v>Development Event</x:v>
      </x:c>
      <x:c r="D240" t="str">
        <x:v>Hội thảo doanh nghiệp</x:v>
      </x:c>
      <x:c r="E240" t="str">
        <x:v>Công ty Digital Growth</x:v>
      </x:c>
      <x:c r="F240" t="str">
        <x:v>Thanh toán hội thảo doanh nghiệp cho Development Event</x:v>
      </x:c>
      <x:c r="G240" t="n">
        <x:v>300000000</x:v>
      </x:c>
      <x:c r="H240" t="n">
        <x:f>G240*10%</x:f>
        <x:v>30000000</x:v>
      </x:c>
      <x:c r="I240" t="n">
        <x:f>G240+H240</x:f>
        <x:v>330000000</x:v>
      </x:c>
      <x:c r="J240" t="str">
        <x:v>Đã duyệt</x:v>
      </x:c>
      <x:c r="K240" t="str">
        <x:v>Trần Hoàng Long</x:v>
      </x:c>
      <x:c r="L240" t="str">
        <x:v>DT-CAID-2026-136</x:v>
      </x:c>
      <x:c r="M240" t="str">
        <x:v>Có</x:v>
      </x:c>
      <x:c r="N240" t="str">
        <x:v>Không</x:v>
      </x:c>
      <x:c r="O240" t="str">
        <x:v>Hồ sơ mẫu dùng cho quy trình đề nghị thanh toán</x:v>
      </x:c>
    </x:row>
    <x:row r="241">
      <x:c r="A241" t="str">
        <x:v>PR-CAID-2026-240</x:v>
      </x:c>
      <x:c r="B241" t="n">
        <x:v>46364</x:v>
      </x:c>
      <x:c r="C241" t="str">
        <x:v>MoU Signing</x:v>
      </x:c>
      <x:c r="D241" t="str">
        <x:v>Tổ chức sự kiện</x:v>
      </x:c>
      <x:c r="E241" t="str">
        <x:v>Công ty Digital Growth</x:v>
      </x:c>
      <x:c r="F241" t="str">
        <x:v>Thanh toán tổ chức sự kiện cho MoU Signing</x:v>
      </x:c>
      <x:c r="G241" t="n">
        <x:v>8000000</x:v>
      </x:c>
      <x:c r="H241" t="n">
        <x:f>G241*10%</x:f>
        <x:v>800000</x:v>
      </x:c>
      <x:c r="I241" t="n">
        <x:f>G241+H241</x:f>
        <x:v>8800000</x:v>
      </x:c>
      <x:c r="J241" t="str">
        <x:v>Đã duyệt</x:v>
      </x:c>
      <x:c r="K241" t="str">
        <x:v>Nguyễn Minh Anh</x:v>
      </x:c>
      <x:c r="L241" t="str">
        <x:v>DT-CAID-2026-060</x:v>
      </x:c>
      <x:c r="M241" t="str">
        <x:v>Không</x:v>
      </x:c>
      <x:c r="N241" t="str">
        <x:v>Không</x:v>
      </x:c>
      <x:c r="O241" t="str">
        <x:v>Hồ sơ mẫu dùng cho quy trình đề nghị thanh toán</x:v>
      </x:c>
    </x:row>
    <x:row r="242">
      <x:c r="A242" t="str">
        <x:v>PR-CAID-2026-241</x:v>
      </x:c>
      <x:c r="B242" t="n">
        <x:v>46037</x:v>
      </x:c>
      <x:c r="C242" t="str">
        <x:v>MoU Signing</x:v>
      </x:c>
      <x:c r="D242" t="str">
        <x:v>Chăm sóc nhà tài trợ</x:v>
      </x:c>
      <x:c r="E242" t="str">
        <x:v>Công ty CareerHub Việt Nam</x:v>
      </x:c>
      <x:c r="F242" t="str">
        <x:v>Thanh toán chăm sóc nhà tài trợ cho MoU Signing</x:v>
      </x:c>
      <x:c r="G242" t="n">
        <x:v>5000000</x:v>
      </x:c>
      <x:c r="H242" t="n">
        <x:f>G242*10%</x:f>
        <x:v>500000</x:v>
      </x:c>
      <x:c r="I242" t="n">
        <x:f>G242+H242</x:f>
        <x:v>5500000</x:v>
      </x:c>
      <x:c r="J242" t="str">
        <x:v>Đã gửi duyệt</x:v>
      </x:c>
      <x:c r="K242" t="str">
        <x:v>Trần Hoàng Long</x:v>
      </x:c>
      <x:c r="L242" t="str">
        <x:v>DT-CAID-2026-101</x:v>
      </x:c>
      <x:c r="M242" t="str">
        <x:v>Có</x:v>
      </x:c>
      <x:c r="N242" t="str">
        <x:v>Có</x:v>
      </x:c>
      <x:c r="O242" t="str">
        <x:v>Hồ sơ mẫu dùng cho quy trình đề nghị thanh toán</x:v>
      </x:c>
    </x:row>
    <x:row r="243">
      <x:c r="A243" t="str">
        <x:v>PR-CAID-2026-242</x:v>
      </x:c>
      <x:c r="B243" t="n">
        <x:v>46075</x:v>
      </x:c>
      <x:c r="C243" t="str">
        <x:v>Scholarship Donor Program</x:v>
      </x:c>
      <x:c r="D243" t="str">
        <x:v>Hội thảo doanh nghiệp</x:v>
      </x:c>
      <x:c r="E243" t="str">
        <x:v>Công ty In ấn Minh Long</x:v>
      </x:c>
      <x:c r="F243" t="str">
        <x:v>Thanh toán hội thảo doanh nghiệp cho Scholarship Donor Program</x:v>
      </x:c>
      <x:c r="G243" t="n">
        <x:v>8000000</x:v>
      </x:c>
      <x:c r="H243" t="n">
        <x:f>G243*10%</x:f>
        <x:v>800000</x:v>
      </x:c>
      <x:c r="I243" t="n">
        <x:f>G243+H243</x:f>
        <x:v>8800000</x:v>
      </x:c>
      <x:c r="J243" t="str">
        <x:v>Đã duyệt</x:v>
      </x:c>
      <x:c r="K243" t="str">
        <x:v>Hoàng Gia Bảo</x:v>
      </x:c>
      <x:c r="L243" t="str">
        <x:v>DT-CAID-2026-081</x:v>
      </x:c>
      <x:c r="M243" t="str">
        <x:v>Không</x:v>
      </x:c>
      <x:c r="N243" t="str">
        <x:v>Không</x:v>
      </x:c>
      <x:c r="O243" t="str">
        <x:v>Hồ sơ mẫu dùng cho quy trình đề nghị thanh toán</x:v>
      </x:c>
    </x:row>
    <x:row r="244">
      <x:c r="A244" t="str">
        <x:v>PR-CAID-2026-243</x:v>
      </x:c>
      <x:c r="B244" t="n">
        <x:v>46085</x:v>
      </x:c>
      <x:c r="C244" t="str">
        <x:v>Fundraising Campaign</x:v>
      </x:c>
      <x:c r="D244" t="str">
        <x:v>In ấn tài liệu</x:v>
      </x:c>
      <x:c r="E244" t="str">
        <x:v>Công ty Truyền thông Apex</x:v>
      </x:c>
      <x:c r="F244" t="str">
        <x:v>Thanh toán in ấn tài liệu cho Fundraising Campaign</x:v>
      </x:c>
      <x:c r="G244" t="n">
        <x:v>75000000</x:v>
      </x:c>
      <x:c r="H244" t="n">
        <x:f>G244*10%</x:f>
        <x:v>7500000</x:v>
      </x:c>
      <x:c r="I244" t="n">
        <x:f>G244+H244</x:f>
        <x:v>82500000</x:v>
      </x:c>
      <x:c r="J244" t="str">
        <x:v>Cần bổ sung hồ sơ</x:v>
      </x:c>
      <x:c r="K244" t="str">
        <x:v>Trần Hoàng Long</x:v>
      </x:c>
      <x:c r="L244" t="str">
        <x:v>DT-CAID-2026-150</x:v>
      </x:c>
      <x:c r="M244" t="str">
        <x:v>Có</x:v>
      </x:c>
      <x:c r="N244" t="str">
        <x:v>Có</x:v>
      </x:c>
      <x:c r="O244" t="str">
        <x:v>Hồ sơ mẫu dùng cho quy trình đề nghị thanh toán</x:v>
      </x:c>
    </x:row>
    <x:row r="245">
      <x:c r="A245" t="str">
        <x:v>PR-CAID-2026-244</x:v>
      </x:c>
      <x:c r="B245" t="n">
        <x:v>46123</x:v>
      </x:c>
      <x:c r="C245" t="str">
        <x:v>Career Fair</x:v>
      </x:c>
      <x:c r="D245" t="str">
        <x:v>Truyền thông &amp; thiết kế</x:v>
      </x:c>
      <x:c r="E245" t="str">
        <x:v>Nền tảng CRM EduPartner</x:v>
      </x:c>
      <x:c r="F245" t="str">
        <x:v>Thanh toán truyền thông &amp; thiết kế cho Career Fair</x:v>
      </x:c>
      <x:c r="G245" t="n">
        <x:v>150000000</x:v>
      </x:c>
      <x:c r="H245" t="n">
        <x:f>G245*10%</x:f>
        <x:v>15000000</x:v>
      </x:c>
      <x:c r="I245" t="n">
        <x:f>G245+H245</x:f>
        <x:v>165000000</x:v>
      </x:c>
      <x:c r="J245" t="str">
        <x:v>Đã duyệt</x:v>
      </x:c>
      <x:c r="K245" t="str">
        <x:v>Đỗ Bảo Ngọc</x:v>
      </x:c>
      <x:c r="L245" t="str">
        <x:v>DT-CAID-2026-092</x:v>
      </x:c>
      <x:c r="M245" t="str">
        <x:v>Có</x:v>
      </x:c>
      <x:c r="N245" t="str">
        <x:v>Không</x:v>
      </x:c>
      <x:c r="O245" t="str">
        <x:v>Hồ sơ mẫu dùng cho quy trình đề nghị thanh toán</x:v>
      </x:c>
    </x:row>
    <x:row r="246">
      <x:c r="A246" t="str">
        <x:v>PR-CAID-2026-245</x:v>
      </x:c>
      <x:c r="B246" t="n">
        <x:v>46160</x:v>
      </x:c>
      <x:c r="C246" t="str">
        <x:v>Alumni Engagement</x:v>
      </x:c>
      <x:c r="D246" t="str">
        <x:v>In ấn tài liệu</x:v>
      </x:c>
      <x:c r="E246" t="str">
        <x:v>Công ty Fundraising Solutions</x:v>
      </x:c>
      <x:c r="F246" t="str">
        <x:v>Thanh toán in ấn tài liệu cho Alumni Engagement</x:v>
      </x:c>
      <x:c r="G246" t="n">
        <x:v>15000000</x:v>
      </x:c>
      <x:c r="H246" t="n">
        <x:f>G246*10%</x:f>
        <x:v>1500000</x:v>
      </x:c>
      <x:c r="I246" t="n">
        <x:f>G246+H246</x:f>
        <x:v>16500000</x:v>
      </x:c>
      <x:c r="J246" t="str">
        <x:v>Đã gửi duyệt</x:v>
      </x:c>
      <x:c r="K246" t="str">
        <x:v>Trần Hoàng Long</x:v>
      </x:c>
      <x:c r="L246" t="str">
        <x:v>DT-CAID-2026-078</x:v>
      </x:c>
      <x:c r="M246" t="str">
        <x:v>Có</x:v>
      </x:c>
      <x:c r="N246" t="str">
        <x:v>Có</x:v>
      </x:c>
      <x:c r="O246" t="str">
        <x:v>Hồ sơ mẫu dùng cho quy trình đề nghị thanh toán</x:v>
      </x:c>
    </x:row>
    <x:row r="247">
      <x:c r="A247" t="str">
        <x:v>PR-CAID-2026-246</x:v>
      </x:c>
      <x:c r="B247" t="n">
        <x:v>46198</x:v>
      </x:c>
      <x:c r="C247" t="str">
        <x:v>Donor Stewardship</x:v>
      </x:c>
      <x:c r="D247" t="str">
        <x:v>Diễn giả/chuyên gia</x:v>
      </x:c>
      <x:c r="E247" t="str">
        <x:v>Công ty Truyền thông Apex</x:v>
      </x:c>
      <x:c r="F247" t="str">
        <x:v>Thanh toán diễn giả/chuyên gia cho Donor Stewardship</x:v>
      </x:c>
      <x:c r="G247" t="n">
        <x:v>8000000</x:v>
      </x:c>
      <x:c r="H247" t="n">
        <x:f>G247*10%</x:f>
        <x:v>800000</x:v>
      </x:c>
      <x:c r="I247" t="n">
        <x:f>G247+H247</x:f>
        <x:v>8800000</x:v>
      </x:c>
      <x:c r="J247" t="str">
        <x:v>Đã thanh toán</x:v>
      </x:c>
      <x:c r="K247" t="str">
        <x:v>Lê Thu Hà</x:v>
      </x:c>
      <x:c r="L247" t="str">
        <x:v>DT-CAID-2026-102</x:v>
      </x:c>
      <x:c r="M247" t="str">
        <x:v>Có</x:v>
      </x:c>
      <x:c r="N247" t="str">
        <x:v>Không</x:v>
      </x:c>
      <x:c r="O247" t="str">
        <x:v>Hồ sơ mẫu dùng cho quy trình đề nghị thanh toán</x:v>
      </x:c>
    </x:row>
    <x:row r="248">
      <x:c r="A248" t="str">
        <x:v>PR-CAID-2026-247</x:v>
      </x:c>
      <x:c r="B248" t="n">
        <x:v>46210</x:v>
      </x:c>
      <x:c r="C248" t="str">
        <x:v>Alumni Engagement</x:v>
      </x:c>
      <x:c r="D248" t="str">
        <x:v>Truyền thông &amp; thiết kế</x:v>
      </x:c>
      <x:c r="E248" t="str">
        <x:v>Trung tâm Hội nghị Skyline</x:v>
      </x:c>
      <x:c r="F248" t="str">
        <x:v>Thanh toán truyền thông &amp; thiết kế cho Alumni Engagement</x:v>
      </x:c>
      <x:c r="G248" t="n">
        <x:v>3000000</x:v>
      </x:c>
      <x:c r="H248" t="n">
        <x:f>G248*10%</x:f>
        <x:v>300000</x:v>
      </x:c>
      <x:c r="I248" t="n">
        <x:f>G248+H248</x:f>
        <x:v>3300000</x:v>
      </x:c>
      <x:c r="J248" t="str">
        <x:v>Từ chối</x:v>
      </x:c>
      <x:c r="K248" t="str">
        <x:v>Đỗ Bảo Ngọc</x:v>
      </x:c>
      <x:c r="L248" t="str">
        <x:v>DT-CAID-2026-141</x:v>
      </x:c>
      <x:c r="M248" t="str">
        <x:v>Có</x:v>
      </x:c>
      <x:c r="N248" t="str">
        <x:v>Có</x:v>
      </x:c>
      <x:c r="O248" t="str">
        <x:v>Hồ sơ mẫu dùng cho quy trình đề nghị thanh toán</x:v>
      </x:c>
    </x:row>
    <x:row r="249">
      <x:c r="A249" t="str">
        <x:v>PR-CAID-2026-248</x:v>
      </x:c>
      <x:c r="B249" t="n">
        <x:v>46248</x:v>
      </x:c>
      <x:c r="C249" t="str">
        <x:v>MoU Signing</x:v>
      </x:c>
      <x:c r="D249" t="str">
        <x:v>Tiếp khách doanh nghiệp</x:v>
      </x:c>
      <x:c r="E249" t="str">
        <x:v>Công ty Truyền thông Apex</x:v>
      </x:c>
      <x:c r="F249" t="str">
        <x:v>Thanh toán tiếp khách doanh nghiệp cho MoU Signing</x:v>
      </x:c>
      <x:c r="G249" t="n">
        <x:v>8000000</x:v>
      </x:c>
      <x:c r="H249" t="n">
        <x:f>G249*10%</x:f>
        <x:v>800000</x:v>
      </x:c>
      <x:c r="I249" t="n">
        <x:f>G249+H249</x:f>
        <x:v>8800000</x:v>
      </x:c>
      <x:c r="J249" t="str">
        <x:v>Nháp</x:v>
      </x:c>
      <x:c r="K249" t="str">
        <x:v>Hoàng Gia Bảo</x:v>
      </x:c>
      <x:c r="L249" t="str">
        <x:v>DT-CAID-2026-057</x:v>
      </x:c>
      <x:c r="M249" t="str">
        <x:v>Có</x:v>
      </x:c>
      <x:c r="N249" t="str">
        <x:v>Có</x:v>
      </x:c>
      <x:c r="O249" t="str">
        <x:v>Hồ sơ mẫu dùng cho quy trình đề nghị thanh toán</x:v>
      </x:c>
    </x:row>
    <x:row r="250">
      <x:c r="A250" t="str">
        <x:v>PR-CAID-2026-249</x:v>
      </x:c>
      <x:c r="B250" t="n">
        <x:v>46286</x:v>
      </x:c>
      <x:c r="C250" t="str">
        <x:v>Donor Stewardship</x:v>
      </x:c>
      <x:c r="D250" t="str">
        <x:v>Di chuyển công tác</x:v>
      </x:c>
      <x:c r="E250" t="str">
        <x:v>Công ty HR Bridge</x:v>
      </x:c>
      <x:c r="F250" t="str">
        <x:v>Thanh toán di chuyển công tác cho Donor Stewardship</x:v>
      </x:c>
      <x:c r="G250" t="n">
        <x:v>20000000</x:v>
      </x:c>
      <x:c r="H250" t="n">
        <x:f>G250*10%</x:f>
        <x:v>2000000</x:v>
      </x:c>
      <x:c r="I250" t="n">
        <x:f>G250+H250</x:f>
        <x:v>22000000</x:v>
      </x:c>
      <x:c r="J250" t="str">
        <x:v>Đã thanh toán</x:v>
      </x:c>
      <x:c r="K250" t="str">
        <x:v>Vũ Khánh Linh</x:v>
      </x:c>
      <x:c r="L250" t="str">
        <x:v>DT-CAID-2026-022</x:v>
      </x:c>
      <x:c r="M250" t="str">
        <x:v>Không</x:v>
      </x:c>
      <x:c r="N250" t="str">
        <x:v>Có</x:v>
      </x:c>
      <x:c r="O250" t="str">
        <x:v>Hồ sơ mẫu dùng cho quy trình đề nghị thanh toán</x:v>
      </x:c>
    </x:row>
    <x:row r="251">
      <x:c r="A251" t="str">
        <x:v>PR-CAID-2026-250</x:v>
      </x:c>
      <x:c r="B251" t="n">
        <x:v>46298</x:v>
      </x:c>
      <x:c r="C251" t="str">
        <x:v>Corporate Partnership</x:v>
      </x:c>
      <x:c r="D251" t="str">
        <x:v>Tiếp khách doanh nghiệp</x:v>
      </x:c>
      <x:c r="E251" t="str">
        <x:v>Công ty EventPro</x:v>
      </x:c>
      <x:c r="F251" t="str">
        <x:v>Thanh toán tiếp khách doanh nghiệp cho Corporate Partnership</x:v>
      </x:c>
      <x:c r="G251" t="n">
        <x:v>12000000</x:v>
      </x:c>
      <x:c r="H251" t="n">
        <x:f>G251*10%</x:f>
        <x:v>1200000</x:v>
      </x:c>
      <x:c r="I251" t="n">
        <x:f>G251+H251</x:f>
        <x:v>13200000</x:v>
      </x:c>
      <x:c r="J251" t="str">
        <x:v>Đã thanh toán</x:v>
      </x:c>
      <x:c r="K251" t="str">
        <x:v>Hoàng Gia Bảo</x:v>
      </x:c>
      <x:c r="L251" t="str">
        <x:v>DT-CAID-2026-033</x:v>
      </x:c>
      <x:c r="M251" t="str">
        <x:v>Có</x:v>
      </x:c>
      <x:c r="N251" t="str">
        <x:v>Không</x:v>
      </x:c>
      <x:c r="O251" t="str">
        <x:v>Hồ sơ mẫu dùng cho quy trình đề nghị thanh toán</x:v>
      </x:c>
    </x:row>
  </x:sheetData>
  <x:conditionalFormatting sqref="J2:J251">
    <x:cfRule type="expression" dxfId="2" priority="1">
      <x:formula>J2="Đã thanh toán"</x:formula>
    </x:cfRule>
    <x:cfRule type="expression" dxfId="3" priority="2">
      <x:formula>J2="Từ chối"</x:formula>
    </x:cfRule>
  </x:conditionalFormatting>
  <x:dataValidations count="2">
    <x:dataValidation type="list" sqref="C2:C251">
      <x:formula1>Danh_muc!$A$2:$A$16</x:formula1>
    </x:dataValidation>
    <x:dataValidation type="list" sqref="J2:J251">
      <x:formula1>Danh_muc!$C$2:$C$7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9564ae1e3a45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16" hidden="0" customWidth="1"/>
    <x:col min="7" max="7" width="18" hidden="0" customWidth="1"/>
    <x:col min="8" max="8" width="18" hidden="0" customWidth="1"/>
  </x:cols>
  <x:sheetData>
    <x:row r="1">
      <x:c r="A1" s="10" t="str">
        <x:v>Chuong_trinh</x:v>
      </x:c>
      <x:c r="B1" s="20" t="str">
        <x:v>Tong_du_toan_VND</x:v>
      </x:c>
      <x:c r="C1" s="20" t="str">
        <x:v>Tong_ke_hoach_VND</x:v>
      </x:c>
      <x:c r="D1" s="20" t="str">
        <x:v>Tong_thuc_chi_VND</x:v>
      </x:c>
      <x:c r="E1" s="20" t="str">
        <x:v>Tong_de_nghi_thanh_toan_VND</x:v>
      </x:c>
      <x:c r="F1" s="24" t="str">
        <x:v>Ty_le_thuc_chi_vs_ke_hoach</x:v>
      </x:c>
    </x:row>
    <x:row r="2">
      <x:c r="A2" t="str">
        <x:v>Corporate Partnership</x:v>
      </x:c>
      <x:c r="B2" t="n">
        <x:f>SUMIF(Du_toan_ngan_sach!$E:$E,A2,Du_toan_ngan_sach!$K:$K)</x:f>
        <x:v>43650000000</x:v>
      </x:c>
      <x:c r="C2" t="n">
        <x:f>SUMIF(Ke_hoach_chi_tieu!$C:$C,A2,Ke_hoach_chi_tieu!$D:$D)</x:f>
        <x:v>2640000000</x:v>
      </x:c>
      <x:c r="D2" t="n">
        <x:f>SUMIF(Ke_hoach_chi_tieu!$C:$C,A2,Ke_hoach_chi_tieu!$E:$E)</x:f>
        <x:v>2648580125</x:v>
      </x:c>
      <x:c r="E2" t="n">
        <x:f>SUMIF(De_nghi_thanh_toan!$C:$C,A2,De_nghi_thanh_toan!$I:$I)</x:f>
        <x:v>733700000</x:v>
      </x:c>
      <x:c r="F2" t="n">
        <x:f>IF(C2=0,0,D2/C2)</x:f>
        <x:v>1.0032500473484849</x:v>
      </x:c>
    </x:row>
    <x:row r="3">
      <x:c r="A3" t="str">
        <x:v>Career Fair</x:v>
      </x:c>
      <x:c r="B3" t="n">
        <x:f>SUMIF(Du_toan_ngan_sach!$E:$E,A3,Du_toan_ngan_sach!$K:$K)</x:f>
        <x:v>15575000000</x:v>
      </x:c>
      <x:c r="C3" t="n">
        <x:f>SUMIF(Ke_hoach_chi_tieu!$C:$C,A3,Ke_hoach_chi_tieu!$D:$D)</x:f>
        <x:v>2432500000</x:v>
      </x:c>
      <x:c r="D3" t="n">
        <x:f>SUMIF(Ke_hoach_chi_tieu!$C:$C,A3,Ke_hoach_chi_tieu!$E:$E)</x:f>
        <x:v>2309373475</x:v>
      </x:c>
      <x:c r="E3" t="n">
        <x:f>SUMIF(De_nghi_thanh_toan!$C:$C,A3,De_nghi_thanh_toan!$I:$I)</x:f>
        <x:v>3272500000</x:v>
      </x:c>
      <x:c r="F3" t="n">
        <x:f>IF(C3=0,0,D3/C3)</x:f>
        <x:v>0.9493827235354574</x:v>
      </x:c>
    </x:row>
    <x:row r="4">
      <x:c r="A4" t="str">
        <x:v>Internship Program</x:v>
      </x:c>
      <x:c r="B4" t="n">
        <x:f>SUMIF(Du_toan_ngan_sach!$E:$E,A4,Du_toan_ngan_sach!$K:$K)</x:f>
        <x:v>10790000000</x:v>
      </x:c>
      <x:c r="C4" t="n">
        <x:f>SUMIF(Ke_hoach_chi_tieu!$C:$C,A4,Ke_hoach_chi_tieu!$D:$D)</x:f>
        <x:v>1550000000</x:v>
      </x:c>
      <x:c r="D4" t="n">
        <x:f>SUMIF(Ke_hoach_chi_tieu!$C:$C,A4,Ke_hoach_chi_tieu!$E:$E)</x:f>
        <x:v>1510588533</x:v>
      </x:c>
      <x:c r="E4" t="n">
        <x:f>SUMIF(De_nghi_thanh_toan!$C:$C,A4,De_nghi_thanh_toan!$I:$I)</x:f>
        <x:v>511500000</x:v>
      </x:c>
      <x:c r="F4" t="n">
        <x:f>IF(C4=0,0,D4/C4)</x:f>
        <x:v>0.9745732470967742</x:v>
      </x:c>
    </x:row>
    <x:row r="5">
      <x:c r="A5" t="str">
        <x:v>Employer Branding</x:v>
      </x:c>
      <x:c r="B5" t="n">
        <x:f>SUMIF(Du_toan_ngan_sach!$E:$E,A5,Du_toan_ngan_sach!$K:$K)</x:f>
        <x:v>5022000000</x:v>
      </x:c>
      <x:c r="C5" t="n">
        <x:f>SUMIF(Ke_hoach_chi_tieu!$C:$C,A5,Ke_hoach_chi_tieu!$D:$D)</x:f>
        <x:v>1575000000</x:v>
      </x:c>
      <x:c r="D5" t="n">
        <x:f>SUMIF(Ke_hoach_chi_tieu!$C:$C,A5,Ke_hoach_chi_tieu!$E:$E)</x:f>
        <x:v>1649325772</x:v>
      </x:c>
      <x:c r="E5" t="n">
        <x:f>SUMIF(De_nghi_thanh_toan!$C:$C,A5,De_nghi_thanh_toan!$I:$I)</x:f>
        <x:v>772200000</x:v>
      </x:c>
      <x:c r="F5" t="n">
        <x:f>IF(C5=0,0,D5/C5)</x:f>
        <x:v>1.0471909663492063</x:v>
      </x:c>
    </x:row>
    <x:row r="6">
      <x:c r="A6" t="str">
        <x:v>Alumni Engagement</x:v>
      </x:c>
      <x:c r="B6" t="n">
        <x:f>SUMIF(Du_toan_ngan_sach!$E:$E,A6,Du_toan_ngan_sach!$K:$K)</x:f>
        <x:v>37890000000</x:v>
      </x:c>
      <x:c r="C6" t="n">
        <x:f>SUMIF(Ke_hoach_chi_tieu!$C:$C,A6,Ke_hoach_chi_tieu!$D:$D)</x:f>
        <x:v>1225000000</x:v>
      </x:c>
      <x:c r="D6" t="n">
        <x:f>SUMIF(Ke_hoach_chi_tieu!$C:$C,A6,Ke_hoach_chi_tieu!$E:$E)</x:f>
        <x:v>1198150694</x:v>
      </x:c>
      <x:c r="E6" t="n">
        <x:f>SUMIF(De_nghi_thanh_toan!$C:$C,A6,De_nghi_thanh_toan!$I:$I)</x:f>
        <x:v>1068100000</x:v>
      </x:c>
      <x:c r="F6" t="n">
        <x:f>IF(C6=0,0,D6/C6)</x:f>
        <x:v>0.9780821991836735</x:v>
      </x:c>
    </x:row>
    <x:row r="7">
      <x:c r="A7" t="str">
        <x:v>Fundraising Campaign</x:v>
      </x:c>
      <x:c r="B7" t="n">
        <x:f>SUMIF(Du_toan_ngan_sach!$E:$E,A7,Du_toan_ngan_sach!$K:$K)</x:f>
        <x:v>8900000000</x:v>
      </x:c>
      <x:c r="C7" t="n">
        <x:f>SUMIF(Ke_hoach_chi_tieu!$C:$C,A7,Ke_hoach_chi_tieu!$D:$D)</x:f>
        <x:v>2667500000</x:v>
      </x:c>
      <x:c r="D7" t="n">
        <x:f>SUMIF(Ke_hoach_chi_tieu!$C:$C,A7,Ke_hoach_chi_tieu!$E:$E)</x:f>
        <x:v>2532304294</x:v>
      </x:c>
      <x:c r="E7" t="n">
        <x:f>SUMIF(De_nghi_thanh_toan!$C:$C,A7,De_nghi_thanh_toan!$I:$I)</x:f>
        <x:v>2750000000</x:v>
      </x:c>
      <x:c r="F7" t="n">
        <x:f>IF(C7=0,0,D7/C7)</x:f>
        <x:v>0.9493174485473289</x:v>
      </x:c>
    </x:row>
    <x:row r="8">
      <x:c r="A8" t="str">
        <x:v>Scholarship Donor Program</x:v>
      </x:c>
      <x:c r="B8" t="n">
        <x:f>SUMIF(Du_toan_ngan_sach!$E:$E,A8,Du_toan_ngan_sach!$K:$K)</x:f>
        <x:v>3650000000</x:v>
      </x:c>
      <x:c r="C8" t="n">
        <x:f>SUMIF(Ke_hoach_chi_tieu!$C:$C,A8,Ke_hoach_chi_tieu!$D:$D)</x:f>
        <x:v>1500000000</x:v>
      </x:c>
      <x:c r="D8" t="n">
        <x:f>SUMIF(Ke_hoach_chi_tieu!$C:$C,A8,Ke_hoach_chi_tieu!$E:$E)</x:f>
        <x:v>1468558552</x:v>
      </x:c>
      <x:c r="E8" t="n">
        <x:f>SUMIF(De_nghi_thanh_toan!$C:$C,A8,De_nghi_thanh_toan!$I:$I)</x:f>
        <x:v>313500000</x:v>
      </x:c>
      <x:c r="F8" t="n">
        <x:f>IF(C8=0,0,D8/C8)</x:f>
        <x:v>0.9790390346666666</x:v>
      </x:c>
    </x:row>
    <x:row r="9">
      <x:c r="A9" t="str">
        <x:v>MoU Signing</x:v>
      </x:c>
      <x:c r="B9" t="n">
        <x:f>SUMIF(Du_toan_ngan_sach!$E:$E,A9,Du_toan_ngan_sach!$K:$K)</x:f>
        <x:v>9656000000</x:v>
      </x:c>
      <x:c r="C9" t="n">
        <x:f>SUMIF(Ke_hoach_chi_tieu!$C:$C,A9,Ke_hoach_chi_tieu!$D:$D)</x:f>
        <x:v>1600000000</x:v>
      </x:c>
      <x:c r="D9" t="n">
        <x:f>SUMIF(Ke_hoach_chi_tieu!$C:$C,A9,Ke_hoach_chi_tieu!$E:$E)</x:f>
        <x:v>1477864365</x:v>
      </x:c>
      <x:c r="E9" t="n">
        <x:f>SUMIF(De_nghi_thanh_toan!$C:$C,A9,De_nghi_thanh_toan!$I:$I)</x:f>
        <x:v>915200000</x:v>
      </x:c>
      <x:c r="F9" t="n">
        <x:f>IF(C9=0,0,D9/C9)</x:f>
        <x:v>0.923665228125</x:v>
      </x:c>
    </x:row>
    <x:row r="10">
      <x:c r="A10" t="str">
        <x:v>Company Visit</x:v>
      </x:c>
      <x:c r="B10" t="n">
        <x:f>SUMIF(Du_toan_ngan_sach!$E:$E,A10,Du_toan_ngan_sach!$K:$K)</x:f>
        <x:v>40850000000</x:v>
      </x:c>
      <x:c r="C10" t="n">
        <x:f>SUMIF(Ke_hoach_chi_tieu!$C:$C,A10,Ke_hoach_chi_tieu!$D:$D)</x:f>
        <x:v>1675000000</x:v>
      </x:c>
      <x:c r="D10" t="n">
        <x:f>SUMIF(Ke_hoach_chi_tieu!$C:$C,A10,Ke_hoach_chi_tieu!$E:$E)</x:f>
        <x:v>1592310695</x:v>
      </x:c>
      <x:c r="E10" t="n">
        <x:f>SUMIF(De_nghi_thanh_toan!$C:$C,A10,De_nghi_thanh_toan!$I:$I)</x:f>
        <x:v>884400000</x:v>
      </x:c>
      <x:c r="F10" t="n">
        <x:f>IF(C10=0,0,D10/C10)</x:f>
        <x:v>0.9506332507462687</x:v>
      </x:c>
    </x:row>
    <x:row r="11">
      <x:c r="A11" t="str">
        <x:v>Industry Advisory Board</x:v>
      </x:c>
      <x:c r="B11" t="n">
        <x:f>SUMIF(Du_toan_ngan_sach!$E:$E,A11,Du_toan_ngan_sach!$K:$K)</x:f>
        <x:v>59523000000</x:v>
      </x:c>
      <x:c r="C11" t="n">
        <x:f>SUMIF(Ke_hoach_chi_tieu!$C:$C,A11,Ke_hoach_chi_tieu!$D:$D)</x:f>
        <x:v>1600000000</x:v>
      </x:c>
      <x:c r="D11" t="n">
        <x:f>SUMIF(Ke_hoach_chi_tieu!$C:$C,A11,Ke_hoach_chi_tieu!$E:$E)</x:f>
        <x:v>1576856390</x:v>
      </x:c>
      <x:c r="E11" t="n">
        <x:f>SUMIF(De_nghi_thanh_toan!$C:$C,A11,De_nghi_thanh_toan!$I:$I)</x:f>
        <x:v>553300000</x:v>
      </x:c>
      <x:c r="F11" t="n">
        <x:f>IF(C11=0,0,D11/C11)</x:f>
        <x:v>0.98553524375</x:v>
      </x:c>
    </x:row>
    <x:row r="12">
      <x:c r="A12" t="str">
        <x:v>Mentorship Program</x:v>
      </x:c>
      <x:c r="B12" t="n">
        <x:f>SUMIF(Du_toan_ngan_sach!$E:$E,A12,Du_toan_ngan_sach!$K:$K)</x:f>
        <x:v>62613000000</x:v>
      </x:c>
      <x:c r="C12" t="n">
        <x:f>SUMIF(Ke_hoach_chi_tieu!$C:$C,A12,Ke_hoach_chi_tieu!$D:$D)</x:f>
        <x:v>0</x:v>
      </x:c>
      <x:c r="D12" t="n">
        <x:f>SUMIF(Ke_hoach_chi_tieu!$C:$C,A12,Ke_hoach_chi_tieu!$E:$E)</x:f>
        <x:v>0</x:v>
      </x:c>
      <x:c r="E12" t="n">
        <x:f>SUMIF(De_nghi_thanh_toan!$C:$C,A12,De_nghi_thanh_toan!$I:$I)</x:f>
        <x:v>696300000</x:v>
      </x:c>
      <x:c r="F12" t="n">
        <x:f>IF(C12=0,0,D12/C12)</x:f>
        <x:v>0</x:v>
      </x:c>
    </x:row>
    <x:row r="13">
      <x:c r="A13" t="str">
        <x:v>Corporate Training</x:v>
      </x:c>
      <x:c r="B13" t="n">
        <x:f>SUMIF(Du_toan_ngan_sach!$E:$E,A13,Du_toan_ngan_sach!$K:$K)</x:f>
        <x:v>1410000000</x:v>
      </x:c>
      <x:c r="C13" t="n">
        <x:f>SUMIF(Ke_hoach_chi_tieu!$C:$C,A13,Ke_hoach_chi_tieu!$D:$D)</x:f>
        <x:v>0</x:v>
      </x:c>
      <x:c r="D13" t="n">
        <x:f>SUMIF(Ke_hoach_chi_tieu!$C:$C,A13,Ke_hoach_chi_tieu!$E:$E)</x:f>
        <x:v>0</x:v>
      </x:c>
      <x:c r="E13" t="n">
        <x:f>SUMIF(De_nghi_thanh_toan!$C:$C,A13,De_nghi_thanh_toan!$I:$I)</x:f>
        <x:v>893200000</x:v>
      </x:c>
      <x:c r="F13" t="n">
        <x:f>IF(C13=0,0,D13/C13)</x:f>
        <x:v>0</x:v>
      </x:c>
    </x:row>
    <x:row r="14">
      <x:c r="A14" t="str">
        <x:v>Development Event</x:v>
      </x:c>
      <x:c r="B14" t="n">
        <x:f>SUMIF(Du_toan_ngan_sach!$E:$E,A14,Du_toan_ngan_sach!$K:$K)</x:f>
        <x:v>11119000000</x:v>
      </x:c>
      <x:c r="C14" t="n">
        <x:f>SUMIF(Ke_hoach_chi_tieu!$C:$C,A14,Ke_hoach_chi_tieu!$D:$D)</x:f>
        <x:v>0</x:v>
      </x:c>
      <x:c r="D14" t="n">
        <x:f>SUMIF(Ke_hoach_chi_tieu!$C:$C,A14,Ke_hoach_chi_tieu!$E:$E)</x:f>
        <x:v>0</x:v>
      </x:c>
      <x:c r="E14" t="n">
        <x:f>SUMIF(De_nghi_thanh_toan!$C:$C,A14,De_nghi_thanh_toan!$I:$I)</x:f>
        <x:v>3410000000</x:v>
      </x:c>
      <x:c r="F14" t="n">
        <x:f>IF(C14=0,0,D14/C14)</x:f>
        <x:v>0</x:v>
      </x:c>
    </x:row>
    <x:row r="15">
      <x:c r="A15" t="str">
        <x:v>Donor Stewardship</x:v>
      </x:c>
      <x:c r="B15" t="n">
        <x:f>SUMIF(Du_toan_ngan_sach!$E:$E,A15,Du_toan_ngan_sach!$K:$K)</x:f>
        <x:v>878000000</x:v>
      </x:c>
      <x:c r="C15" t="n">
        <x:f>SUMIF(Ke_hoach_chi_tieu!$C:$C,A15,Ke_hoach_chi_tieu!$D:$D)</x:f>
        <x:v>0</x:v>
      </x:c>
      <x:c r="D15" t="n">
        <x:f>SUMIF(Ke_hoach_chi_tieu!$C:$C,A15,Ke_hoach_chi_tieu!$E:$E)</x:f>
        <x:v>0</x:v>
      </x:c>
      <x:c r="E15" t="n">
        <x:f>SUMIF(De_nghi_thanh_toan!$C:$C,A15,De_nghi_thanh_toan!$I:$I)</x:f>
        <x:v>831600000</x:v>
      </x:c>
      <x:c r="F15" t="n">
        <x:f>IF(C15=0,0,D15/C15)</x:f>
        <x:v>0</x:v>
      </x:c>
    </x:row>
    <x:row r="16">
      <x:c r="A16" t="str">
        <x:v>Innovation Challenge</x:v>
      </x:c>
      <x:c r="B16" t="n">
        <x:f>SUMIF(Du_toan_ngan_sach!$E:$E,A16,Du_toan_ngan_sach!$K:$K)</x:f>
        <x:v>30499000000</x:v>
      </x:c>
      <x:c r="C16" t="n">
        <x:f>SUMIF(Ke_hoach_chi_tieu!$C:$C,A16,Ke_hoach_chi_tieu!$D:$D)</x:f>
        <x:v>0</x:v>
      </x:c>
      <x:c r="D16" t="n">
        <x:f>SUMIF(Ke_hoach_chi_tieu!$C:$C,A16,Ke_hoach_chi_tieu!$E:$E)</x:f>
        <x:v>0</x:v>
      </x:c>
      <x:c r="E16" t="n">
        <x:f>SUMIF(De_nghi_thanh_toan!$C:$C,A16,De_nghi_thanh_toan!$I:$I)</x:f>
        <x:v>452100000</x:v>
      </x:c>
      <x:c r="F16" t="n">
        <x:f>IF(C16=0,0,D16/C16)</x:f>
        <x:v>0</x:v>
      </x:c>
    </x:row>
    <x:row r="20">
      <x:c r="A20" s="10" t="str">
        <x:v>Thang</x:v>
      </x:c>
      <x:c r="B20" s="10" t="str">
        <x:v>Ke_hoach_VND</x:v>
      </x:c>
      <x:c r="C20" s="10" t="str">
        <x:v>Thuc_chi_VND</x:v>
      </x:c>
      <x:c r="D20" s="10" t="str">
        <x:v>Thanh_toan_VND</x:v>
      </x:c>
      <x:c r="E20" s="10" t="str">
        <x:v>Ty_le_su_dung</x:v>
      </x:c>
    </x:row>
    <x:row r="21">
      <x:c r="A21" s="30" t="n">
        <x:v>46023</x:v>
      </x:c>
      <x:c r="B21" t="n">
        <x:f>SUMIFS(Ke_hoach_chi_tieu!$D:$D,Ke_hoach_chi_tieu!$A:$A,A21)</x:f>
        <x:v>1575000000</x:v>
      </x:c>
      <x:c r="C21" t="n">
        <x:f>SUMIFS(Ke_hoach_chi_tieu!$E:$E,Ke_hoach_chi_tieu!$A:$A,A21)</x:f>
        <x:v>1434457787</x:v>
      </x:c>
      <x:c r="D21" t="n">
        <x:f>SUMIFS(De_nghi_thanh_toan!$I:$I,De_nghi_thanh_toan!$B:$B,"&gt;="&amp;A21,De_nghi_thanh_toan!$B:$B,"&lt;"&amp;EDATE(A21,1))</x:f>
        <x:v>1816100000</x:v>
      </x:c>
      <x:c r="E21" s="26" t="n">
        <x:f>IF(B21=0,0,C21/B21)</x:f>
        <x:v>0.9107668488888889</x:v>
      </x:c>
    </x:row>
    <x:row r="22">
      <x:c r="A22" s="30" t="n">
        <x:v>46054</x:v>
      </x:c>
      <x:c r="B22" t="n">
        <x:f>SUMIFS(Ke_hoach_chi_tieu!$D:$D,Ke_hoach_chi_tieu!$A:$A,A22)</x:f>
        <x:v>1487500000</x:v>
      </x:c>
      <x:c r="C22" t="n">
        <x:f>SUMIFS(Ke_hoach_chi_tieu!$E:$E,Ke_hoach_chi_tieu!$A:$A,A22)</x:f>
        <x:v>1387981957</x:v>
      </x:c>
      <x:c r="D22" t="n">
        <x:f>SUMIFS(De_nghi_thanh_toan!$I:$I,De_nghi_thanh_toan!$B:$B,"&gt;="&amp;A22,De_nghi_thanh_toan!$B:$B,"&lt;"&amp;EDATE(A22,1))</x:f>
        <x:v>1521300000</x:v>
      </x:c>
      <x:c r="E22" s="26" t="n">
        <x:f>IF(B22=0,0,C22/B22)</x:f>
        <x:v>0.9330971139495798</x:v>
      </x:c>
    </x:row>
    <x:row r="23">
      <x:c r="A23" s="30" t="n">
        <x:v>46082</x:v>
      </x:c>
      <x:c r="B23" t="n">
        <x:f>SUMIFS(Ke_hoach_chi_tieu!$D:$D,Ke_hoach_chi_tieu!$A:$A,A23)</x:f>
        <x:v>1520000000</x:v>
      </x:c>
      <x:c r="C23" t="n">
        <x:f>SUMIFS(Ke_hoach_chi_tieu!$E:$E,Ke_hoach_chi_tieu!$A:$A,A23)</x:f>
        <x:v>1555586130</x:v>
      </x:c>
      <x:c r="D23" t="n">
        <x:f>SUMIFS(De_nghi_thanh_toan!$I:$I,De_nghi_thanh_toan!$B:$B,"&gt;="&amp;A23,De_nghi_thanh_toan!$B:$B,"&lt;"&amp;EDATE(A23,1))</x:f>
        <x:v>1951400000</x:v>
      </x:c>
      <x:c r="E23" s="26" t="n">
        <x:f>IF(B23=0,0,C23/B23)</x:f>
        <x:v>1.023411927631579</x:v>
      </x:c>
    </x:row>
    <x:row r="24">
      <x:c r="A24" s="30" t="n">
        <x:v>46113</x:v>
      </x:c>
      <x:c r="B24" t="n">
        <x:f>SUMIFS(Ke_hoach_chi_tieu!$D:$D,Ke_hoach_chi_tieu!$A:$A,A24)</x:f>
        <x:v>1630000000</x:v>
      </x:c>
      <x:c r="C24" t="n">
        <x:f>SUMIFS(Ke_hoach_chi_tieu!$E:$E,Ke_hoach_chi_tieu!$A:$A,A24)</x:f>
        <x:v>1579875834</x:v>
      </x:c>
      <x:c r="D24" t="n">
        <x:f>SUMIFS(De_nghi_thanh_toan!$I:$I,De_nghi_thanh_toan!$B:$B,"&gt;="&amp;A24,De_nghi_thanh_toan!$B:$B,"&lt;"&amp;EDATE(A24,1))</x:f>
        <x:v>1794100000</x:v>
      </x:c>
      <x:c r="E24" s="26" t="n">
        <x:f>IF(B24=0,0,C24/B24)</x:f>
        <x:v>0.9692489779141105</x:v>
      </x:c>
    </x:row>
    <x:row r="25">
      <x:c r="A25" s="30" t="n">
        <x:v>46143</x:v>
      </x:c>
      <x:c r="B25" t="n">
        <x:f>SUMIFS(Ke_hoach_chi_tieu!$D:$D,Ke_hoach_chi_tieu!$A:$A,A25)</x:f>
        <x:v>1535000000</x:v>
      </x:c>
      <x:c r="C25" t="n">
        <x:f>SUMIFS(Ke_hoach_chi_tieu!$E:$E,Ke_hoach_chi_tieu!$A:$A,A25)</x:f>
        <x:v>1648511130</x:v>
      </x:c>
      <x:c r="D25" t="n">
        <x:f>SUMIFS(De_nghi_thanh_toan!$I:$I,De_nghi_thanh_toan!$B:$B,"&gt;="&amp;A25,De_nghi_thanh_toan!$B:$B,"&lt;"&amp;EDATE(A25,1))</x:f>
        <x:v>1635700000</x:v>
      </x:c>
      <x:c r="E25" s="26" t="n">
        <x:f>IF(B25=0,0,C25/B25)</x:f>
        <x:v>1.073948618892508</x:v>
      </x:c>
    </x:row>
    <x:row r="26">
      <x:c r="A26" s="30" t="n">
        <x:v>46174</x:v>
      </x:c>
      <x:c r="B26" t="n">
        <x:f>SUMIFS(Ke_hoach_chi_tieu!$D:$D,Ke_hoach_chi_tieu!$A:$A,A26)</x:f>
        <x:v>1275000000</x:v>
      </x:c>
      <x:c r="C26" t="n">
        <x:f>SUMIFS(Ke_hoach_chi_tieu!$E:$E,Ke_hoach_chi_tieu!$A:$A,A26)</x:f>
        <x:v>1177040827</x:v>
      </x:c>
      <x:c r="D26" t="n">
        <x:f>SUMIFS(De_nghi_thanh_toan!$I:$I,De_nghi_thanh_toan!$B:$B,"&gt;="&amp;A26,De_nghi_thanh_toan!$B:$B,"&lt;"&amp;EDATE(A26,1))</x:f>
        <x:v>1557600000</x:v>
      </x:c>
      <x:c r="E26" s="26" t="n">
        <x:f>IF(B26=0,0,C26/B26)</x:f>
        <x:v>0.9231692760784314</x:v>
      </x:c>
    </x:row>
    <x:row r="27">
      <x:c r="A27" s="30" t="n">
        <x:v>46204</x:v>
      </x:c>
      <x:c r="B27" t="n">
        <x:f>SUMIFS(Ke_hoach_chi_tieu!$D:$D,Ke_hoach_chi_tieu!$A:$A,A27)</x:f>
        <x:v>1452500000</x:v>
      </x:c>
      <x:c r="C27" t="n">
        <x:f>SUMIFS(Ke_hoach_chi_tieu!$E:$E,Ke_hoach_chi_tieu!$A:$A,A27)</x:f>
        <x:v>1435278176</x:v>
      </x:c>
      <x:c r="D27" t="n">
        <x:f>SUMIFS(De_nghi_thanh_toan!$I:$I,De_nghi_thanh_toan!$B:$B,"&gt;="&amp;A27,De_nghi_thanh_toan!$B:$B,"&lt;"&amp;EDATE(A27,1))</x:f>
        <x:v>1629100000</x:v>
      </x:c>
      <x:c r="E27" s="26" t="n">
        <x:f>IF(B27=0,0,C27/B27)</x:f>
        <x:v>0.9881433225473322</x:v>
      </x:c>
    </x:row>
    <x:row r="28">
      <x:c r="A28" s="30" t="n">
        <x:v>46235</x:v>
      </x:c>
      <x:c r="B28" t="n">
        <x:f>SUMIFS(Ke_hoach_chi_tieu!$D:$D,Ke_hoach_chi_tieu!$A:$A,A28)</x:f>
        <x:v>1520000000</x:v>
      </x:c>
      <x:c r="C28" t="n">
        <x:f>SUMIFS(Ke_hoach_chi_tieu!$E:$E,Ke_hoach_chi_tieu!$A:$A,A28)</x:f>
        <x:v>1512011553</x:v>
      </x:c>
      <x:c r="D28" t="n">
        <x:f>SUMIFS(De_nghi_thanh_toan!$I:$I,De_nghi_thanh_toan!$B:$B,"&gt;="&amp;A28,De_nghi_thanh_toan!$B:$B,"&lt;"&amp;EDATE(A28,1))</x:f>
        <x:v>1131900000</x:v>
      </x:c>
      <x:c r="E28" s="26" t="n">
        <x:f>IF(B28=0,0,C28/B28)</x:f>
        <x:v>0.9947444427631579</x:v>
      </x:c>
    </x:row>
    <x:row r="29">
      <x:c r="A29" s="30" t="n">
        <x:v>46266</x:v>
      </x:c>
      <x:c r="B29" t="n">
        <x:f>SUMIFS(Ke_hoach_chi_tieu!$D:$D,Ke_hoach_chi_tieu!$A:$A,A29)</x:f>
        <x:v>1545000000</x:v>
      </x:c>
      <x:c r="C29" t="n">
        <x:f>SUMIFS(Ke_hoach_chi_tieu!$E:$E,Ke_hoach_chi_tieu!$A:$A,A29)</x:f>
        <x:v>1342589724</x:v>
      </x:c>
      <x:c r="D29" t="n">
        <x:f>SUMIFS(De_nghi_thanh_toan!$I:$I,De_nghi_thanh_toan!$B:$B,"&gt;="&amp;A29,De_nghi_thanh_toan!$B:$B,"&lt;"&amp;EDATE(A29,1))</x:f>
        <x:v>1068100000</x:v>
      </x:c>
      <x:c r="E29" s="26" t="n">
        <x:f>IF(B29=0,0,C29/B29)</x:f>
        <x:v>0.8689901126213593</x:v>
      </x:c>
    </x:row>
    <x:row r="30">
      <x:c r="A30" s="30" t="n">
        <x:v>46296</x:v>
      </x:c>
      <x:c r="B30" t="n">
        <x:f>SUMIFS(Ke_hoach_chi_tieu!$D:$D,Ke_hoach_chi_tieu!$A:$A,A30)</x:f>
        <x:v>1225000000</x:v>
      </x:c>
      <x:c r="C30" t="n">
        <x:f>SUMIFS(Ke_hoach_chi_tieu!$E:$E,Ke_hoach_chi_tieu!$A:$A,A30)</x:f>
        <x:v>1231380181</x:v>
      </x:c>
      <x:c r="D30" t="n">
        <x:f>SUMIFS(De_nghi_thanh_toan!$I:$I,De_nghi_thanh_toan!$B:$B,"&gt;="&amp;A30,De_nghi_thanh_toan!$B:$B,"&lt;"&amp;EDATE(A30,1))</x:f>
        <x:v>1460800000</x:v>
      </x:c>
      <x:c r="E30" s="26" t="n">
        <x:f>IF(B30=0,0,C30/B30)</x:f>
        <x:v>1.0052083110204082</x:v>
      </x:c>
    </x:row>
    <x:row r="31">
      <x:c r="A31" s="30" t="n">
        <x:v>46327</x:v>
      </x:c>
      <x:c r="B31" t="n">
        <x:f>SUMIFS(Ke_hoach_chi_tieu!$D:$D,Ke_hoach_chi_tieu!$A:$A,A31)</x:f>
        <x:v>2000000000</x:v>
      </x:c>
      <x:c r="C31" t="n">
        <x:f>SUMIFS(Ke_hoach_chi_tieu!$E:$E,Ke_hoach_chi_tieu!$A:$A,A31)</x:f>
        <x:v>1975029577</x:v>
      </x:c>
      <x:c r="D31" t="n">
        <x:f>SUMIFS(De_nghi_thanh_toan!$I:$I,De_nghi_thanh_toan!$B:$B,"&gt;="&amp;A31,De_nghi_thanh_toan!$B:$B,"&lt;"&amp;EDATE(A31,1))</x:f>
        <x:v>1433300000</x:v>
      </x:c>
      <x:c r="E31" s="26" t="n">
        <x:f>IF(B31=0,0,C31/B31)</x:f>
        <x:v>0.9875147885</x:v>
      </x:c>
    </x:row>
    <x:row r="32">
      <x:c r="A32" s="30" t="n">
        <x:v>46357</x:v>
      </x:c>
      <x:c r="B32" t="n">
        <x:f>SUMIFS(Ke_hoach_chi_tieu!$D:$D,Ke_hoach_chi_tieu!$A:$A,A32)</x:f>
        <x:v>1700000000</x:v>
      </x:c>
      <x:c r="C32" t="n">
        <x:f>SUMIFS(Ke_hoach_chi_tieu!$E:$E,Ke_hoach_chi_tieu!$A:$A,A32)</x:f>
        <x:v>1684170019</x:v>
      </x:c>
      <x:c r="D32" t="n">
        <x:f>SUMIFS(De_nghi_thanh_toan!$I:$I,De_nghi_thanh_toan!$B:$B,"&gt;="&amp;A32,De_nghi_thanh_toan!$B:$B,"&lt;"&amp;EDATE(A32,1))</x:f>
        <x:v>1058200000</x:v>
      </x:c>
      <x:c r="E32" s="26" t="n">
        <x:f>IF(B32=0,0,C32/B32)</x:f>
        <x:v>0.9906882464705883</x:v>
      </x:c>
    </x:row>
  </x:sheetData>
  <x:pageMargins left="0.7" right="0.7" top="0.75" bottom="0.75" header="0.3" footer="0.3"/>
  <x:tableParts count="2">
    <x:tablePart xmlns:r="http://schemas.openxmlformats.org/officeDocument/2006/relationships" r:id="R15e5117ea1bc4848"/>
    <x:tablePart xmlns:r="http://schemas.openxmlformats.org/officeDocument/2006/relationships" r:id="Rfe302698433649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16" hidden="0" customWidth="1"/>
    <x:col min="7" max="7" width="18" hidden="0" customWidth="1"/>
    <x:col min="8" max="8" width="18" hidden="0" customWidth="1"/>
  </x:cols>
  <x:sheetData>
    <x:row r="1">
      <x:c r="A1" s="14" t="str">
        <x:v>PHÒNG HỢP TÁC DOANH NGHIỆP &amp; PHÁT TRIỂN (CAID)</x:v>
      </x:c>
      <x:c r="B1" s="22" t="str"/>
      <x:c r="C1" s="14" t="str"/>
      <x:c r="D1" s="14" t="str"/>
      <x:c r="E1" s="22" t="str"/>
      <x:c r="F1" s="22" t="str"/>
      <x:c r="G1" s="22" t="str"/>
      <x:c r="H1" s="14" t="str"/>
    </x:row>
    <x:row r="2">
      <x:c r="A2" s="18" t="str">
        <x:v>Dashboard quản trị ngân sách 2026</x:v>
      </x:c>
      <x:c r="B2" s="18" t="str"/>
      <x:c r="C2" s="18" t="str"/>
      <x:c r="D2" s="18" t="str"/>
      <x:c r="E2" s="18" t="str"/>
      <x:c r="F2" s="18" t="str"/>
      <x:c r="G2" s="18" t="str"/>
      <x:c r="H2" s="18" t="str"/>
    </x:row>
    <x:row r="3">
      <x:c r="A3" s="4" t="str">
        <x:v>Chỉ số</x:v>
      </x:c>
      <x:c r="B3" s="4" t="str">
        <x:v>Giá trị</x:v>
      </x:c>
      <x:c r="C3" t="str"/>
      <x:c r="D3" s="4" t="str">
        <x:v>Chỉ số</x:v>
      </x:c>
      <x:c r="E3" s="4" t="str">
        <x:v>Giá trị</x:v>
      </x:c>
      <x:c r="F3" t="str"/>
      <x:c r="G3" t="str">
        <x:v>Ghi chú</x:v>
      </x:c>
      <x:c r="H3" t="str"/>
    </x:row>
    <x:row r="4">
      <x:c r="A4" t="str">
        <x:v>Tổng dự toán</x:v>
      </x:c>
      <x:c r="B4" t="n">
        <x:f>SUM(Du_toan_ngan_sach!K:K)</x:f>
        <x:v>342025000000</x:v>
      </x:c>
      <x:c r="C4" t="str"/>
      <x:c r="D4" t="str">
        <x:v>Tổng kế hoạch</x:v>
      </x:c>
      <x:c r="E4" t="n">
        <x:f>SUM(Ke_hoach_chi_tieu!D:D)</x:f>
        <x:v>18465000000</x:v>
      </x:c>
      <x:c r="F4" t="str"/>
      <x:c r="G4" t="str">
        <x:v>Dữ liệu giả lập phục vụ demo</x:v>
      </x:c>
      <x:c r="H4" t="str"/>
    </x:row>
    <x:row r="5">
      <x:c r="A5" t="str">
        <x:v>Tổng thực chi</x:v>
      </x:c>
      <x:c r="B5" t="n">
        <x:f>SUM(Ke_hoach_chi_tieu!E:E)</x:f>
        <x:v>17963912895</x:v>
      </x:c>
      <x:c r="C5" t="str"/>
      <x:c r="D5" t="str">
        <x:v>Tổng đề nghị thanh toán</x:v>
      </x:c>
      <x:c r="E5" t="n">
        <x:f>SUM(De_nghi_thanh_toan!I:I)</x:f>
        <x:v>18057600000</x:v>
      </x:c>
      <x:c r="F5" t="str"/>
      <x:c r="G5" t="str">
        <x:v>Có công thức &amp; bảng tổng hợp</x:v>
      </x:c>
      <x:c r="H5" t="str"/>
    </x:row>
    <x:row r="6">
      <x:c r="A6" t="str">
        <x:v>Tỷ lệ sử dụng kế hoạch</x:v>
      </x:c>
      <x:c r="B6" s="26" t="n">
        <x:f>IF(E4=0,0,B5/E4)</x:f>
        <x:v>0.9728628700243704</x:v>
      </x:c>
      <x:c r="C6" t="str"/>
      <x:c r="D6" t="str">
        <x:v>Số đề nghị thanh toán</x:v>
      </x:c>
      <x:c r="E6" t="n">
        <x:f>COUNTA(De_nghi_thanh_toan!A:A)-1</x:f>
        <x:v>250</x:v>
      </x:c>
      <x:c r="F6" t="str"/>
      <x:c r="G6" t="str"/>
      <x:c r="H6" t="str"/>
    </x:row>
    <x:row r="7">
      <x:c r="A7" t="str">
        <x:v>Số chương trình</x:v>
      </x:c>
      <x:c r="B7" t="n">
        <x:f>COUNTA(Tong_hop!A2:A16)</x:f>
        <x:v>15</x:v>
      </x:c>
      <x:c r="C7" t="str"/>
      <x:c r="D7" t="str">
        <x:v>Số khoản vượt kế hoạch</x:v>
      </x:c>
      <x:c r="E7" t="n">
        <x:f>COUNTIF(Ke_hoach_chi_tieu!H:H,"Vượt kế hoạch")</x:f>
        <x:v>42</x:v>
      </x:c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s="4" t="str">
        <x:v>Top chương trình theo dự toán</x:v>
      </x:c>
      <x:c r="B9" s="4" t="str"/>
      <x:c r="C9" s="4" t="str"/>
      <x:c r="D9" t="str"/>
      <x:c r="E9" s="4" t="str">
        <x:v>Xu hướng chi tiêu theo tháng</x:v>
      </x:c>
      <x:c r="F9" s="4" t="str"/>
      <x:c r="G9" s="4" t="str"/>
      <x:c r="H9" t="str"/>
    </x:row>
    <x:row r="10">
      <x:c r="A10" s="4" t="str">
        <x:v>Chương trình</x:v>
      </x:c>
      <x:c r="B10" s="4" t="str">
        <x:v>Dự toán</x:v>
      </x:c>
      <x:c r="C10" s="4" t="str">
        <x:v>Tỷ lệ sử dụng</x:v>
      </x:c>
      <x:c r="E10" s="4" t="str">
        <x:v>Tháng</x:v>
      </x:c>
      <x:c r="F10" s="4" t="str">
        <x:v>Kế hoạch</x:v>
      </x:c>
      <x:c r="G10" s="4" t="str">
        <x:v>Thực chi</x:v>
      </x:c>
    </x:row>
    <x:row r="11">
      <x:c r="A11" t="str">
        <x:f>Tong_hop!A2</x:f>
        <x:v>Corporate Partnership</x:v>
      </x:c>
      <x:c r="B11" t="n">
        <x:f>Tong_hop!B2</x:f>
        <x:v>43650000000</x:v>
      </x:c>
      <x:c r="C11" s="26" t="n">
        <x:f>Tong_hop!F2</x:f>
        <x:v>1.0032500473484849</x:v>
      </x:c>
      <x:c r="E11" s="30" t="n">
        <x:f>Tong_hop!A21</x:f>
        <x:v>46023</x:v>
      </x:c>
      <x:c r="F11" t="n">
        <x:f>Tong_hop!B21</x:f>
        <x:v>1575000000</x:v>
      </x:c>
      <x:c r="G11" t="n">
        <x:f>Tong_hop!C21</x:f>
        <x:v>1434457787</x:v>
      </x:c>
    </x:row>
    <x:row r="12">
      <x:c r="A12" t="str">
        <x:f>Tong_hop!A3</x:f>
        <x:v>Career Fair</x:v>
      </x:c>
      <x:c r="B12" t="n">
        <x:f>Tong_hop!B3</x:f>
        <x:v>15575000000</x:v>
      </x:c>
      <x:c r="C12" s="26" t="n">
        <x:f>Tong_hop!F3</x:f>
        <x:v>0.9493827235354574</x:v>
      </x:c>
      <x:c r="E12" s="30" t="n">
        <x:f>Tong_hop!A22</x:f>
        <x:v>46054</x:v>
      </x:c>
      <x:c r="F12" t="n">
        <x:f>Tong_hop!B22</x:f>
        <x:v>1487500000</x:v>
      </x:c>
      <x:c r="G12" t="n">
        <x:f>Tong_hop!C22</x:f>
        <x:v>1387981957</x:v>
      </x:c>
    </x:row>
    <x:row r="13">
      <x:c r="A13" t="str">
        <x:f>Tong_hop!A4</x:f>
        <x:v>Internship Program</x:v>
      </x:c>
      <x:c r="B13" t="n">
        <x:f>Tong_hop!B4</x:f>
        <x:v>10790000000</x:v>
      </x:c>
      <x:c r="C13" s="26" t="n">
        <x:f>Tong_hop!F4</x:f>
        <x:v>0.9745732470967742</x:v>
      </x:c>
      <x:c r="E13" s="30" t="n">
        <x:f>Tong_hop!A23</x:f>
        <x:v>46082</x:v>
      </x:c>
      <x:c r="F13" t="n">
        <x:f>Tong_hop!B23</x:f>
        <x:v>1520000000</x:v>
      </x:c>
      <x:c r="G13" t="n">
        <x:f>Tong_hop!C23</x:f>
        <x:v>1555586130</x:v>
      </x:c>
    </x:row>
    <x:row r="14">
      <x:c r="A14" t="str">
        <x:f>Tong_hop!A5</x:f>
        <x:v>Employer Branding</x:v>
      </x:c>
      <x:c r="B14" t="n">
        <x:f>Tong_hop!B5</x:f>
        <x:v>5022000000</x:v>
      </x:c>
      <x:c r="C14" s="26" t="n">
        <x:f>Tong_hop!F5</x:f>
        <x:v>1.0471909663492063</x:v>
      </x:c>
      <x:c r="E14" s="30" t="n">
        <x:f>Tong_hop!A24</x:f>
        <x:v>46113</x:v>
      </x:c>
      <x:c r="F14" t="n">
        <x:f>Tong_hop!B24</x:f>
        <x:v>1630000000</x:v>
      </x:c>
      <x:c r="G14" t="n">
        <x:f>Tong_hop!C24</x:f>
        <x:v>1579875834</x:v>
      </x:c>
    </x:row>
    <x:row r="15">
      <x:c r="A15" t="str">
        <x:f>Tong_hop!A6</x:f>
        <x:v>Alumni Engagement</x:v>
      </x:c>
      <x:c r="B15" t="n">
        <x:f>Tong_hop!B6</x:f>
        <x:v>37890000000</x:v>
      </x:c>
      <x:c r="C15" s="26" t="n">
        <x:f>Tong_hop!F6</x:f>
        <x:v>0.9780821991836735</x:v>
      </x:c>
      <x:c r="E15" s="30" t="n">
        <x:f>Tong_hop!A25</x:f>
        <x:v>46143</x:v>
      </x:c>
      <x:c r="F15" t="n">
        <x:f>Tong_hop!B25</x:f>
        <x:v>1535000000</x:v>
      </x:c>
      <x:c r="G15" t="n">
        <x:f>Tong_hop!C25</x:f>
        <x:v>1648511130</x:v>
      </x:c>
    </x:row>
    <x:row r="16">
      <x:c r="A16" t="str">
        <x:f>Tong_hop!A7</x:f>
        <x:v>Fundraising Campaign</x:v>
      </x:c>
      <x:c r="B16" t="n">
        <x:f>Tong_hop!B7</x:f>
        <x:v>8900000000</x:v>
      </x:c>
      <x:c r="C16" s="26" t="n">
        <x:f>Tong_hop!F7</x:f>
        <x:v>0.9493174485473289</x:v>
      </x:c>
      <x:c r="E16" s="30" t="n">
        <x:f>Tong_hop!A26</x:f>
        <x:v>46174</x:v>
      </x:c>
      <x:c r="F16" t="n">
        <x:f>Tong_hop!B26</x:f>
        <x:v>1275000000</x:v>
      </x:c>
      <x:c r="G16" t="n">
        <x:f>Tong_hop!C26</x:f>
        <x:v>1177040827</x:v>
      </x:c>
    </x:row>
    <x:row r="17">
      <x:c r="A17" t="str">
        <x:f>Tong_hop!A8</x:f>
        <x:v>Scholarship Donor Program</x:v>
      </x:c>
      <x:c r="B17" t="n">
        <x:f>Tong_hop!B8</x:f>
        <x:v>3650000000</x:v>
      </x:c>
      <x:c r="C17" s="26" t="n">
        <x:f>Tong_hop!F8</x:f>
        <x:v>0.9790390346666666</x:v>
      </x:c>
      <x:c r="E17" s="30" t="n">
        <x:f>Tong_hop!A27</x:f>
        <x:v>46204</x:v>
      </x:c>
      <x:c r="F17" t="n">
        <x:f>Tong_hop!B27</x:f>
        <x:v>1452500000</x:v>
      </x:c>
      <x:c r="G17" t="n">
        <x:f>Tong_hop!C27</x:f>
        <x:v>1435278176</x:v>
      </x:c>
    </x:row>
    <x:row r="18">
      <x:c r="A18" t="str">
        <x:f>Tong_hop!A9</x:f>
        <x:v>MoU Signing</x:v>
      </x:c>
      <x:c r="B18" t="n">
        <x:f>Tong_hop!B9</x:f>
        <x:v>9656000000</x:v>
      </x:c>
      <x:c r="C18" s="26" t="n">
        <x:f>Tong_hop!F9</x:f>
        <x:v>0.923665228125</x:v>
      </x:c>
      <x:c r="E18" s="30" t="n">
        <x:f>Tong_hop!A28</x:f>
        <x:v>46235</x:v>
      </x:c>
      <x:c r="F18" t="n">
        <x:f>Tong_hop!B28</x:f>
        <x:v>1520000000</x:v>
      </x:c>
      <x:c r="G18" t="n">
        <x:f>Tong_hop!C28</x:f>
        <x:v>1512011553</x:v>
      </x:c>
    </x:row>
    <x:row r="19">
      <x:c r="A19" t="str">
        <x:f>Tong_hop!A10</x:f>
        <x:v>Company Visit</x:v>
      </x:c>
      <x:c r="B19" t="n">
        <x:f>Tong_hop!B10</x:f>
        <x:v>40850000000</x:v>
      </x:c>
      <x:c r="C19" s="26" t="n">
        <x:f>Tong_hop!F10</x:f>
        <x:v>0.9506332507462687</x:v>
      </x:c>
      <x:c r="E19" s="30" t="n">
        <x:f>Tong_hop!A29</x:f>
        <x:v>46266</x:v>
      </x:c>
      <x:c r="F19" t="n">
        <x:f>Tong_hop!B29</x:f>
        <x:v>1545000000</x:v>
      </x:c>
      <x:c r="G19" t="n">
        <x:f>Tong_hop!C29</x:f>
        <x:v>1342589724</x:v>
      </x:c>
    </x:row>
    <x:row r="20">
      <x:c r="A20" t="str">
        <x:f>Tong_hop!A11</x:f>
        <x:v>Industry Advisory Board</x:v>
      </x:c>
      <x:c r="B20" t="n">
        <x:f>Tong_hop!B11</x:f>
        <x:v>59523000000</x:v>
      </x:c>
      <x:c r="C20" s="26" t="n">
        <x:f>Tong_hop!F11</x:f>
        <x:v>0.98553524375</x:v>
      </x:c>
      <x:c r="E20" s="30" t="n">
        <x:f>Tong_hop!A30</x:f>
        <x:v>46296</x:v>
      </x:c>
      <x:c r="F20" t="n">
        <x:f>Tong_hop!B30</x:f>
        <x:v>1225000000</x:v>
      </x:c>
      <x:c r="G20" t="n">
        <x:f>Tong_hop!C30</x:f>
        <x:v>1231380181</x:v>
      </x:c>
    </x:row>
    <x:row r="21">
      <x:c r="E21" s="30" t="n">
        <x:f>Tong_hop!A31</x:f>
        <x:v>46327</x:v>
      </x:c>
      <x:c r="F21" t="n">
        <x:f>Tong_hop!B31</x:f>
        <x:v>2000000000</x:v>
      </x:c>
      <x:c r="G21" t="n">
        <x:f>Tong_hop!C31</x:f>
        <x:v>1975029577</x:v>
      </x:c>
    </x:row>
    <x:row r="22">
      <x:c r="E22" s="30" t="n">
        <x:f>Tong_hop!A32</x:f>
        <x:v>46357</x:v>
      </x:c>
      <x:c r="F22" t="n">
        <x:f>Tong_hop!B32</x:f>
        <x:v>1700000000</x:v>
      </x:c>
      <x:c r="G22" t="n">
        <x:f>Tong_hop!C32</x:f>
        <x:v>1684170019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ba3acdaa0774921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0" t="str">
        <x:v>Chuong_trinh</x:v>
      </x:c>
      <x:c r="B1" s="10"/>
      <x:c r="C1" s="10" t="str">
        <x:v>Trang_thai</x:v>
      </x:c>
      <x:c r="D1" s="10"/>
      <x:c r="E1" s="10" t="str">
        <x:v>Muc_do_uu_tien</x:v>
      </x:c>
      <x:c r="F1" s="10"/>
      <x:c r="G1" s="10" t="str">
        <x:v>Nguoi_phu_trach</x:v>
      </x:c>
    </x:row>
    <x:row r="2">
      <x:c r="A2" t="str">
        <x:v>Corporate Partnership</x:v>
      </x:c>
      <x:c r="C2" t="str">
        <x:v>Nháp</x:v>
      </x:c>
      <x:c r="E2" t="str">
        <x:v>Cao</x:v>
      </x:c>
      <x:c r="G2" t="str">
        <x:v>CAID - Partnership</x:v>
      </x:c>
    </x:row>
    <x:row r="3">
      <x:c r="A3" t="str">
        <x:v>Career Fair</x:v>
      </x:c>
      <x:c r="C3" t="str">
        <x:v>Đã gửi duyệt</x:v>
      </x:c>
      <x:c r="E3" t="str">
        <x:v>Trung bình</x:v>
      </x:c>
      <x:c r="G3" t="str">
        <x:v>CAID - Career Services</x:v>
      </x:c>
    </x:row>
    <x:row r="4">
      <x:c r="A4" t="str">
        <x:v>Internship Program</x:v>
      </x:c>
      <x:c r="C4" t="str">
        <x:v>Đã duyệt</x:v>
      </x:c>
      <x:c r="E4" t="str">
        <x:v>Thấp</x:v>
      </x:c>
      <x:c r="G4" t="str">
        <x:v>CAID - Development</x:v>
      </x:c>
    </x:row>
    <x:row r="5">
      <x:c r="A5" t="str">
        <x:v>Employer Branding</x:v>
      </x:c>
      <x:c r="C5" t="str">
        <x:v>Đã thanh toán</x:v>
      </x:c>
      <x:c r="G5" t="str">
        <x:v>CAID - Alumni Relations</x:v>
      </x:c>
    </x:row>
    <x:row r="6">
      <x:c r="A6" t="str">
        <x:v>Alumni Engagement</x:v>
      </x:c>
      <x:c r="C6" t="str">
        <x:v>Từ chối</x:v>
      </x:c>
    </x:row>
    <x:row r="7">
      <x:c r="A7" t="str">
        <x:v>Fundraising Campaign</x:v>
      </x:c>
      <x:c r="C7" t="str">
        <x:v>Cần bổ sung hồ sơ</x:v>
      </x:c>
    </x:row>
    <x:row r="8">
      <x:c r="A8" t="str">
        <x:v>Scholarship Donor Program</x:v>
      </x:c>
    </x:row>
    <x:row r="9">
      <x:c r="A9" t="str">
        <x:v>MoU Signing</x:v>
      </x:c>
    </x:row>
    <x:row r="10">
      <x:c r="A10" t="str">
        <x:v>Company Visit</x:v>
      </x:c>
    </x:row>
    <x:row r="11">
      <x:c r="A11" t="str">
        <x:v>Industry Advisory Board</x:v>
      </x:c>
    </x:row>
    <x:row r="12">
      <x:c r="A12" t="str">
        <x:v>Mentorship Program</x:v>
      </x:c>
    </x:row>
    <x:row r="13">
      <x:c r="A13" t="str">
        <x:v>Corporate Training</x:v>
      </x:c>
    </x:row>
    <x:row r="14">
      <x:c r="A14" t="str">
        <x:v>Development Event</x:v>
      </x:c>
    </x:row>
    <x:row r="15">
      <x:c r="A15" t="str">
        <x:v>Donor Stewardship</x:v>
      </x:c>
    </x:row>
    <x:row r="16">
      <x:c r="A16" t="str">
        <x:v>Innovation Challenge</x:v>
      </x:c>
    </x:row>
  </x:sheetData>
  <x:pageMargins left="0.7" right="0.7" top="0.75" bottom="0.75" header="0.3" footer="0.3"/>
</x:worksheet>
</file>