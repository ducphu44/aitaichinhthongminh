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c1de51be1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u_toan_ngan_sach" sheetId="1" r:id="Rb343f50aafa44793"/>
    <x:sheet xmlns:r="http://schemas.openxmlformats.org/officeDocument/2006/relationships" name="02_Ke_hoach_chi_tieu" sheetId="2" r:id="Rad7bd5ab56ec4e75"/>
    <x:sheet xmlns:r="http://schemas.openxmlformats.org/officeDocument/2006/relationships" name="03_De_nghi_thanh_toan" sheetId="3" r:id="R48bafec5a17e4fb0"/>
    <x:sheet xmlns:r="http://schemas.openxmlformats.org/officeDocument/2006/relationships" name="Dashboard" sheetId="4" r:id="R35955b3d331a4515"/>
    <x:sheet xmlns:r="http://schemas.openxmlformats.org/officeDocument/2006/relationships" name="Danh_muc" sheetId="5" r:id="Rc84d193b9842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&quot;VND&quot;"/>
    <x:numFmt numFmtId="201" formatCode="mmm yyyy"/>
    <x:numFmt numFmtId="202" formatCode="0.0%"/>
    <x:numFmt numFmtId="203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7F1D1D"/>
      </x:font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8279bfd2e49a4" /><Relationship Type="http://schemas.openxmlformats.org/officeDocument/2006/relationships/theme" Target="/xl/theme/theme1.xml" Id="R59897de9201f4650" /><Relationship Type="http://schemas.openxmlformats.org/officeDocument/2006/relationships/sharedStrings" Target="/xl/sharedStrings.xml" Id="R89fd04efb3cb45f4" /><Relationship Type="http://schemas.openxmlformats.org/officeDocument/2006/relationships/worksheet" Target="/xl/worksheets/sheet1.xml" Id="Rb343f50aafa44793" /><Relationship Type="http://schemas.openxmlformats.org/officeDocument/2006/relationships/worksheet" Target="/xl/worksheets/sheet2.xml" Id="Rad7bd5ab56ec4e75" /><Relationship Type="http://schemas.openxmlformats.org/officeDocument/2006/relationships/worksheet" Target="/xl/worksheets/sheet3.xml" Id="R48bafec5a17e4fb0" /><Relationship Type="http://schemas.openxmlformats.org/officeDocument/2006/relationships/worksheet" Target="/xl/worksheets/sheet4.xml" Id="R35955b3d331a4515" /><Relationship Type="http://schemas.openxmlformats.org/officeDocument/2006/relationships/worksheet" Target="/xl/worksheets/sheet5.xml" Id="Rc84d193b984247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622d5cef71439c" /><Relationship Type="http://schemas.openxmlformats.org/officeDocument/2006/relationships/chart" Target="/xl/drawings/charts/chart2.xml" Id="Re17ba6e2187c4d0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Dự toán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'Dashboard'!$B$12:$B$21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Thanh toán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'Dashboard'!$C$12:$C$21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Kế hoạch và đã thanh toán theo tháng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Kế hoạch</c:v>
          </c:tx>
          <c:cat>
            <c:strRef>
              <c:f>'Dashboard'!$E$25:$E$36</c:f>
              <c:strCache>
                <c:ptCount val="0"/>
              </c:strCache>
            </c:strRef>
          </c:cat>
          <c:val>
            <c:numRef>
              <c:f>'Dashboard'!$F$25:$F$36</c:f>
              <c:numCache>
                <c:formatCode>#,##0 "VND"</c:formatCode>
                <c:ptCount val="0"/>
              </c:numCache>
            </c:numRef>
          </c:val>
          <c:smooth val="0"/>
        </c:ser>
        <c:ser>
          <c:idx val="1"/>
          <c:order val="1"/>
          <c:tx>
            <c:v>Đã thanh toán</c:v>
          </c:tx>
          <c:cat>
            <c:strRef>
              <c:f>'Dashboard'!$E$25:$E$36</c:f>
              <c:strCache>
                <c:ptCount val="0"/>
              </c:strCache>
            </c:strRef>
          </c:cat>
          <c:val>
            <c:numRef>
              <c:f>'Dashboard'!$G$25:$G$36</c:f>
              <c:numCache>
                <c:formatCode>#,##0 "VND"</c:formatCode>
                <c:ptCount val="0"/>
              </c:numCache>
            </c:numRef>
          </c:val>
          <c:smooth val="0"/>
        </c:ser>
        <c:ser>
          <c:idx val="2"/>
          <c:order val="2"/>
          <c:tx>
            <c:v>Tỷ lệ</c:v>
          </c:tx>
          <c:cat>
            <c:strRef>
              <c:f>'Dashboard'!$E$25:$E$36</c:f>
              <c:strCache>
                <c:ptCount val="0"/>
              </c:strCache>
            </c:strRef>
          </c:cat>
          <c:val>
            <c:numRef>
              <c:f>'Dashboard'!$H$25:$H$36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622d5cef71439c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7ba6e2187c4d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Table" displayName="BudgetTable" ref="A1:P151" headerRowCount="1">
  <x:tableColumns count="16">
    <x:tableColumn id="1" name="Mã dự toán"/>
    <x:tableColumn id="2" name="Đơn vị"/>
    <x:tableColumn id="3" name="Năm"/>
    <x:tableColumn id="4" name="Quý"/>
    <x:tableColumn id="5" name="Tháng dự kiến"/>
    <x:tableColumn id="6" name="Chương trình"/>
    <x:tableColumn id="7" name="Loại hoạt động"/>
    <x:tableColumn id="8" name="Hạng mục"/>
    <x:tableColumn id="9" name="Mô tả"/>
    <x:tableColumn id="10" name="Trường/đơn vị hưởng lợi"/>
    <x:tableColumn id="11" name="Số lượng"/>
    <x:tableColumn id="12" name="Đơn giá"/>
    <x:tableColumn id="13" name="Thành tiền"/>
    <x:tableColumn id="14" name="Ưu tiên"/>
    <x:tableColumn id="15" name="Trạng thái phê duyệt"/>
    <x:tableColumn id="16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MonthlyPlanTable" displayName="MonthlyPlanTable" ref="A1:J121" headerRowCount="1">
  <x:tableColumns count="10">
    <x:tableColumn id="1" name="Tháng"/>
    <x:tableColumn id="2" name="Quý"/>
    <x:tableColumn id="3" name="Chương trình"/>
    <x:tableColumn id="4" name="Ngân sách kế hoạch"/>
    <x:tableColumn id="5" name="Đã cam kết"/>
    <x:tableColumn id="6" name="Đã thanh toán"/>
    <x:tableColumn id="7" name="Còn lại"/>
    <x:tableColumn id="8" name="Tỷ lệ sử dụng"/>
    <x:tableColumn id="9" name="Cảnh báo"/>
    <x:tableColumn id="10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PaymentRequestTable" displayName="PaymentRequestTable" ref="A1:N251" headerRowCount="1">
  <x:tableColumns count="14">
    <x:tableColumn id="1" name="Mã đề nghị"/>
    <x:tableColumn id="2" name="Ngày đề nghị"/>
    <x:tableColumn id="3" name="Mã dự toán liên quan"/>
    <x:tableColumn id="4" name="Chương trình"/>
    <x:tableColumn id="5" name="Nhà cung cấp"/>
    <x:tableColumn id="6" name="Nội dung thanh toán"/>
    <x:tableColumn id="7" name="Giá trị trước VAT"/>
    <x:tableColumn id="8" name="VAT 10%"/>
    <x:tableColumn id="9" name="Tổng thanh toán"/>
    <x:tableColumn id="10" name="Hạn thanh toán"/>
    <x:tableColumn id="11" name="Trạng thái"/>
    <x:tableColumn id="12" name="Người đề nghị"/>
    <x:tableColumn id="13" name="Chứng từ"/>
    <x:tableColumn id="14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47f5f1899c44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e0b36d397843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9c8148133544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ef4ad2d07b74505" /></Relationships>
</file>

<file path=xl/worksheets/sheet1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20.049999237060547" hidden="0" customWidth="1"/>
    <x:col min="3" max="3" width="3.9000000953674316" hidden="0" customWidth="1"/>
    <x:col min="4" max="4" width="3.2300000190734863" hidden="0" customWidth="1"/>
    <x:col min="5" max="5" width="11.710000038146973" hidden="0" customWidth="1"/>
    <x:col min="6" max="6" width="18.709999084472656" hidden="0" customWidth="1"/>
    <x:col min="7" max="7" width="15.880000114440918" hidden="0" customWidth="1"/>
    <x:col min="8" max="8" width="31.760000228881836" hidden="0" customWidth="1"/>
    <x:col min="9" max="9" width="36.06999969482422" hidden="0" customWidth="1"/>
    <x:col min="10" max="10" width="36.20000076293945" hidden="0" customWidth="1"/>
    <x:col min="11" max="11" width="7.400000095367432" hidden="0" customWidth="1"/>
    <x:col min="12" max="12" width="8.880000114440918" hidden="0" customWidth="1"/>
    <x:col min="13" max="13" width="8.880000114440918" hidden="0" customWidth="1"/>
    <x:col min="14" max="14" width="8.479999542236328" hidden="0" customWidth="1"/>
    <x:col min="15" max="15" width="16.81999969482422" hidden="0" customWidth="1"/>
    <x:col min="16" max="16" width="6.059999942779541" hidden="0" customWidth="1"/>
  </x:cols>
  <x:sheetData>
    <x:row r="1">
      <x:c r="A1" s="6" t="str">
        <x:v>Mã dự toán</x:v>
      </x:c>
      <x:c r="B1" s="6" t="str">
        <x:v>Đơn vị</x:v>
      </x:c>
      <x:c r="C1" s="6" t="str">
        <x:v>Năm</x:v>
      </x:c>
      <x:c r="D1" s="6" t="str">
        <x:v>Quý</x:v>
      </x:c>
      <x:c r="E1" s="6" t="str">
        <x:v>Tháng dự kiến</x:v>
      </x:c>
      <x:c r="F1" s="6" t="str">
        <x:v>Chương trình</x:v>
      </x:c>
      <x:c r="G1" s="6" t="str">
        <x:v>Loại hoạt động</x:v>
      </x:c>
      <x:c r="H1" s="6" t="str">
        <x:v>Hạng mục</x:v>
      </x:c>
      <x:c r="I1" s="6" t="str">
        <x:v>Mô tả</x:v>
      </x:c>
      <x:c r="J1" s="6" t="str">
        <x:v>Trường/đơn vị hưởng lợi</x:v>
      </x:c>
      <x:c r="K1" s="6" t="str">
        <x:v>Số lượng</x:v>
      </x:c>
      <x:c r="L1" s="6" t="str">
        <x:v>Đơn giá</x:v>
      </x:c>
      <x:c r="M1" s="6" t="str">
        <x:v>Thành tiền</x:v>
      </x:c>
      <x:c r="N1" s="6" t="str">
        <x:v>Ưu tiên</x:v>
      </x:c>
      <x:c r="O1" s="6" t="str">
        <x:v>Trạng thái phê duyệt</x:v>
      </x:c>
      <x:c r="P1" s="6" t="str">
        <x:v>Ghi chú</x:v>
      </x:c>
    </x:row>
    <x:row r="2">
      <x:c r="A2" s="12" t="str">
        <x:v>DT-CTSV-2026-001</x:v>
      </x:c>
      <x:c r="B2" s="12" t="str">
        <x:v>Phòng Công tác Sinh viên</x:v>
      </x:c>
      <x:c r="C2" s="12" t="n">
        <x:v>2026</x:v>
      </x:c>
      <x:c r="D2" s="12" t="str">
        <x:v>Q4</x:v>
      </x:c>
      <x:c r="E2" s="12" t="n">
        <x:v>12</x:v>
      </x:c>
      <x:c r="F2" s="12" t="str">
        <x:v>Student Clubs</x:v>
      </x:c>
      <x:c r="G2" s="12" t="str">
        <x:v>Hoạt động sinh viên</x:v>
      </x:c>
      <x:c r="H2" s="12" t="str">
        <x:v>Hỗ trợ hoạt động CLB</x:v>
      </x:c>
      <x:c r="I2" s="12" t="str">
        <x:v>Hỗ trợ câu lạc bộ sinh viên</x:v>
      </x:c>
      <x:c r="J2" s="12" t="str">
        <x:v>College of Business and Management</x:v>
      </x:c>
      <x:c r="K2" s="12" t="n">
        <x:v>1</x:v>
      </x:c>
      <x:c r="L2" s="16" t="n">
        <x:v>23698000</x:v>
      </x:c>
      <x:c r="M2" s="16" t="n">
        <x:f>K2*L2</x:f>
        <x:v>23698000</x:v>
      </x:c>
      <x:c r="N2" s="12" t="str">
        <x:v>Cao</x:v>
      </x:c>
      <x:c r="O2" s="12" t="str">
        <x:v>Điều chỉnh</x:v>
      </x:c>
      <x:c r="P2" s="12" t="str"/>
    </x:row>
    <x:row r="3">
      <x:c r="A3" s="12" t="str">
        <x:v>DT-CTSV-2026-002</x:v>
      </x:c>
      <x:c r="B3" s="12" t="str">
        <x:v>Phòng Công tác Sinh viên</x:v>
      </x:c>
      <x:c r="C3" s="12" t="n">
        <x:v>2026</x:v>
      </x:c>
      <x:c r="D3" s="12" t="str">
        <x:v>Q4</x:v>
      </x:c>
      <x:c r="E3" s="12" t="n">
        <x:v>10</x:v>
      </x:c>
      <x:c r="F3" s="12" t="str">
        <x:v>Student Clubs</x:v>
      </x:c>
      <x:c r="G3" s="12" t="str">
        <x:v>Hoạt động sinh viên</x:v>
      </x:c>
      <x:c r="H3" s="12" t="str">
        <x:v>Hỗ trợ hoạt động CLB</x:v>
      </x:c>
      <x:c r="I3" s="12" t="str">
        <x:v>Hỗ trợ câu lạc bộ sinh viên</x:v>
      </x:c>
      <x:c r="J3" s="12" t="str">
        <x:v>College of Health Sciences</x:v>
      </x:c>
      <x:c r="K3" s="12" t="n">
        <x:v>2</x:v>
      </x:c>
      <x:c r="L3" s="16" t="n">
        <x:v>21567000</x:v>
      </x:c>
      <x:c r="M3" s="16" t="n">
        <x:f>K3*L3</x:f>
        <x:v>43134000</x:v>
      </x:c>
      <x:c r="N3" s="12" t="str">
        <x:v>Cao</x:v>
      </x:c>
      <x:c r="O3" s="12" t="str">
        <x:v>Đã duyệt</x:v>
      </x:c>
      <x:c r="P3" s="12" t="str"/>
    </x:row>
    <x:row r="4">
      <x:c r="A4" s="12" t="str">
        <x:v>DT-CTSV-2026-003</x:v>
      </x:c>
      <x:c r="B4" s="12" t="str">
        <x:v>Phòng Công tác Sinh viên</x:v>
      </x:c>
      <x:c r="C4" s="12" t="n">
        <x:v>2026</x:v>
      </x:c>
      <x:c r="D4" s="12" t="str">
        <x:v>Q3</x:v>
      </x:c>
      <x:c r="E4" s="12" t="n">
        <x:v>9</x:v>
      </x:c>
      <x:c r="F4" s="12" t="str">
        <x:v>Career Fair</x:v>
      </x:c>
      <x:c r="G4" s="12" t="str">
        <x:v>Nghề nghiệp</x:v>
      </x:c>
      <x:c r="H4" s="12" t="str">
        <x:v>Gian hàng doanh nghiệp</x:v>
      </x:c>
      <x:c r="I4" s="12" t="str">
        <x:v>Ngày hội việc làm và kết nối doanh nghiệp</x:v>
      </x:c>
      <x:c r="J4" s="12" t="str">
        <x:v>Toàn trường</x:v>
      </x:c>
      <x:c r="K4" s="12" t="n">
        <x:v>1</x:v>
      </x:c>
      <x:c r="L4" s="16" t="n">
        <x:v>204553000</x:v>
      </x:c>
      <x:c r="M4" s="16" t="n">
        <x:f>K4*L4</x:f>
        <x:v>204553000</x:v>
      </x:c>
      <x:c r="N4" s="12" t="str">
        <x:v>Cao</x:v>
      </x:c>
      <x:c r="O4" s="12" t="str">
        <x:v>Chờ duyệt</x:v>
      </x:c>
      <x:c r="P4" s="12" t="str"/>
    </x:row>
    <x:row r="5">
      <x:c r="A5" s="12" t="str">
        <x:v>DT-CTSV-2026-004</x:v>
      </x:c>
      <x:c r="B5" s="12" t="str">
        <x:v>Phòng Công tác Sinh viên</x:v>
      </x:c>
      <x:c r="C5" s="12" t="n">
        <x:v>2026</x:v>
      </x:c>
      <x:c r="D5" s="12" t="str">
        <x:v>Q4</x:v>
      </x:c>
      <x:c r="E5" s="12" t="n">
        <x:v>10</x:v>
      </x:c>
      <x:c r="F5" s="12" t="str">
        <x:v>Career Fair</x:v>
      </x:c>
      <x:c r="G5" s="12" t="str">
        <x:v>Nghề nghiệp</x:v>
      </x:c>
      <x:c r="H5" s="12" t="str">
        <x:v>In ấn tài liệu career fair</x:v>
      </x:c>
      <x:c r="I5" s="12" t="str">
        <x:v>Ngày hội việc làm và kết nối doanh nghiệp</x:v>
      </x:c>
      <x:c r="J5" s="12" t="str">
        <x:v>College of Business and Management</x:v>
      </x:c>
      <x:c r="K5" s="12" t="n">
        <x:v>268</x:v>
      </x:c>
      <x:c r="L5" s="16" t="n">
        <x:v>59000</x:v>
      </x:c>
      <x:c r="M5" s="16" t="n">
        <x:f>K5*L5</x:f>
        <x:v>15812000</x:v>
      </x:c>
      <x:c r="N5" s="12" t="str">
        <x:v>Cao</x:v>
      </x:c>
      <x:c r="O5" s="12" t="str">
        <x:v>Điều chỉnh</x:v>
      </x:c>
      <x:c r="P5" s="12" t="str"/>
    </x:row>
    <x:row r="6">
      <x:c r="A6" s="12" t="str">
        <x:v>DT-CTSV-2026-005</x:v>
      </x:c>
      <x:c r="B6" s="12" t="str">
        <x:v>Phòng Công tác Sinh viên</x:v>
      </x:c>
      <x:c r="C6" s="12" t="n">
        <x:v>2026</x:v>
      </x:c>
      <x:c r="D6" s="12" t="str">
        <x:v>Q2</x:v>
      </x:c>
      <x:c r="E6" s="12" t="n">
        <x:v>5</x:v>
      </x:c>
      <x:c r="F6" s="12" t="str">
        <x:v>Community Service</x:v>
      </x:c>
      <x:c r="G6" s="12" t="str">
        <x:v>Cộng đồng</x:v>
      </x:c>
      <x:c r="H6" s="12" t="str">
        <x:v>Áo tình nguyện</x:v>
      </x:c>
      <x:c r="I6" s="12" t="str">
        <x:v>Hoạt động tình nguyện và phục vụ cộng đồng</x:v>
      </x:c>
      <x:c r="J6" s="12" t="str">
        <x:v>College of Engineering and Computer Science</x:v>
      </x:c>
      <x:c r="K6" s="12" t="n">
        <x:v>161</x:v>
      </x:c>
      <x:c r="L6" s="16" t="n">
        <x:v>147000</x:v>
      </x:c>
      <x:c r="M6" s="16" t="n">
        <x:f>K6*L6</x:f>
        <x:v>23667000</x:v>
      </x:c>
      <x:c r="N6" s="12" t="str">
        <x:v>Trung bình</x:v>
      </x:c>
      <x:c r="O6" s="12" t="str">
        <x:v>Đã duyệt</x:v>
      </x:c>
      <x:c r="P6" s="12" t="str"/>
    </x:row>
    <x:row r="7">
      <x:c r="A7" s="12" t="str">
        <x:v>DT-CTSV-2026-006</x:v>
      </x:c>
      <x:c r="B7" s="12" t="str">
        <x:v>Phòng Công tác Sinh viên</x:v>
      </x:c>
      <x:c r="C7" s="12" t="n">
        <x:v>2026</x:v>
      </x:c>
      <x:c r="D7" s="12" t="str">
        <x:v>Q1</x:v>
      </x:c>
      <x:c r="E7" s="12" t="n">
        <x:v>2</x:v>
      </x:c>
      <x:c r="F7" s="12" t="str">
        <x:v>Student Clubs</x:v>
      </x:c>
      <x:c r="G7" s="12" t="str">
        <x:v>Hoạt động sinh viên</x:v>
      </x:c>
      <x:c r="H7" s="12" t="str">
        <x:v>Chi phí truyền thông nội bộ</x:v>
      </x:c>
      <x:c r="I7" s="12" t="str">
        <x:v>Hỗ trợ câu lạc bộ sinh viên</x:v>
      </x:c>
      <x:c r="J7" s="12" t="str">
        <x:v>Toàn trường</x:v>
      </x:c>
      <x:c r="K7" s="12" t="n">
        <x:v>1</x:v>
      </x:c>
      <x:c r="L7" s="16" t="n">
        <x:v>11889000</x:v>
      </x:c>
      <x:c r="M7" s="16" t="n">
        <x:f>K7*L7</x:f>
        <x:v>11889000</x:v>
      </x:c>
      <x:c r="N7" s="12" t="str">
        <x:v>Cao</x:v>
      </x:c>
      <x:c r="O7" s="12" t="str">
        <x:v>Chờ duyệt</x:v>
      </x:c>
      <x:c r="P7" s="12" t="str"/>
    </x:row>
    <x:row r="8">
      <x:c r="A8" s="12" t="str">
        <x:v>DT-CTSV-2026-007</x:v>
      </x:c>
      <x:c r="B8" s="12" t="str">
        <x:v>Phòng Công tác Sinh viên</x:v>
      </x:c>
      <x:c r="C8" s="12" t="n">
        <x:v>2026</x:v>
      </x:c>
      <x:c r="D8" s="12" t="str">
        <x:v>Q3</x:v>
      </x:c>
      <x:c r="E8" s="12" t="n">
        <x:v>9</x:v>
      </x:c>
      <x:c r="F8" s="12" t="str">
        <x:v>Orientation Week</x:v>
      </x:c>
      <x:c r="G8" s="12" t="str">
        <x:v>Sự kiện</x:v>
      </x:c>
      <x:c r="H8" s="12" t="str">
        <x:v>Thiết kế backdrop</x:v>
      </x:c>
      <x:c r="I8" s="12" t="str">
        <x:v>Tuần lễ định hướng tân sinh viên</x:v>
      </x:c>
      <x:c r="J8" s="12" t="str">
        <x:v>College of Arts and Sciences</x:v>
      </x:c>
      <x:c r="K8" s="12" t="n">
        <x:v>1</x:v>
      </x:c>
      <x:c r="L8" s="16" t="n">
        <x:v>14870000</x:v>
      </x:c>
      <x:c r="M8" s="16" t="n">
        <x:f>K8*L8</x:f>
        <x:v>14870000</x:v>
      </x:c>
      <x:c r="N8" s="12" t="str">
        <x:v>Cao</x:v>
      </x:c>
      <x:c r="O8" s="12" t="str">
        <x:v>Đã duyệt</x:v>
      </x:c>
      <x:c r="P8" s="12" t="str"/>
    </x:row>
    <x:row r="9">
      <x:c r="A9" s="12" t="str">
        <x:v>DT-CTSV-2026-008</x:v>
      </x:c>
      <x:c r="B9" s="12" t="str">
        <x:v>Phòng Công tác Sinh viên</x:v>
      </x:c>
      <x:c r="C9" s="12" t="n">
        <x:v>2026</x:v>
      </x:c>
      <x:c r="D9" s="12" t="str">
        <x:v>Q4</x:v>
      </x:c>
      <x:c r="E9" s="12" t="n">
        <x:v>11</x:v>
      </x:c>
      <x:c r="F9" s="12" t="str">
        <x:v>International Exchange</x:v>
      </x:c>
      <x:c r="G9" s="12" t="str">
        <x:v>Quốc tế</x:v>
      </x:c>
      <x:c r="H9" s="12" t="str">
        <x:v>Workshop văn hóa</x:v>
      </x:c>
      <x:c r="I9" s="12" t="str">
        <x:v>Trao đổi sinh viên và hoạt động quốc tế</x:v>
      </x:c>
      <x:c r="J9" s="12" t="str">
        <x:v>College of Engineering and Computer Science</x:v>
      </x:c>
      <x:c r="K9" s="12" t="n">
        <x:v>3</x:v>
      </x:c>
      <x:c r="L9" s="16" t="n">
        <x:v>36125000</x:v>
      </x:c>
      <x:c r="M9" s="16" t="n">
        <x:f>K9*L9</x:f>
        <x:v>108375000</x:v>
      </x:c>
      <x:c r="N9" s="12" t="str">
        <x:v>Trung bình</x:v>
      </x:c>
      <x:c r="O9" s="12" t="str">
        <x:v>Điều chỉnh</x:v>
      </x:c>
      <x:c r="P9" s="12" t="str"/>
    </x:row>
    <x:row r="10">
      <x:c r="A10" s="12" t="str">
        <x:v>DT-CTSV-2026-009</x:v>
      </x:c>
      <x:c r="B10" s="12" t="str">
        <x:v>Phòng Công tác Sinh viên</x:v>
      </x:c>
      <x:c r="C10" s="12" t="n">
        <x:v>2026</x:v>
      </x:c>
      <x:c r="D10" s="12" t="str">
        <x:v>Q1</x:v>
      </x:c>
      <x:c r="E10" s="12" t="n">
        <x:v>1</x:v>
      </x:c>
      <x:c r="F10" s="12" t="str">
        <x:v>Career Fair</x:v>
      </x:c>
      <x:c r="G10" s="12" t="str">
        <x:v>Nghề nghiệp</x:v>
      </x:c>
      <x:c r="H10" s="12" t="str">
        <x:v>Gian hàng doanh nghiệp</x:v>
      </x:c>
      <x:c r="I10" s="12" t="str">
        <x:v>Ngày hội việc làm và kết nối doanh nghiệp</x:v>
      </x:c>
      <x:c r="J10" s="12" t="str">
        <x:v>College of Health Sciences</x:v>
      </x:c>
      <x:c r="K10" s="12" t="n">
        <x:v>1</x:v>
      </x:c>
      <x:c r="L10" s="16" t="n">
        <x:v>208660000</x:v>
      </x:c>
      <x:c r="M10" s="16" t="n">
        <x:f>K10*L10</x:f>
        <x:v>208660000</x:v>
      </x:c>
      <x:c r="N10" s="12" t="str">
        <x:v>Cao</x:v>
      </x:c>
      <x:c r="O10" s="12" t="str">
        <x:v>Đã duyệt</x:v>
      </x:c>
      <x:c r="P10" s="12" t="str"/>
    </x:row>
    <x:row r="11">
      <x:c r="A11" s="12" t="str">
        <x:v>DT-CTSV-2026-010</x:v>
      </x:c>
      <x:c r="B11" s="12" t="str">
        <x:v>Phòng Công tác Sinh viên</x:v>
      </x:c>
      <x:c r="C11" s="12" t="n">
        <x:v>2026</x:v>
      </x:c>
      <x:c r="D11" s="12" t="str">
        <x:v>Q2</x:v>
      </x:c>
      <x:c r="E11" s="12" t="n">
        <x:v>5</x:v>
      </x:c>
      <x:c r="F11" s="12" t="str">
        <x:v>Student Clubs</x:v>
      </x:c>
      <x:c r="G11" s="12" t="str">
        <x:v>Hoạt động sinh viên</x:v>
      </x:c>
      <x:c r="H11" s="12" t="str">
        <x:v>Chi phí truyền thông nội bộ</x:v>
      </x:c>
      <x:c r="I11" s="12" t="str">
        <x:v>Hỗ trợ câu lạc bộ sinh viên</x:v>
      </x:c>
      <x:c r="J11" s="12" t="str">
        <x:v>College of Engineering and Computer Science</x:v>
      </x:c>
      <x:c r="K11" s="12" t="n">
        <x:v>2</x:v>
      </x:c>
      <x:c r="L11" s="16" t="n">
        <x:v>11042000</x:v>
      </x:c>
      <x:c r="M11" s="16" t="n">
        <x:f>K11*L11</x:f>
        <x:v>22084000</x:v>
      </x:c>
      <x:c r="N11" s="12" t="str">
        <x:v>Cao</x:v>
      </x:c>
      <x:c r="O11" s="12" t="str">
        <x:v>Đã duyệt</x:v>
      </x:c>
      <x:c r="P11" s="12" t="str"/>
    </x:row>
    <x:row r="12">
      <x:c r="A12" s="12" t="str">
        <x:v>DT-CTSV-2026-011</x:v>
      </x:c>
      <x:c r="B12" s="12" t="str">
        <x:v>Phòng Công tác Sinh viên</x:v>
      </x:c>
      <x:c r="C12" s="12" t="n">
        <x:v>2026</x:v>
      </x:c>
      <x:c r="D12" s="12" t="str">
        <x:v>Q2</x:v>
      </x:c>
      <x:c r="E12" s="12" t="n">
        <x:v>4</x:v>
      </x:c>
      <x:c r="F12" s="12" t="str">
        <x:v>Student Leadership</x:v>
      </x:c>
      <x:c r="G12" s="12" t="str">
        <x:v>Đào tạo</x:v>
      </x:c>
      <x:c r="H12" s="12" t="str">
        <x:v>Tài liệu tập huấn</x:v>
      </x:c>
      <x:c r="I12" s="12" t="str">
        <x:v>Đào tạo cán bộ lớp và thủ lĩnh sinh viên</x:v>
      </x:c>
      <x:c r="J12" s="12" t="str">
        <x:v>College of Health Sciences</x:v>
      </x:c>
      <x:c r="K12" s="12" t="n">
        <x:v>116</x:v>
      </x:c>
      <x:c r="L12" s="16" t="n">
        <x:v>90000</x:v>
      </x:c>
      <x:c r="M12" s="16" t="n">
        <x:f>K12*L12</x:f>
        <x:v>10440000</x:v>
      </x:c>
      <x:c r="N12" s="12" t="str">
        <x:v>Trung bình</x:v>
      </x:c>
      <x:c r="O12" s="12" t="str">
        <x:v>Điều chỉnh</x:v>
      </x:c>
      <x:c r="P12" s="12" t="str"/>
    </x:row>
    <x:row r="13">
      <x:c r="A13" s="12" t="str">
        <x:v>DT-CTSV-2026-012</x:v>
      </x:c>
      <x:c r="B13" s="12" t="str">
        <x:v>Phòng Công tác Sinh viên</x:v>
      </x:c>
      <x:c r="C13" s="12" t="n">
        <x:v>2026</x:v>
      </x:c>
      <x:c r="D13" s="12" t="str">
        <x:v>Q4</x:v>
      </x:c>
      <x:c r="E13" s="12" t="n">
        <x:v>12</x:v>
      </x:c>
      <x:c r="F13" s="12" t="str">
        <x:v>Scholarship Program</x:v>
      </x:c>
      <x:c r="G13" s="12" t="str">
        <x:v>Học bổng</x:v>
      </x:c>
      <x:c r="H13" s="12" t="str">
        <x:v>Học bổng lãnh đạo sinh viên</x:v>
      </x:c>
      <x:c r="I13" s="12" t="str">
        <x:v>Học bổng và hỗ trợ tài chính</x:v>
      </x:c>
      <x:c r="J13" s="12" t="str">
        <x:v>College of Arts and Sciences</x:v>
      </x:c>
      <x:c r="K13" s="12" t="n">
        <x:v>1</x:v>
      </x:c>
      <x:c r="L13" s="16" t="n">
        <x:v>22884000</x:v>
      </x:c>
      <x:c r="M13" s="16" t="n">
        <x:f>K13*L13</x:f>
        <x:v>22884000</x:v>
      </x:c>
      <x:c r="N13" s="12" t="str">
        <x:v>Cao</x:v>
      </x:c>
      <x:c r="O13" s="12" t="str">
        <x:v>Chờ duyệt</x:v>
      </x:c>
      <x:c r="P13" s="12" t="str"/>
    </x:row>
    <x:row r="14">
      <x:c r="A14" s="12" t="str">
        <x:v>DT-CTSV-2026-013</x:v>
      </x:c>
      <x:c r="B14" s="12" t="str">
        <x:v>Phòng Công tác Sinh viên</x:v>
      </x:c>
      <x:c r="C14" s="12" t="n">
        <x:v>2026</x:v>
      </x:c>
      <x:c r="D14" s="12" t="str">
        <x:v>Q4</x:v>
      </x:c>
      <x:c r="E14" s="12" t="n">
        <x:v>11</x:v>
      </x:c>
      <x:c r="F14" s="12" t="str">
        <x:v>International Exchange</x:v>
      </x:c>
      <x:c r="G14" s="12" t="str">
        <x:v>Quốc tế</x:v>
      </x:c>
      <x:c r="H14" s="12" t="str">
        <x:v>Đón tiếp sinh viên trao đổi</x:v>
      </x:c>
      <x:c r="I14" s="12" t="str">
        <x:v>Trao đổi sinh viên và hoạt động quốc tế</x:v>
      </x:c>
      <x:c r="J14" s="12" t="str">
        <x:v>College of Health Sciences</x:v>
      </x:c>
      <x:c r="K14" s="12" t="n">
        <x:v>1</x:v>
      </x:c>
      <x:c r="L14" s="16" t="n">
        <x:v>83099000</x:v>
      </x:c>
      <x:c r="M14" s="16" t="n">
        <x:f>K14*L14</x:f>
        <x:v>83099000</x:v>
      </x:c>
      <x:c r="N14" s="12" t="str">
        <x:v>Trung bình</x:v>
      </x:c>
      <x:c r="O14" s="12" t="str">
        <x:v>Đã duyệt</x:v>
      </x:c>
      <x:c r="P14" s="12" t="str"/>
    </x:row>
    <x:row r="15">
      <x:c r="A15" s="12" t="str">
        <x:v>DT-CTSV-2026-014</x:v>
      </x:c>
      <x:c r="B15" s="12" t="str">
        <x:v>Phòng Công tác Sinh viên</x:v>
      </x:c>
      <x:c r="C15" s="12" t="n">
        <x:v>2026</x:v>
      </x:c>
      <x:c r="D15" s="12" t="str">
        <x:v>Q3</x:v>
      </x:c>
      <x:c r="E15" s="12" t="n">
        <x:v>7</x:v>
      </x:c>
      <x:c r="F15" s="12" t="str">
        <x:v>Orientation Week</x:v>
      </x:c>
      <x:c r="G15" s="12" t="str">
        <x:v>Sự kiện</x:v>
      </x:c>
      <x:c r="H15" s="12" t="str">
        <x:v>Teabreak</x:v>
      </x:c>
      <x:c r="I15" s="12" t="str">
        <x:v>Tuần lễ định hướng tân sinh viên</x:v>
      </x:c>
      <x:c r="J15" s="12" t="str">
        <x:v>Toàn trường</x:v>
      </x:c>
      <x:c r="K15" s="12" t="n">
        <x:v>443</x:v>
      </x:c>
      <x:c r="L15" s="16" t="n">
        <x:v>112000</x:v>
      </x:c>
      <x:c r="M15" s="16" t="n">
        <x:f>K15*L15</x:f>
        <x:v>49616000</x:v>
      </x:c>
      <x:c r="N15" s="12" t="str">
        <x:v>Cao</x:v>
      </x:c>
      <x:c r="O15" s="12" t="str">
        <x:v>Điều chỉnh</x:v>
      </x:c>
      <x:c r="P15" s="12" t="str"/>
    </x:row>
    <x:row r="16">
      <x:c r="A16" s="12" t="str">
        <x:v>DT-CTSV-2026-015</x:v>
      </x:c>
      <x:c r="B16" s="12" t="str">
        <x:v>Phòng Công tác Sinh viên</x:v>
      </x:c>
      <x:c r="C16" s="12" t="n">
        <x:v>2026</x:v>
      </x:c>
      <x:c r="D16" s="12" t="str">
        <x:v>Q4</x:v>
      </x:c>
      <x:c r="E16" s="12" t="n">
        <x:v>11</x:v>
      </x:c>
      <x:c r="F16" s="12" t="str">
        <x:v>Student Leadership</x:v>
      </x:c>
      <x:c r="G16" s="12" t="str">
        <x:v>Đào tạo</x:v>
      </x:c>
      <x:c r="H16" s="12" t="str">
        <x:v>Workshop lãnh đạo</x:v>
      </x:c>
      <x:c r="I16" s="12" t="str">
        <x:v>Đào tạo cán bộ lớp và thủ lĩnh sinh viên</x:v>
      </x:c>
      <x:c r="J16" s="12" t="str">
        <x:v>College of Arts and Sciences</x:v>
      </x:c>
      <x:c r="K16" s="12" t="n">
        <x:v>2</x:v>
      </x:c>
      <x:c r="L16" s="16" t="n">
        <x:v>40330000</x:v>
      </x:c>
      <x:c r="M16" s="16" t="n">
        <x:f>K16*L16</x:f>
        <x:v>80660000</x:v>
      </x:c>
      <x:c r="N16" s="12" t="str">
        <x:v>Trung bình</x:v>
      </x:c>
      <x:c r="O16" s="12" t="str">
        <x:v>Đã duyệt</x:v>
      </x:c>
      <x:c r="P16" s="12" t="str"/>
    </x:row>
    <x:row r="17">
      <x:c r="A17" s="12" t="str">
        <x:v>DT-CTSV-2026-016</x:v>
      </x:c>
      <x:c r="B17" s="12" t="str">
        <x:v>Phòng Công tác Sinh viên</x:v>
      </x:c>
      <x:c r="C17" s="12" t="n">
        <x:v>2026</x:v>
      </x:c>
      <x:c r="D17" s="12" t="str">
        <x:v>Q2</x:v>
      </x:c>
      <x:c r="E17" s="12" t="n">
        <x:v>4</x:v>
      </x:c>
      <x:c r="F17" s="12" t="str">
        <x:v>Mental Health Program</x:v>
      </x:c>
      <x:c r="G17" s="12" t="str">
        <x:v>Tư vấn</x:v>
      </x:c>
      <x:c r="H17" s="12" t="str">
        <x:v>Chuyên gia tư vấn tâm lý</x:v>
      </x:c>
      <x:c r="I17" s="12" t="str">
        <x:v>Tư vấn tâm lý và sức khỏe tinh thần</x:v>
      </x:c>
      <x:c r="J17" s="12" t="str">
        <x:v>Toàn trường</x:v>
      </x:c>
      <x:c r="K17" s="12" t="n">
        <x:v>3</x:v>
      </x:c>
      <x:c r="L17" s="16" t="n">
        <x:v>15983000</x:v>
      </x:c>
      <x:c r="M17" s="16" t="n">
        <x:f>K17*L17</x:f>
        <x:v>47949000</x:v>
      </x:c>
      <x:c r="N17" s="12" t="str">
        <x:v>Cao</x:v>
      </x:c>
      <x:c r="O17" s="12" t="str">
        <x:v>Chờ duyệt</x:v>
      </x:c>
      <x:c r="P17" s="12" t="str"/>
    </x:row>
    <x:row r="18">
      <x:c r="A18" s="12" t="str">
        <x:v>DT-CTSV-2026-017</x:v>
      </x:c>
      <x:c r="B18" s="12" t="str">
        <x:v>Phòng Công tác Sinh viên</x:v>
      </x:c>
      <x:c r="C18" s="12" t="n">
        <x:v>2026</x:v>
      </x:c>
      <x:c r="D18" s="12" t="str">
        <x:v>Q2</x:v>
      </x:c>
      <x:c r="E18" s="12" t="n">
        <x:v>6</x:v>
      </x:c>
      <x:c r="F18" s="12" t="str">
        <x:v>Student Wellbeing</x:v>
      </x:c>
      <x:c r="G18" s="12" t="str">
        <x:v>Đời sống</x:v>
      </x:c>
      <x:c r="H18" s="12" t="str">
        <x:v>Hoạt động wellbeing</x:v>
      </x:c>
      <x:c r="I18" s="12" t="str">
        <x:v>Chăm sóc đời sống sinh viên</x:v>
      </x:c>
      <x:c r="J18" s="12" t="str">
        <x:v>College of Business and Management</x:v>
      </x:c>
      <x:c r="K18" s="12" t="n">
        <x:v>1</x:v>
      </x:c>
      <x:c r="L18" s="16" t="n">
        <x:v>56201000</x:v>
      </x:c>
      <x:c r="M18" s="16" t="n">
        <x:f>K18*L18</x:f>
        <x:v>56201000</x:v>
      </x:c>
      <x:c r="N18" s="12" t="str">
        <x:v>Cao</x:v>
      </x:c>
      <x:c r="O18" s="12" t="str">
        <x:v>Điều chỉnh</x:v>
      </x:c>
      <x:c r="P18" s="12" t="str"/>
    </x:row>
    <x:row r="19">
      <x:c r="A19" s="12" t="str">
        <x:v>DT-CTSV-2026-018</x:v>
      </x:c>
      <x:c r="B19" s="12" t="str">
        <x:v>Phòng Công tác Sinh viên</x:v>
      </x:c>
      <x:c r="C19" s="12" t="n">
        <x:v>2026</x:v>
      </x:c>
      <x:c r="D19" s="12" t="str">
        <x:v>Q1</x:v>
      </x:c>
      <x:c r="E19" s="12" t="n">
        <x:v>1</x:v>
      </x:c>
      <x:c r="F19" s="12" t="str">
        <x:v>Graduation Ceremony</x:v>
      </x:c>
      <x:c r="G19" s="12" t="str">
        <x:v>Sự kiện</x:v>
      </x:c>
      <x:c r="H19" s="12" t="str">
        <x:v>Thuê địa điểm/sân khấu</x:v>
      </x:c>
      <x:c r="I19" s="12" t="str">
        <x:v>Lễ tốt nghiệp và vinh danh sinh viên</x:v>
      </x:c>
      <x:c r="J19" s="12" t="str">
        <x:v>College of Business and Management</x:v>
      </x:c>
      <x:c r="K19" s="12" t="n">
        <x:v>1</x:v>
      </x:c>
      <x:c r="L19" s="16" t="n">
        <x:v>109336000</x:v>
      </x:c>
      <x:c r="M19" s="16" t="n">
        <x:f>K19*L19</x:f>
        <x:v>109336000</x:v>
      </x:c>
      <x:c r="N19" s="12" t="str">
        <x:v>Cao</x:v>
      </x:c>
      <x:c r="O19" s="12" t="str">
        <x:v>Điều chỉnh</x:v>
      </x:c>
      <x:c r="P19" s="12" t="str"/>
    </x:row>
    <x:row r="20">
      <x:c r="A20" s="12" t="str">
        <x:v>DT-CTSV-2026-019</x:v>
      </x:c>
      <x:c r="B20" s="12" t="str">
        <x:v>Phòng Công tác Sinh viên</x:v>
      </x:c>
      <x:c r="C20" s="12" t="n">
        <x:v>2026</x:v>
      </x:c>
      <x:c r="D20" s="12" t="str">
        <x:v>Q1</x:v>
      </x:c>
      <x:c r="E20" s="12" t="n">
        <x:v>2</x:v>
      </x:c>
      <x:c r="F20" s="12" t="str">
        <x:v>Community Service</x:v>
      </x:c>
      <x:c r="G20" s="12" t="str">
        <x:v>Cộng đồng</x:v>
      </x:c>
      <x:c r="H20" s="12" t="str">
        <x:v>Vật phẩm hỗ trợ cộng đồng</x:v>
      </x:c>
      <x:c r="I20" s="12" t="str">
        <x:v>Hoạt động tình nguyện và phục vụ cộng đồng</x:v>
      </x:c>
      <x:c r="J20" s="12" t="str">
        <x:v>College of Arts and Sciences</x:v>
      </x:c>
      <x:c r="K20" s="12" t="n">
        <x:v>2</x:v>
      </x:c>
      <x:c r="L20" s="16" t="n">
        <x:v>50132000</x:v>
      </x:c>
      <x:c r="M20" s="16" t="n">
        <x:f>K20*L20</x:f>
        <x:v>100264000</x:v>
      </x:c>
      <x:c r="N20" s="12" t="str">
        <x:v>Trung bình</x:v>
      </x:c>
      <x:c r="O20" s="12" t="str">
        <x:v>Điều chỉnh</x:v>
      </x:c>
      <x:c r="P20" s="12" t="str"/>
    </x:row>
    <x:row r="21">
      <x:c r="A21" s="12" t="str">
        <x:v>DT-CTSV-2026-020</x:v>
      </x:c>
      <x:c r="B21" s="12" t="str">
        <x:v>Phòng Công tác Sinh viên</x:v>
      </x:c>
      <x:c r="C21" s="12" t="n">
        <x:v>2026</x:v>
      </x:c>
      <x:c r="D21" s="12" t="str">
        <x:v>Q1</x:v>
      </x:c>
      <x:c r="E21" s="12" t="n">
        <x:v>1</x:v>
      </x:c>
      <x:c r="F21" s="12" t="str">
        <x:v>Mental Health Program</x:v>
      </x:c>
      <x:c r="G21" s="12" t="str">
        <x:v>Tư vấn</x:v>
      </x:c>
      <x:c r="H21" s="12" t="str">
        <x:v>Tài liệu truyền thông sức khỏe tinh thần</x:v>
      </x:c>
      <x:c r="I21" s="12" t="str">
        <x:v>Tư vấn tâm lý và sức khỏe tinh thần</x:v>
      </x:c>
      <x:c r="J21" s="12" t="str">
        <x:v>Toàn trường</x:v>
      </x:c>
      <x:c r="K21" s="12" t="n">
        <x:v>588</x:v>
      </x:c>
      <x:c r="L21" s="16" t="n">
        <x:v>35000</x:v>
      </x:c>
      <x:c r="M21" s="16" t="n">
        <x:f>K21*L21</x:f>
        <x:v>20580000</x:v>
      </x:c>
      <x:c r="N21" s="12" t="str">
        <x:v>Cao</x:v>
      </x:c>
      <x:c r="O21" s="12" t="str">
        <x:v>Chờ duyệt</x:v>
      </x:c>
      <x:c r="P21" s="12" t="str"/>
    </x:row>
    <x:row r="22">
      <x:c r="A22" s="12" t="str">
        <x:v>DT-CTSV-2026-021</x:v>
      </x:c>
      <x:c r="B22" s="12" t="str">
        <x:v>Phòng Công tác Sinh viên</x:v>
      </x:c>
      <x:c r="C22" s="12" t="n">
        <x:v>2026</x:v>
      </x:c>
      <x:c r="D22" s="12" t="str">
        <x:v>Q2</x:v>
      </x:c>
      <x:c r="E22" s="12" t="n">
        <x:v>5</x:v>
      </x:c>
      <x:c r="F22" s="12" t="str">
        <x:v>Student Leadership</x:v>
      </x:c>
      <x:c r="G22" s="12" t="str">
        <x:v>Đào tạo</x:v>
      </x:c>
      <x:c r="H22" s="12" t="str">
        <x:v>Workshop lãnh đạo</x:v>
      </x:c>
      <x:c r="I22" s="12" t="str">
        <x:v>Đào tạo cán bộ lớp và thủ lĩnh sinh viên</x:v>
      </x:c>
      <x:c r="J22" s="12" t="str">
        <x:v>College of Health Sciences</x:v>
      </x:c>
      <x:c r="K22" s="12" t="n">
        <x:v>2</x:v>
      </x:c>
      <x:c r="L22" s="16" t="n">
        <x:v>36530000</x:v>
      </x:c>
      <x:c r="M22" s="16" t="n">
        <x:f>K22*L22</x:f>
        <x:v>73060000</x:v>
      </x:c>
      <x:c r="N22" s="12" t="str">
        <x:v>Trung bình</x:v>
      </x:c>
      <x:c r="O22" s="12" t="str">
        <x:v>Điều chỉnh</x:v>
      </x:c>
      <x:c r="P22" s="12" t="str"/>
    </x:row>
    <x:row r="23">
      <x:c r="A23" s="12" t="str">
        <x:v>DT-CTSV-2026-022</x:v>
      </x:c>
      <x:c r="B23" s="12" t="str">
        <x:v>Phòng Công tác Sinh viên</x:v>
      </x:c>
      <x:c r="C23" s="12" t="n">
        <x:v>2026</x:v>
      </x:c>
      <x:c r="D23" s="12" t="str">
        <x:v>Q1</x:v>
      </x:c>
      <x:c r="E23" s="12" t="n">
        <x:v>3</x:v>
      </x:c>
      <x:c r="F23" s="12" t="str">
        <x:v>Mental Health Program</x:v>
      </x:c>
      <x:c r="G23" s="12" t="str">
        <x:v>Tư vấn</x:v>
      </x:c>
      <x:c r="H23" s="12" t="str">
        <x:v>Tài liệu truyền thông sức khỏe tinh thần</x:v>
      </x:c>
      <x:c r="I23" s="12" t="str">
        <x:v>Tư vấn tâm lý và sức khỏe tinh thần</x:v>
      </x:c>
      <x:c r="J23" s="12" t="str">
        <x:v>College of Engineering and Computer Science</x:v>
      </x:c>
      <x:c r="K23" s="12" t="n">
        <x:v>527</x:v>
      </x:c>
      <x:c r="L23" s="16" t="n">
        <x:v>35000</x:v>
      </x:c>
      <x:c r="M23" s="16" t="n">
        <x:f>K23*L23</x:f>
        <x:v>18445000</x:v>
      </x:c>
      <x:c r="N23" s="12" t="str">
        <x:v>Cao</x:v>
      </x:c>
      <x:c r="O23" s="12" t="str">
        <x:v>Điều chỉnh</x:v>
      </x:c>
      <x:c r="P23" s="12" t="str"/>
    </x:row>
    <x:row r="24">
      <x:c r="A24" s="12" t="str">
        <x:v>DT-CTSV-2026-023</x:v>
      </x:c>
      <x:c r="B24" s="12" t="str">
        <x:v>Phòng Công tác Sinh viên</x:v>
      </x:c>
      <x:c r="C24" s="12" t="n">
        <x:v>2026</x:v>
      </x:c>
      <x:c r="D24" s="12" t="str">
        <x:v>Q2</x:v>
      </x:c>
      <x:c r="E24" s="12" t="n">
        <x:v>4</x:v>
      </x:c>
      <x:c r="F24" s="12" t="str">
        <x:v>International Exchange</x:v>
      </x:c>
      <x:c r="G24" s="12" t="str">
        <x:v>Quốc tế</x:v>
      </x:c>
      <x:c r="H24" s="12" t="str">
        <x:v>Tài liệu và quà tặng</x:v>
      </x:c>
      <x:c r="I24" s="12" t="str">
        <x:v>Trao đổi sinh viên và hoạt động quốc tế</x:v>
      </x:c>
      <x:c r="J24" s="12" t="str">
        <x:v>Toàn trường</x:v>
      </x:c>
      <x:c r="K24" s="12" t="n">
        <x:v>80</x:v>
      </x:c>
      <x:c r="L24" s="16" t="n">
        <x:v>173000</x:v>
      </x:c>
      <x:c r="M24" s="16" t="n">
        <x:f>K24*L24</x:f>
        <x:v>13840000</x:v>
      </x:c>
      <x:c r="N24" s="12" t="str">
        <x:v>Trung bình</x:v>
      </x:c>
      <x:c r="O24" s="12" t="str">
        <x:v>Điều chỉnh</x:v>
      </x:c>
      <x:c r="P24" s="12" t="str"/>
    </x:row>
    <x:row r="25">
      <x:c r="A25" s="12" t="str">
        <x:v>DT-CTSV-2026-024</x:v>
      </x:c>
      <x:c r="B25" s="12" t="str">
        <x:v>Phòng Công tác Sinh viên</x:v>
      </x:c>
      <x:c r="C25" s="12" t="n">
        <x:v>2026</x:v>
      </x:c>
      <x:c r="D25" s="12" t="str">
        <x:v>Q2</x:v>
      </x:c>
      <x:c r="E25" s="12" t="n">
        <x:v>6</x:v>
      </x:c>
      <x:c r="F25" s="12" t="str">
        <x:v>Orientation Week</x:v>
      </x:c>
      <x:c r="G25" s="12" t="str">
        <x:v>Sự kiện</x:v>
      </x:c>
      <x:c r="H25" s="12" t="str">
        <x:v>Nhân sự hỗ trợ sự kiện</x:v>
      </x:c>
      <x:c r="I25" s="12" t="str">
        <x:v>Tuần lễ định hướng tân sinh viên</x:v>
      </x:c>
      <x:c r="J25" s="12" t="str">
        <x:v>College of Engineering and Computer Science</x:v>
      </x:c>
      <x:c r="K25" s="12" t="n">
        <x:v>20</x:v>
      </x:c>
      <x:c r="L25" s="16" t="n">
        <x:v>715000</x:v>
      </x:c>
      <x:c r="M25" s="16" t="n">
        <x:f>K25*L25</x:f>
        <x:v>14300000</x:v>
      </x:c>
      <x:c r="N25" s="12" t="str">
        <x:v>Cao</x:v>
      </x:c>
      <x:c r="O25" s="12" t="str">
        <x:v>Chờ duyệt</x:v>
      </x:c>
      <x:c r="P25" s="12" t="str"/>
    </x:row>
    <x:row r="26">
      <x:c r="A26" s="12" t="str">
        <x:v>DT-CTSV-2026-025</x:v>
      </x:c>
      <x:c r="B26" s="12" t="str">
        <x:v>Phòng Công tác Sinh viên</x:v>
      </x:c>
      <x:c r="C26" s="12" t="n">
        <x:v>2026</x:v>
      </x:c>
      <x:c r="D26" s="12" t="str">
        <x:v>Q2</x:v>
      </x:c>
      <x:c r="E26" s="12" t="n">
        <x:v>4</x:v>
      </x:c>
      <x:c r="F26" s="12" t="str">
        <x:v>Career Fair</x:v>
      </x:c>
      <x:c r="G26" s="12" t="str">
        <x:v>Nghề nghiệp</x:v>
      </x:c>
      <x:c r="H26" s="12" t="str">
        <x:v>Gian hàng doanh nghiệp</x:v>
      </x:c>
      <x:c r="I26" s="12" t="str">
        <x:v>Ngày hội việc làm và kết nối doanh nghiệp</x:v>
      </x:c>
      <x:c r="J26" s="12" t="str">
        <x:v>College of Health Sciences</x:v>
      </x:c>
      <x:c r="K26" s="12" t="n">
        <x:v>3</x:v>
      </x:c>
      <x:c r="L26" s="16" t="n">
        <x:v>221180000</x:v>
      </x:c>
      <x:c r="M26" s="16" t="n">
        <x:f>K26*L26</x:f>
        <x:v>663540000</x:v>
      </x:c>
      <x:c r="N26" s="12" t="str">
        <x:v>Cao</x:v>
      </x:c>
      <x:c r="O26" s="12" t="str">
        <x:v>Điều chỉnh</x:v>
      </x:c>
      <x:c r="P26" s="12" t="str"/>
    </x:row>
    <x:row r="27">
      <x:c r="A27" s="12" t="str">
        <x:v>DT-CTSV-2026-026</x:v>
      </x:c>
      <x:c r="B27" s="12" t="str">
        <x:v>Phòng Công tác Sinh viên</x:v>
      </x:c>
      <x:c r="C27" s="12" t="n">
        <x:v>2026</x:v>
      </x:c>
      <x:c r="D27" s="12" t="str">
        <x:v>Q3</x:v>
      </x:c>
      <x:c r="E27" s="12" t="n">
        <x:v>9</x:v>
      </x:c>
      <x:c r="F27" s="12" t="str">
        <x:v>Graduation Ceremony</x:v>
      </x:c>
      <x:c r="G27" s="12" t="str">
        <x:v>Sự kiện</x:v>
      </x:c>
      <x:c r="H27" s="12" t="str">
        <x:v>Thuê địa điểm/sân khấu</x:v>
      </x:c>
      <x:c r="I27" s="12" t="str">
        <x:v>Lễ tốt nghiệp và vinh danh sinh viên</x:v>
      </x:c>
      <x:c r="J27" s="12" t="str">
        <x:v>College of Arts and Sciences</x:v>
      </x:c>
      <x:c r="K27" s="12" t="n">
        <x:v>1</x:v>
      </x:c>
      <x:c r="L27" s="16" t="n">
        <x:v>108162000</x:v>
      </x:c>
      <x:c r="M27" s="16" t="n">
        <x:f>K27*L27</x:f>
        <x:v>108162000</x:v>
      </x:c>
      <x:c r="N27" s="12" t="str">
        <x:v>Cao</x:v>
      </x:c>
      <x:c r="O27" s="12" t="str">
        <x:v>Điều chỉnh</x:v>
      </x:c>
      <x:c r="P27" s="12" t="str"/>
    </x:row>
    <x:row r="28">
      <x:c r="A28" s="12" t="str">
        <x:v>DT-CTSV-2026-027</x:v>
      </x:c>
      <x:c r="B28" s="12" t="str">
        <x:v>Phòng Công tác Sinh viên</x:v>
      </x:c>
      <x:c r="C28" s="12" t="n">
        <x:v>2026</x:v>
      </x:c>
      <x:c r="D28" s="12" t="str">
        <x:v>Q3</x:v>
      </x:c>
      <x:c r="E28" s="12" t="n">
        <x:v>9</x:v>
      </x:c>
      <x:c r="F28" s="12" t="str">
        <x:v>Scholarship Program</x:v>
      </x:c>
      <x:c r="G28" s="12" t="str">
        <x:v>Học bổng</x:v>
      </x:c>
      <x:c r="H28" s="12" t="str">
        <x:v>Hỗ trợ khó khăn</x:v>
      </x:c>
      <x:c r="I28" s="12" t="str">
        <x:v>Học bổng và hỗ trợ tài chính</x:v>
      </x:c>
      <x:c r="J28" s="12" t="str">
        <x:v>College of Business and Management</x:v>
      </x:c>
      <x:c r="K28" s="12" t="n">
        <x:v>3</x:v>
      </x:c>
      <x:c r="L28" s="16" t="n">
        <x:v>15288000</x:v>
      </x:c>
      <x:c r="M28" s="16" t="n">
        <x:f>K28*L28</x:f>
        <x:v>45864000</x:v>
      </x:c>
      <x:c r="N28" s="12" t="str">
        <x:v>Cao</x:v>
      </x:c>
      <x:c r="O28" s="12" t="str">
        <x:v>Điều chỉnh</x:v>
      </x:c>
      <x:c r="P28" s="12" t="str"/>
    </x:row>
    <x:row r="29">
      <x:c r="A29" s="12" t="str">
        <x:v>DT-CTSV-2026-028</x:v>
      </x:c>
      <x:c r="B29" s="12" t="str">
        <x:v>Phòng Công tác Sinh viên</x:v>
      </x:c>
      <x:c r="C29" s="12" t="n">
        <x:v>2026</x:v>
      </x:c>
      <x:c r="D29" s="12" t="str">
        <x:v>Q3</x:v>
      </x:c>
      <x:c r="E29" s="12" t="n">
        <x:v>7</x:v>
      </x:c>
      <x:c r="F29" s="12" t="str">
        <x:v>Career Fair</x:v>
      </x:c>
      <x:c r="G29" s="12" t="str">
        <x:v>Nghề nghiệp</x:v>
      </x:c>
      <x:c r="H29" s="12" t="str">
        <x:v>Nền tảng tuyển dụng</x:v>
      </x:c>
      <x:c r="I29" s="12" t="str">
        <x:v>Ngày hội việc làm và kết nối doanh nghiệp</x:v>
      </x:c>
      <x:c r="J29" s="12" t="str">
        <x:v>Toàn trường</x:v>
      </x:c>
      <x:c r="K29" s="12" t="n">
        <x:v>1</x:v>
      </x:c>
      <x:c r="L29" s="16" t="n">
        <x:v>61514000</x:v>
      </x:c>
      <x:c r="M29" s="16" t="n">
        <x:f>K29*L29</x:f>
        <x:v>61514000</x:v>
      </x:c>
      <x:c r="N29" s="12" t="str">
        <x:v>Cao</x:v>
      </x:c>
      <x:c r="O29" s="12" t="str">
        <x:v>Chờ duyệt</x:v>
      </x:c>
      <x:c r="P29" s="12" t="str"/>
    </x:row>
    <x:row r="30">
      <x:c r="A30" s="12" t="str">
        <x:v>DT-CTSV-2026-029</x:v>
      </x:c>
      <x:c r="B30" s="12" t="str">
        <x:v>Phòng Công tác Sinh viên</x:v>
      </x:c>
      <x:c r="C30" s="12" t="n">
        <x:v>2026</x:v>
      </x:c>
      <x:c r="D30" s="12" t="str">
        <x:v>Q2</x:v>
      </x:c>
      <x:c r="E30" s="12" t="n">
        <x:v>4</x:v>
      </x:c>
      <x:c r="F30" s="12" t="str">
        <x:v>Student Clubs</x:v>
      </x:c>
      <x:c r="G30" s="12" t="str">
        <x:v>Hoạt động sinh viên</x:v>
      </x:c>
      <x:c r="H30" s="12" t="str">
        <x:v>Vật tư sự kiện CLB</x:v>
      </x:c>
      <x:c r="I30" s="12" t="str">
        <x:v>Hỗ trợ câu lạc bộ sinh viên</x:v>
      </x:c>
      <x:c r="J30" s="12" t="str">
        <x:v>Toàn trường</x:v>
      </x:c>
      <x:c r="K30" s="12" t="n">
        <x:v>1</x:v>
      </x:c>
      <x:c r="L30" s="16" t="n">
        <x:v>14778000</x:v>
      </x:c>
      <x:c r="M30" s="16" t="n">
        <x:f>K30*L30</x:f>
        <x:v>14778000</x:v>
      </x:c>
      <x:c r="N30" s="12" t="str">
        <x:v>Cao</x:v>
      </x:c>
      <x:c r="O30" s="12" t="str">
        <x:v>Điều chỉnh</x:v>
      </x:c>
      <x:c r="P30" s="12" t="str"/>
    </x:row>
    <x:row r="31">
      <x:c r="A31" s="12" t="str">
        <x:v>DT-CTSV-2026-030</x:v>
      </x:c>
      <x:c r="B31" s="12" t="str">
        <x:v>Phòng Công tác Sinh viên</x:v>
      </x:c>
      <x:c r="C31" s="12" t="n">
        <x:v>2026</x:v>
      </x:c>
      <x:c r="D31" s="12" t="str">
        <x:v>Q1</x:v>
      </x:c>
      <x:c r="E31" s="12" t="n">
        <x:v>1</x:v>
      </x:c>
      <x:c r="F31" s="12" t="str">
        <x:v>Career Fair</x:v>
      </x:c>
      <x:c r="G31" s="12" t="str">
        <x:v>Nghề nghiệp</x:v>
      </x:c>
      <x:c r="H31" s="12" t="str">
        <x:v>Workshop kỹ năng nghề nghiệp</x:v>
      </x:c>
      <x:c r="I31" s="12" t="str">
        <x:v>Ngày hội việc làm và kết nối doanh nghiệp</x:v>
      </x:c>
      <x:c r="J31" s="12" t="str">
        <x:v>College of Health Sciences</x:v>
      </x:c>
      <x:c r="K31" s="12" t="n">
        <x:v>1</x:v>
      </x:c>
      <x:c r="L31" s="16" t="n">
        <x:v>45325000</x:v>
      </x:c>
      <x:c r="M31" s="16" t="n">
        <x:f>K31*L31</x:f>
        <x:v>45325000</x:v>
      </x:c>
      <x:c r="N31" s="12" t="str">
        <x:v>Cao</x:v>
      </x:c>
      <x:c r="O31" s="12" t="str">
        <x:v>Đã duyệt</x:v>
      </x:c>
      <x:c r="P31" s="12" t="str"/>
    </x:row>
    <x:row r="32">
      <x:c r="A32" s="12" t="str">
        <x:v>DT-CTSV-2026-031</x:v>
      </x:c>
      <x:c r="B32" s="12" t="str">
        <x:v>Phòng Công tác Sinh viên</x:v>
      </x:c>
      <x:c r="C32" s="12" t="n">
        <x:v>2026</x:v>
      </x:c>
      <x:c r="D32" s="12" t="str">
        <x:v>Q2</x:v>
      </x:c>
      <x:c r="E32" s="12" t="n">
        <x:v>6</x:v>
      </x:c>
      <x:c r="F32" s="12" t="str">
        <x:v>Student Clubs</x:v>
      </x:c>
      <x:c r="G32" s="12" t="str">
        <x:v>Hoạt động sinh viên</x:v>
      </x:c>
      <x:c r="H32" s="12" t="str">
        <x:v>Hỗ trợ hoạt động CLB</x:v>
      </x:c>
      <x:c r="I32" s="12" t="str">
        <x:v>Hỗ trợ câu lạc bộ sinh viên</x:v>
      </x:c>
      <x:c r="J32" s="12" t="str">
        <x:v>College of Engineering and Computer Science</x:v>
      </x:c>
      <x:c r="K32" s="12" t="n">
        <x:v>1</x:v>
      </x:c>
      <x:c r="L32" s="16" t="n">
        <x:v>26391000</x:v>
      </x:c>
      <x:c r="M32" s="16" t="n">
        <x:f>K32*L32</x:f>
        <x:v>26391000</x:v>
      </x:c>
      <x:c r="N32" s="12" t="str">
        <x:v>Cao</x:v>
      </x:c>
      <x:c r="O32" s="12" t="str">
        <x:v>Điều chỉnh</x:v>
      </x:c>
      <x:c r="P32" s="12" t="str"/>
    </x:row>
    <x:row r="33">
      <x:c r="A33" s="12" t="str">
        <x:v>DT-CTSV-2026-032</x:v>
      </x:c>
      <x:c r="B33" s="12" t="str">
        <x:v>Phòng Công tác Sinh viên</x:v>
      </x:c>
      <x:c r="C33" s="12" t="n">
        <x:v>2026</x:v>
      </x:c>
      <x:c r="D33" s="12" t="str">
        <x:v>Q3</x:v>
      </x:c>
      <x:c r="E33" s="12" t="n">
        <x:v>9</x:v>
      </x:c>
      <x:c r="F33" s="12" t="str">
        <x:v>Graduation Ceremony</x:v>
      </x:c>
      <x:c r="G33" s="12" t="str">
        <x:v>Sự kiện</x:v>
      </x:c>
      <x:c r="H33" s="12" t="str">
        <x:v>Âm thanh ánh sáng</x:v>
      </x:c>
      <x:c r="I33" s="12" t="str">
        <x:v>Lễ tốt nghiệp và vinh danh sinh viên</x:v>
      </x:c>
      <x:c r="J33" s="12" t="str">
        <x:v>Toàn trường</x:v>
      </x:c>
      <x:c r="K33" s="12" t="n">
        <x:v>1</x:v>
      </x:c>
      <x:c r="L33" s="16" t="n">
        <x:v>91147000</x:v>
      </x:c>
      <x:c r="M33" s="16" t="n">
        <x:f>K33*L33</x:f>
        <x:v>91147000</x:v>
      </x:c>
      <x:c r="N33" s="12" t="str">
        <x:v>Cao</x:v>
      </x:c>
      <x:c r="O33" s="12" t="str">
        <x:v>Điều chỉnh</x:v>
      </x:c>
      <x:c r="P33" s="12" t="str"/>
    </x:row>
    <x:row r="34">
      <x:c r="A34" s="12" t="str">
        <x:v>DT-CTSV-2026-033</x:v>
      </x:c>
      <x:c r="B34" s="12" t="str">
        <x:v>Phòng Công tác Sinh viên</x:v>
      </x:c>
      <x:c r="C34" s="12" t="n">
        <x:v>2026</x:v>
      </x:c>
      <x:c r="D34" s="12" t="str">
        <x:v>Q3</x:v>
      </x:c>
      <x:c r="E34" s="12" t="n">
        <x:v>8</x:v>
      </x:c>
      <x:c r="F34" s="12" t="str">
        <x:v>Graduation Ceremony</x:v>
      </x:c>
      <x:c r="G34" s="12" t="str">
        <x:v>Sự kiện</x:v>
      </x:c>
      <x:c r="H34" s="12" t="str">
        <x:v>Âm thanh ánh sáng</x:v>
      </x:c>
      <x:c r="I34" s="12" t="str">
        <x:v>Lễ tốt nghiệp và vinh danh sinh viên</x:v>
      </x:c>
      <x:c r="J34" s="12" t="str">
        <x:v>College of Health Sciences</x:v>
      </x:c>
      <x:c r="K34" s="12" t="n">
        <x:v>2</x:v>
      </x:c>
      <x:c r="L34" s="16" t="n">
        <x:v>74093000</x:v>
      </x:c>
      <x:c r="M34" s="16" t="n">
        <x:f>K34*L34</x:f>
        <x:v>148186000</x:v>
      </x:c>
      <x:c r="N34" s="12" t="str">
        <x:v>Cao</x:v>
      </x:c>
      <x:c r="O34" s="12" t="str">
        <x:v>Điều chỉnh</x:v>
      </x:c>
      <x:c r="P34" s="12" t="str"/>
    </x:row>
    <x:row r="35">
      <x:c r="A35" s="12" t="str">
        <x:v>DT-CTSV-2026-034</x:v>
      </x:c>
      <x:c r="B35" s="12" t="str">
        <x:v>Phòng Công tác Sinh viên</x:v>
      </x:c>
      <x:c r="C35" s="12" t="n">
        <x:v>2026</x:v>
      </x:c>
      <x:c r="D35" s="12" t="str">
        <x:v>Q3</x:v>
      </x:c>
      <x:c r="E35" s="12" t="n">
        <x:v>7</x:v>
      </x:c>
      <x:c r="F35" s="12" t="str">
        <x:v>Community Service</x:v>
      </x:c>
      <x:c r="G35" s="12" t="str">
        <x:v>Cộng đồng</x:v>
      </x:c>
      <x:c r="H35" s="12" t="str">
        <x:v>Áo tình nguyện</x:v>
      </x:c>
      <x:c r="I35" s="12" t="str">
        <x:v>Hoạt động tình nguyện và phục vụ cộng đồng</x:v>
      </x:c>
      <x:c r="J35" s="12" t="str">
        <x:v>College of Health Sciences</x:v>
      </x:c>
      <x:c r="K35" s="12" t="n">
        <x:v>197</x:v>
      </x:c>
      <x:c r="L35" s="16" t="n">
        <x:v>143000</x:v>
      </x:c>
      <x:c r="M35" s="16" t="n">
        <x:f>K35*L35</x:f>
        <x:v>28171000</x:v>
      </x:c>
      <x:c r="N35" s="12" t="str">
        <x:v>Trung bình</x:v>
      </x:c>
      <x:c r="O35" s="12" t="str">
        <x:v>Điều chỉnh</x:v>
      </x:c>
      <x:c r="P35" s="12" t="str"/>
    </x:row>
    <x:row r="36">
      <x:c r="A36" s="12" t="str">
        <x:v>DT-CTSV-2026-035</x:v>
      </x:c>
      <x:c r="B36" s="12" t="str">
        <x:v>Phòng Công tác Sinh viên</x:v>
      </x:c>
      <x:c r="C36" s="12" t="n">
        <x:v>2026</x:v>
      </x:c>
      <x:c r="D36" s="12" t="str">
        <x:v>Q3</x:v>
      </x:c>
      <x:c r="E36" s="12" t="n">
        <x:v>7</x:v>
      </x:c>
      <x:c r="F36" s="12" t="str">
        <x:v>Student Clubs</x:v>
      </x:c>
      <x:c r="G36" s="12" t="str">
        <x:v>Hoạt động sinh viên</x:v>
      </x:c>
      <x:c r="H36" s="12" t="str">
        <x:v>Hỗ trợ hoạt động CLB</x:v>
      </x:c>
      <x:c r="I36" s="12" t="str">
        <x:v>Hỗ trợ câu lạc bộ sinh viên</x:v>
      </x:c>
      <x:c r="J36" s="12" t="str">
        <x:v>College of Health Sciences</x:v>
      </x:c>
      <x:c r="K36" s="12" t="n">
        <x:v>1</x:v>
      </x:c>
      <x:c r="L36" s="16" t="n">
        <x:v>29255000</x:v>
      </x:c>
      <x:c r="M36" s="16" t="n">
        <x:f>K36*L36</x:f>
        <x:v>29255000</x:v>
      </x:c>
      <x:c r="N36" s="12" t="str">
        <x:v>Cao</x:v>
      </x:c>
      <x:c r="O36" s="12" t="str">
        <x:v>Đã duyệt</x:v>
      </x:c>
      <x:c r="P36" s="12" t="str"/>
    </x:row>
    <x:row r="37">
      <x:c r="A37" s="12" t="str">
        <x:v>DT-CTSV-2026-036</x:v>
      </x:c>
      <x:c r="B37" s="12" t="str">
        <x:v>Phòng Công tác Sinh viên</x:v>
      </x:c>
      <x:c r="C37" s="12" t="n">
        <x:v>2026</x:v>
      </x:c>
      <x:c r="D37" s="12" t="str">
        <x:v>Q3</x:v>
      </x:c>
      <x:c r="E37" s="12" t="n">
        <x:v>9</x:v>
      </x:c>
      <x:c r="F37" s="12" t="str">
        <x:v>Career Fair</x:v>
      </x:c>
      <x:c r="G37" s="12" t="str">
        <x:v>Nghề nghiệp</x:v>
      </x:c>
      <x:c r="H37" s="12" t="str">
        <x:v>Workshop kỹ năng nghề nghiệp</x:v>
      </x:c>
      <x:c r="I37" s="12" t="str">
        <x:v>Ngày hội việc làm và kết nối doanh nghiệp</x:v>
      </x:c>
      <x:c r="J37" s="12" t="str">
        <x:v>College of Business and Management</x:v>
      </x:c>
      <x:c r="K37" s="12" t="n">
        <x:v>2</x:v>
      </x:c>
      <x:c r="L37" s="16" t="n">
        <x:v>36242000</x:v>
      </x:c>
      <x:c r="M37" s="16" t="n">
        <x:f>K37*L37</x:f>
        <x:v>72484000</x:v>
      </x:c>
      <x:c r="N37" s="12" t="str">
        <x:v>Cao</x:v>
      </x:c>
      <x:c r="O37" s="12" t="str">
        <x:v>Chờ duyệt</x:v>
      </x:c>
      <x:c r="P37" s="12" t="str"/>
    </x:row>
    <x:row r="38">
      <x:c r="A38" s="12" t="str">
        <x:v>DT-CTSV-2026-037</x:v>
      </x:c>
      <x:c r="B38" s="12" t="str">
        <x:v>Phòng Công tác Sinh viên</x:v>
      </x:c>
      <x:c r="C38" s="12" t="n">
        <x:v>2026</x:v>
      </x:c>
      <x:c r="D38" s="12" t="str">
        <x:v>Q1</x:v>
      </x:c>
      <x:c r="E38" s="12" t="n">
        <x:v>2</x:v>
      </x:c>
      <x:c r="F38" s="12" t="str">
        <x:v>Graduation Ceremony</x:v>
      </x:c>
      <x:c r="G38" s="12" t="str">
        <x:v>Sự kiện</x:v>
      </x:c>
      <x:c r="H38" s="12" t="str">
        <x:v>Âm thanh ánh sáng</x:v>
      </x:c>
      <x:c r="I38" s="12" t="str">
        <x:v>Lễ tốt nghiệp và vinh danh sinh viên</x:v>
      </x:c>
      <x:c r="J38" s="12" t="str">
        <x:v>Toàn trường</x:v>
      </x:c>
      <x:c r="K38" s="12" t="n">
        <x:v>2</x:v>
      </x:c>
      <x:c r="L38" s="16" t="n">
        <x:v>93856000</x:v>
      </x:c>
      <x:c r="M38" s="16" t="n">
        <x:f>K38*L38</x:f>
        <x:v>187712000</x:v>
      </x:c>
      <x:c r="N38" s="12" t="str">
        <x:v>Cao</x:v>
      </x:c>
      <x:c r="O38" s="12" t="str">
        <x:v>Đã duyệt</x:v>
      </x:c>
      <x:c r="P38" s="12" t="str"/>
    </x:row>
    <x:row r="39">
      <x:c r="A39" s="12" t="str">
        <x:v>DT-CTSV-2026-038</x:v>
      </x:c>
      <x:c r="B39" s="12" t="str">
        <x:v>Phòng Công tác Sinh viên</x:v>
      </x:c>
      <x:c r="C39" s="12" t="n">
        <x:v>2026</x:v>
      </x:c>
      <x:c r="D39" s="12" t="str">
        <x:v>Q1</x:v>
      </x:c>
      <x:c r="E39" s="12" t="n">
        <x:v>1</x:v>
      </x:c>
      <x:c r="F39" s="12" t="str">
        <x:v>Orientation Week</x:v>
      </x:c>
      <x:c r="G39" s="12" t="str">
        <x:v>Sự kiện</x:v>
      </x:c>
      <x:c r="H39" s="12" t="str">
        <x:v>Nhân sự hỗ trợ sự kiện</x:v>
      </x:c>
      <x:c r="I39" s="12" t="str">
        <x:v>Tuần lễ định hướng tân sinh viên</x:v>
      </x:c>
      <x:c r="J39" s="12" t="str">
        <x:v>College of Business and Management</x:v>
      </x:c>
      <x:c r="K39" s="12" t="n">
        <x:v>27</x:v>
      </x:c>
      <x:c r="L39" s="16" t="n">
        <x:v>976000</x:v>
      </x:c>
      <x:c r="M39" s="16" t="n">
        <x:f>K39*L39</x:f>
        <x:v>26352000</x:v>
      </x:c>
      <x:c r="N39" s="12" t="str">
        <x:v>Cao</x:v>
      </x:c>
      <x:c r="O39" s="12" t="str">
        <x:v>Đã duyệt</x:v>
      </x:c>
      <x:c r="P39" s="12" t="str"/>
    </x:row>
    <x:row r="40">
      <x:c r="A40" s="12" t="str">
        <x:v>DT-CTSV-2026-039</x:v>
      </x:c>
      <x:c r="B40" s="12" t="str">
        <x:v>Phòng Công tác Sinh viên</x:v>
      </x:c>
      <x:c r="C40" s="12" t="n">
        <x:v>2026</x:v>
      </x:c>
      <x:c r="D40" s="12" t="str">
        <x:v>Q3</x:v>
      </x:c>
      <x:c r="E40" s="12" t="n">
        <x:v>8</x:v>
      </x:c>
      <x:c r="F40" s="12" t="str">
        <x:v>Community Service</x:v>
      </x:c>
      <x:c r="G40" s="12" t="str">
        <x:v>Cộng đồng</x:v>
      </x:c>
      <x:c r="H40" s="12" t="str">
        <x:v>Áo tình nguyện</x:v>
      </x:c>
      <x:c r="I40" s="12" t="str">
        <x:v>Hoạt động tình nguyện và phục vụ cộng đồng</x:v>
      </x:c>
      <x:c r="J40" s="12" t="str">
        <x:v>College of Health Sciences</x:v>
      </x:c>
      <x:c r="K40" s="12" t="n">
        <x:v>169</x:v>
      </x:c>
      <x:c r="L40" s="16" t="n">
        <x:v>121000</x:v>
      </x:c>
      <x:c r="M40" s="16" t="n">
        <x:f>K40*L40</x:f>
        <x:v>20449000</x:v>
      </x:c>
      <x:c r="N40" s="12" t="str">
        <x:v>Trung bình</x:v>
      </x:c>
      <x:c r="O40" s="12" t="str">
        <x:v>Đã duyệt</x:v>
      </x:c>
      <x:c r="P40" s="12" t="str"/>
    </x:row>
    <x:row r="41">
      <x:c r="A41" s="12" t="str">
        <x:v>DT-CTSV-2026-040</x:v>
      </x:c>
      <x:c r="B41" s="12" t="str">
        <x:v>Phòng Công tác Sinh viên</x:v>
      </x:c>
      <x:c r="C41" s="12" t="n">
        <x:v>2026</x:v>
      </x:c>
      <x:c r="D41" s="12" t="str">
        <x:v>Q3</x:v>
      </x:c>
      <x:c r="E41" s="12" t="n">
        <x:v>7</x:v>
      </x:c>
      <x:c r="F41" s="12" t="str">
        <x:v>Community Service</x:v>
      </x:c>
      <x:c r="G41" s="12" t="str">
        <x:v>Cộng đồng</x:v>
      </x:c>
      <x:c r="H41" s="12" t="str">
        <x:v>Phương tiện di chuyển</x:v>
      </x:c>
      <x:c r="I41" s="12" t="str">
        <x:v>Hoạt động tình nguyện và phục vụ cộng đồng</x:v>
      </x:c>
      <x:c r="J41" s="12" t="str">
        <x:v>College of Arts and Sciences</x:v>
      </x:c>
      <x:c r="K41" s="12" t="n">
        <x:v>1</x:v>
      </x:c>
      <x:c r="L41" s="16" t="n">
        <x:v>30515000</x:v>
      </x:c>
      <x:c r="M41" s="16" t="n">
        <x:f>K41*L41</x:f>
        <x:v>30515000</x:v>
      </x:c>
      <x:c r="N41" s="12" t="str">
        <x:v>Trung bình</x:v>
      </x:c>
      <x:c r="O41" s="12" t="str">
        <x:v>Chờ duyệt</x:v>
      </x:c>
      <x:c r="P41" s="12" t="str"/>
    </x:row>
    <x:row r="42">
      <x:c r="A42" s="12" t="str">
        <x:v>DT-CTSV-2026-041</x:v>
      </x:c>
      <x:c r="B42" s="12" t="str">
        <x:v>Phòng Công tác Sinh viên</x:v>
      </x:c>
      <x:c r="C42" s="12" t="n">
        <x:v>2026</x:v>
      </x:c>
      <x:c r="D42" s="12" t="str">
        <x:v>Q4</x:v>
      </x:c>
      <x:c r="E42" s="12" t="n">
        <x:v>12</x:v>
      </x:c>
      <x:c r="F42" s="12" t="str">
        <x:v>Community Service</x:v>
      </x:c>
      <x:c r="G42" s="12" t="str">
        <x:v>Cộng đồng</x:v>
      </x:c>
      <x:c r="H42" s="12" t="str">
        <x:v>Vật phẩm hỗ trợ cộng đồng</x:v>
      </x:c>
      <x:c r="I42" s="12" t="str">
        <x:v>Hoạt động tình nguyện và phục vụ cộng đồng</x:v>
      </x:c>
      <x:c r="J42" s="12" t="str">
        <x:v>College of Arts and Sciences</x:v>
      </x:c>
      <x:c r="K42" s="12" t="n">
        <x:v>3</x:v>
      </x:c>
      <x:c r="L42" s="16" t="n">
        <x:v>55737000</x:v>
      </x:c>
      <x:c r="M42" s="16" t="n">
        <x:f>K42*L42</x:f>
        <x:v>167211000</x:v>
      </x:c>
      <x:c r="N42" s="12" t="str">
        <x:v>Trung bình</x:v>
      </x:c>
      <x:c r="O42" s="12" t="str">
        <x:v>Đã duyệt</x:v>
      </x:c>
      <x:c r="P42" s="12" t="str"/>
    </x:row>
    <x:row r="43">
      <x:c r="A43" s="12" t="str">
        <x:v>DT-CTSV-2026-042</x:v>
      </x:c>
      <x:c r="B43" s="12" t="str">
        <x:v>Phòng Công tác Sinh viên</x:v>
      </x:c>
      <x:c r="C43" s="12" t="n">
        <x:v>2026</x:v>
      </x:c>
      <x:c r="D43" s="12" t="str">
        <x:v>Q2</x:v>
      </x:c>
      <x:c r="E43" s="12" t="n">
        <x:v>4</x:v>
      </x:c>
      <x:c r="F43" s="12" t="str">
        <x:v>Career Fair</x:v>
      </x:c>
      <x:c r="G43" s="12" t="str">
        <x:v>Nghề nghiệp</x:v>
      </x:c>
      <x:c r="H43" s="12" t="str">
        <x:v>Nền tảng tuyển dụng</x:v>
      </x:c>
      <x:c r="I43" s="12" t="str">
        <x:v>Ngày hội việc làm và kết nối doanh nghiệp</x:v>
      </x:c>
      <x:c r="J43" s="12" t="str">
        <x:v>Toàn trường</x:v>
      </x:c>
      <x:c r="K43" s="12" t="n">
        <x:v>1</x:v>
      </x:c>
      <x:c r="L43" s="16" t="n">
        <x:v>64900000</x:v>
      </x:c>
      <x:c r="M43" s="16" t="n">
        <x:f>K43*L43</x:f>
        <x:v>64900000</x:v>
      </x:c>
      <x:c r="N43" s="12" t="str">
        <x:v>Cao</x:v>
      </x:c>
      <x:c r="O43" s="12" t="str">
        <x:v>Đã duyệt</x:v>
      </x:c>
      <x:c r="P43" s="12" t="str"/>
    </x:row>
    <x:row r="44">
      <x:c r="A44" s="12" t="str">
        <x:v>DT-CTSV-2026-043</x:v>
      </x:c>
      <x:c r="B44" s="12" t="str">
        <x:v>Phòng Công tác Sinh viên</x:v>
      </x:c>
      <x:c r="C44" s="12" t="n">
        <x:v>2026</x:v>
      </x:c>
      <x:c r="D44" s="12" t="str">
        <x:v>Q1</x:v>
      </x:c>
      <x:c r="E44" s="12" t="n">
        <x:v>1</x:v>
      </x:c>
      <x:c r="F44" s="12" t="str">
        <x:v>Student Leadership</x:v>
      </x:c>
      <x:c r="G44" s="12" t="str">
        <x:v>Đào tạo</x:v>
      </x:c>
      <x:c r="H44" s="12" t="str">
        <x:v>Workshop lãnh đạo</x:v>
      </x:c>
      <x:c r="I44" s="12" t="str">
        <x:v>Đào tạo cán bộ lớp và thủ lĩnh sinh viên</x:v>
      </x:c>
      <x:c r="J44" s="12" t="str">
        <x:v>Toàn trường</x:v>
      </x:c>
      <x:c r="K44" s="12" t="n">
        <x:v>3</x:v>
      </x:c>
      <x:c r="L44" s="16" t="n">
        <x:v>41628000</x:v>
      </x:c>
      <x:c r="M44" s="16" t="n">
        <x:f>K44*L44</x:f>
        <x:v>124884000</x:v>
      </x:c>
      <x:c r="N44" s="12" t="str">
        <x:v>Trung bình</x:v>
      </x:c>
      <x:c r="O44" s="12" t="str">
        <x:v>Đã duyệt</x:v>
      </x:c>
      <x:c r="P44" s="12" t="str"/>
    </x:row>
    <x:row r="45">
      <x:c r="A45" s="12" t="str">
        <x:v>DT-CTSV-2026-044</x:v>
      </x:c>
      <x:c r="B45" s="12" t="str">
        <x:v>Phòng Công tác Sinh viên</x:v>
      </x:c>
      <x:c r="C45" s="12" t="n">
        <x:v>2026</x:v>
      </x:c>
      <x:c r="D45" s="12" t="str">
        <x:v>Q1</x:v>
      </x:c>
      <x:c r="E45" s="12" t="n">
        <x:v>2</x:v>
      </x:c>
      <x:c r="F45" s="12" t="str">
        <x:v>Orientation Week</x:v>
      </x:c>
      <x:c r="G45" s="12" t="str">
        <x:v>Sự kiện</x:v>
      </x:c>
      <x:c r="H45" s="12" t="str">
        <x:v>Nhân sự hỗ trợ sự kiện</x:v>
      </x:c>
      <x:c r="I45" s="12" t="str">
        <x:v>Tuần lễ định hướng tân sinh viên</x:v>
      </x:c>
      <x:c r="J45" s="12" t="str">
        <x:v>College of Health Sciences</x:v>
      </x:c>
      <x:c r="K45" s="12" t="n">
        <x:v>25</x:v>
      </x:c>
      <x:c r="L45" s="16" t="n">
        <x:v>701000</x:v>
      </x:c>
      <x:c r="M45" s="16" t="n">
        <x:f>K45*L45</x:f>
        <x:v>17525000</x:v>
      </x:c>
      <x:c r="N45" s="12" t="str">
        <x:v>Cao</x:v>
      </x:c>
      <x:c r="O45" s="12" t="str">
        <x:v>Điều chỉnh</x:v>
      </x:c>
      <x:c r="P45" s="12" t="str"/>
    </x:row>
    <x:row r="46">
      <x:c r="A46" s="12" t="str">
        <x:v>DT-CTSV-2026-045</x:v>
      </x:c>
      <x:c r="B46" s="12" t="str">
        <x:v>Phòng Công tác Sinh viên</x:v>
      </x:c>
      <x:c r="C46" s="12" t="n">
        <x:v>2026</x:v>
      </x:c>
      <x:c r="D46" s="12" t="str">
        <x:v>Q1</x:v>
      </x:c>
      <x:c r="E46" s="12" t="n">
        <x:v>2</x:v>
      </x:c>
      <x:c r="F46" s="12" t="str">
        <x:v>Career Fair</x:v>
      </x:c>
      <x:c r="G46" s="12" t="str">
        <x:v>Nghề nghiệp</x:v>
      </x:c>
      <x:c r="H46" s="12" t="str">
        <x:v>In ấn tài liệu career fair</x:v>
      </x:c>
      <x:c r="I46" s="12" t="str">
        <x:v>Ngày hội việc làm và kết nối doanh nghiệp</x:v>
      </x:c>
      <x:c r="J46" s="12" t="str">
        <x:v>Toàn trường</x:v>
      </x:c>
      <x:c r="K46" s="12" t="n">
        <x:v>407</x:v>
      </x:c>
      <x:c r="L46" s="16" t="n">
        <x:v>53000</x:v>
      </x:c>
      <x:c r="M46" s="16" t="n">
        <x:f>K46*L46</x:f>
        <x:v>21571000</x:v>
      </x:c>
      <x:c r="N46" s="12" t="str">
        <x:v>Cao</x:v>
      </x:c>
      <x:c r="O46" s="12" t="str">
        <x:v>Điều chỉnh</x:v>
      </x:c>
      <x:c r="P46" s="12" t="str"/>
    </x:row>
    <x:row r="47">
      <x:c r="A47" s="12" t="str">
        <x:v>DT-CTSV-2026-046</x:v>
      </x:c>
      <x:c r="B47" s="12" t="str">
        <x:v>Phòng Công tác Sinh viên</x:v>
      </x:c>
      <x:c r="C47" s="12" t="n">
        <x:v>2026</x:v>
      </x:c>
      <x:c r="D47" s="12" t="str">
        <x:v>Q1</x:v>
      </x:c>
      <x:c r="E47" s="12" t="n">
        <x:v>2</x:v>
      </x:c>
      <x:c r="F47" s="12" t="str">
        <x:v>Orientation Week</x:v>
      </x:c>
      <x:c r="G47" s="12" t="str">
        <x:v>Sự kiện</x:v>
      </x:c>
      <x:c r="H47" s="12" t="str">
        <x:v>Nhân sự hỗ trợ sự kiện</x:v>
      </x:c>
      <x:c r="I47" s="12" t="str">
        <x:v>Tuần lễ định hướng tân sinh viên</x:v>
      </x:c>
      <x:c r="J47" s="12" t="str">
        <x:v>Toàn trường</x:v>
      </x:c>
      <x:c r="K47" s="12" t="n">
        <x:v>19</x:v>
      </x:c>
      <x:c r="L47" s="16" t="n">
        <x:v>866000</x:v>
      </x:c>
      <x:c r="M47" s="16" t="n">
        <x:f>K47*L47</x:f>
        <x:v>16454000</x:v>
      </x:c>
      <x:c r="N47" s="12" t="str">
        <x:v>Cao</x:v>
      </x:c>
      <x:c r="O47" s="12" t="str">
        <x:v>Chờ duyệt</x:v>
      </x:c>
      <x:c r="P47" s="12" t="str"/>
    </x:row>
    <x:row r="48">
      <x:c r="A48" s="12" t="str">
        <x:v>DT-CTSV-2026-047</x:v>
      </x:c>
      <x:c r="B48" s="12" t="str">
        <x:v>Phòng Công tác Sinh viên</x:v>
      </x:c>
      <x:c r="C48" s="12" t="n">
        <x:v>2026</x:v>
      </x:c>
      <x:c r="D48" s="12" t="str">
        <x:v>Q4</x:v>
      </x:c>
      <x:c r="E48" s="12" t="n">
        <x:v>11</x:v>
      </x:c>
      <x:c r="F48" s="12" t="str">
        <x:v>Mental Health Program</x:v>
      </x:c>
      <x:c r="G48" s="12" t="str">
        <x:v>Tư vấn</x:v>
      </x:c>
      <x:c r="H48" s="12" t="str">
        <x:v>Chuyên gia tư vấn tâm lý</x:v>
      </x:c>
      <x:c r="I48" s="12" t="str">
        <x:v>Tư vấn tâm lý và sức khỏe tinh thần</x:v>
      </x:c>
      <x:c r="J48" s="12" t="str">
        <x:v>College of Arts and Sciences</x:v>
      </x:c>
      <x:c r="K48" s="12" t="n">
        <x:v>1</x:v>
      </x:c>
      <x:c r="L48" s="16" t="n">
        <x:v>14182000</x:v>
      </x:c>
      <x:c r="M48" s="16" t="n">
        <x:f>K48*L48</x:f>
        <x:v>14182000</x:v>
      </x:c>
      <x:c r="N48" s="12" t="str">
        <x:v>Cao</x:v>
      </x:c>
      <x:c r="O48" s="12" t="str">
        <x:v>Đã duyệt</x:v>
      </x:c>
      <x:c r="P48" s="12" t="str"/>
    </x:row>
    <x:row r="49">
      <x:c r="A49" s="12" t="str">
        <x:v>DT-CTSV-2026-048</x:v>
      </x:c>
      <x:c r="B49" s="12" t="str">
        <x:v>Phòng Công tác Sinh viên</x:v>
      </x:c>
      <x:c r="C49" s="12" t="n">
        <x:v>2026</x:v>
      </x:c>
      <x:c r="D49" s="12" t="str">
        <x:v>Q2</x:v>
      </x:c>
      <x:c r="E49" s="12" t="n">
        <x:v>6</x:v>
      </x:c>
      <x:c r="F49" s="12" t="str">
        <x:v>Mental Health Program</x:v>
      </x:c>
      <x:c r="G49" s="12" t="str">
        <x:v>Tư vấn</x:v>
      </x:c>
      <x:c r="H49" s="12" t="str">
        <x:v>Workshop wellbeing</x:v>
      </x:c>
      <x:c r="I49" s="12" t="str">
        <x:v>Tư vấn tâm lý và sức khỏe tinh thần</x:v>
      </x:c>
      <x:c r="J49" s="12" t="str">
        <x:v>Toàn trường</x:v>
      </x:c>
      <x:c r="K49" s="12" t="n">
        <x:v>1</x:v>
      </x:c>
      <x:c r="L49" s="16" t="n">
        <x:v>29880000</x:v>
      </x:c>
      <x:c r="M49" s="16" t="n">
        <x:f>K49*L49</x:f>
        <x:v>29880000</x:v>
      </x:c>
      <x:c r="N49" s="12" t="str">
        <x:v>Cao</x:v>
      </x:c>
      <x:c r="O49" s="12" t="str">
        <x:v>Điều chỉnh</x:v>
      </x:c>
      <x:c r="P49" s="12" t="str"/>
    </x:row>
    <x:row r="50">
      <x:c r="A50" s="12" t="str">
        <x:v>DT-CTSV-2026-049</x:v>
      </x:c>
      <x:c r="B50" s="12" t="str">
        <x:v>Phòng Công tác Sinh viên</x:v>
      </x:c>
      <x:c r="C50" s="12" t="n">
        <x:v>2026</x:v>
      </x:c>
      <x:c r="D50" s="12" t="str">
        <x:v>Q3</x:v>
      </x:c>
      <x:c r="E50" s="12" t="n">
        <x:v>9</x:v>
      </x:c>
      <x:c r="F50" s="12" t="str">
        <x:v>Student Clubs</x:v>
      </x:c>
      <x:c r="G50" s="12" t="str">
        <x:v>Hoạt động sinh viên</x:v>
      </x:c>
      <x:c r="H50" s="12" t="str">
        <x:v>Hỗ trợ hoạt động CLB</x:v>
      </x:c>
      <x:c r="I50" s="12" t="str">
        <x:v>Hỗ trợ câu lạc bộ sinh viên</x:v>
      </x:c>
      <x:c r="J50" s="12" t="str">
        <x:v>College of Business and Management</x:v>
      </x:c>
      <x:c r="K50" s="12" t="n">
        <x:v>1</x:v>
      </x:c>
      <x:c r="L50" s="16" t="n">
        <x:v>26308000</x:v>
      </x:c>
      <x:c r="M50" s="16" t="n">
        <x:f>K50*L50</x:f>
        <x:v>26308000</x:v>
      </x:c>
      <x:c r="N50" s="12" t="str">
        <x:v>Cao</x:v>
      </x:c>
      <x:c r="O50" s="12" t="str">
        <x:v>Chờ duyệt</x:v>
      </x:c>
      <x:c r="P50" s="12" t="str"/>
    </x:row>
    <x:row r="51">
      <x:c r="A51" s="12" t="str">
        <x:v>DT-CTSV-2026-050</x:v>
      </x:c>
      <x:c r="B51" s="12" t="str">
        <x:v>Phòng Công tác Sinh viên</x:v>
      </x:c>
      <x:c r="C51" s="12" t="n">
        <x:v>2026</x:v>
      </x:c>
      <x:c r="D51" s="12" t="str">
        <x:v>Q2</x:v>
      </x:c>
      <x:c r="E51" s="12" t="n">
        <x:v>6</x:v>
      </x:c>
      <x:c r="F51" s="12" t="str">
        <x:v>Student Clubs</x:v>
      </x:c>
      <x:c r="G51" s="12" t="str">
        <x:v>Hoạt động sinh viên</x:v>
      </x:c>
      <x:c r="H51" s="12" t="str">
        <x:v>Vật tư sự kiện CLB</x:v>
      </x:c>
      <x:c r="I51" s="12" t="str">
        <x:v>Hỗ trợ câu lạc bộ sinh viên</x:v>
      </x:c>
      <x:c r="J51" s="12" t="str">
        <x:v>Toàn trường</x:v>
      </x:c>
      <x:c r="K51" s="12" t="n">
        <x:v>1</x:v>
      </x:c>
      <x:c r="L51" s="16" t="n">
        <x:v>13696000</x:v>
      </x:c>
      <x:c r="M51" s="16" t="n">
        <x:f>K51*L51</x:f>
        <x:v>13696000</x:v>
      </x:c>
      <x:c r="N51" s="12" t="str">
        <x:v>Cao</x:v>
      </x:c>
      <x:c r="O51" s="12" t="str">
        <x:v>Điều chỉnh</x:v>
      </x:c>
      <x:c r="P51" s="12" t="str"/>
    </x:row>
    <x:row r="52">
      <x:c r="A52" s="12" t="str">
        <x:v>DT-CTSV-2026-051</x:v>
      </x:c>
      <x:c r="B52" s="12" t="str">
        <x:v>Phòng Công tác Sinh viên</x:v>
      </x:c>
      <x:c r="C52" s="12" t="n">
        <x:v>2026</x:v>
      </x:c>
      <x:c r="D52" s="12" t="str">
        <x:v>Q4</x:v>
      </x:c>
      <x:c r="E52" s="12" t="n">
        <x:v>11</x:v>
      </x:c>
      <x:c r="F52" s="12" t="str">
        <x:v>Mental Health Program</x:v>
      </x:c>
      <x:c r="G52" s="12" t="str">
        <x:v>Tư vấn</x:v>
      </x:c>
      <x:c r="H52" s="12" t="str">
        <x:v>Tài liệu truyền thông sức khỏe tinh thần</x:v>
      </x:c>
      <x:c r="I52" s="12" t="str">
        <x:v>Tư vấn tâm lý và sức khỏe tinh thần</x:v>
      </x:c>
      <x:c r="J52" s="12" t="str">
        <x:v>Toàn trường</x:v>
      </x:c>
      <x:c r="K52" s="12" t="n">
        <x:v>535</x:v>
      </x:c>
      <x:c r="L52" s="16" t="n">
        <x:v>44000</x:v>
      </x:c>
      <x:c r="M52" s="16" t="n">
        <x:f>K52*L52</x:f>
        <x:v>23540000</x:v>
      </x:c>
      <x:c r="N52" s="12" t="str">
        <x:v>Cao</x:v>
      </x:c>
      <x:c r="O52" s="12" t="str">
        <x:v>Chờ duyệt</x:v>
      </x:c>
      <x:c r="P52" s="12" t="str"/>
    </x:row>
    <x:row r="53">
      <x:c r="A53" s="12" t="str">
        <x:v>DT-CTSV-2026-052</x:v>
      </x:c>
      <x:c r="B53" s="12" t="str">
        <x:v>Phòng Công tác Sinh viên</x:v>
      </x:c>
      <x:c r="C53" s="12" t="n">
        <x:v>2026</x:v>
      </x:c>
      <x:c r="D53" s="12" t="str">
        <x:v>Q2</x:v>
      </x:c>
      <x:c r="E53" s="12" t="n">
        <x:v>5</x:v>
      </x:c>
      <x:c r="F53" s="12" t="str">
        <x:v>Student Clubs</x:v>
      </x:c>
      <x:c r="G53" s="12" t="str">
        <x:v>Hoạt động sinh viên</x:v>
      </x:c>
      <x:c r="H53" s="12" t="str">
        <x:v>Vật tư sự kiện CLB</x:v>
      </x:c>
      <x:c r="I53" s="12" t="str">
        <x:v>Hỗ trợ câu lạc bộ sinh viên</x:v>
      </x:c>
      <x:c r="J53" s="12" t="str">
        <x:v>Toàn trường</x:v>
      </x:c>
      <x:c r="K53" s="12" t="n">
        <x:v>1</x:v>
      </x:c>
      <x:c r="L53" s="16" t="n">
        <x:v>18088000</x:v>
      </x:c>
      <x:c r="M53" s="16" t="n">
        <x:f>K53*L53</x:f>
        <x:v>18088000</x:v>
      </x:c>
      <x:c r="N53" s="12" t="str">
        <x:v>Cao</x:v>
      </x:c>
      <x:c r="O53" s="12" t="str">
        <x:v>Đã duyệt</x:v>
      </x:c>
      <x:c r="P53" s="12" t="str"/>
    </x:row>
    <x:row r="54">
      <x:c r="A54" s="12" t="str">
        <x:v>DT-CTSV-2026-053</x:v>
      </x:c>
      <x:c r="B54" s="12" t="str">
        <x:v>Phòng Công tác Sinh viên</x:v>
      </x:c>
      <x:c r="C54" s="12" t="n">
        <x:v>2026</x:v>
      </x:c>
      <x:c r="D54" s="12" t="str">
        <x:v>Q4</x:v>
      </x:c>
      <x:c r="E54" s="12" t="n">
        <x:v>10</x:v>
      </x:c>
      <x:c r="F54" s="12" t="str">
        <x:v>Mental Health Program</x:v>
      </x:c>
      <x:c r="G54" s="12" t="str">
        <x:v>Tư vấn</x:v>
      </x:c>
      <x:c r="H54" s="12" t="str">
        <x:v>Workshop wellbeing</x:v>
      </x:c>
      <x:c r="I54" s="12" t="str">
        <x:v>Tư vấn tâm lý và sức khỏe tinh thần</x:v>
      </x:c>
      <x:c r="J54" s="12" t="str">
        <x:v>College of Business and Management</x:v>
      </x:c>
      <x:c r="K54" s="12" t="n">
        <x:v>1</x:v>
      </x:c>
      <x:c r="L54" s="16" t="n">
        <x:v>39796000</x:v>
      </x:c>
      <x:c r="M54" s="16" t="n">
        <x:f>K54*L54</x:f>
        <x:v>39796000</x:v>
      </x:c>
      <x:c r="N54" s="12" t="str">
        <x:v>Cao</x:v>
      </x:c>
      <x:c r="O54" s="12" t="str">
        <x:v>Điều chỉnh</x:v>
      </x:c>
      <x:c r="P54" s="12" t="str"/>
    </x:row>
    <x:row r="55">
      <x:c r="A55" s="12" t="str">
        <x:v>DT-CTSV-2026-054</x:v>
      </x:c>
      <x:c r="B55" s="12" t="str">
        <x:v>Phòng Công tác Sinh viên</x:v>
      </x:c>
      <x:c r="C55" s="12" t="n">
        <x:v>2026</x:v>
      </x:c>
      <x:c r="D55" s="12" t="str">
        <x:v>Q3</x:v>
      </x:c>
      <x:c r="E55" s="12" t="n">
        <x:v>8</x:v>
      </x:c>
      <x:c r="F55" s="12" t="str">
        <x:v>Mental Health Program</x:v>
      </x:c>
      <x:c r="G55" s="12" t="str">
        <x:v>Tư vấn</x:v>
      </x:c>
      <x:c r="H55" s="12" t="str">
        <x:v>Tài liệu truyền thông sức khỏe tinh thần</x:v>
      </x:c>
      <x:c r="I55" s="12" t="str">
        <x:v>Tư vấn tâm lý và sức khỏe tinh thần</x:v>
      </x:c>
      <x:c r="J55" s="12" t="str">
        <x:v>College of Health Sciences</x:v>
      </x:c>
      <x:c r="K55" s="12" t="n">
        <x:v>437</x:v>
      </x:c>
      <x:c r="L55" s="16" t="n">
        <x:v>48000</x:v>
      </x:c>
      <x:c r="M55" s="16" t="n">
        <x:f>K55*L55</x:f>
        <x:v>20976000</x:v>
      </x:c>
      <x:c r="N55" s="12" t="str">
        <x:v>Cao</x:v>
      </x:c>
      <x:c r="O55" s="12" t="str">
        <x:v>Đã duyệt</x:v>
      </x:c>
      <x:c r="P55" s="12" t="str"/>
    </x:row>
    <x:row r="56">
      <x:c r="A56" s="12" t="str">
        <x:v>DT-CTSV-2026-055</x:v>
      </x:c>
      <x:c r="B56" s="12" t="str">
        <x:v>Phòng Công tác Sinh viên</x:v>
      </x:c>
      <x:c r="C56" s="12" t="n">
        <x:v>2026</x:v>
      </x:c>
      <x:c r="D56" s="12" t="str">
        <x:v>Q1</x:v>
      </x:c>
      <x:c r="E56" s="12" t="n">
        <x:v>1</x:v>
      </x:c>
      <x:c r="F56" s="12" t="str">
        <x:v>Community Service</x:v>
      </x:c>
      <x:c r="G56" s="12" t="str">
        <x:v>Cộng đồng</x:v>
      </x:c>
      <x:c r="H56" s="12" t="str">
        <x:v>Áo tình nguyện</x:v>
      </x:c>
      <x:c r="I56" s="12" t="str">
        <x:v>Hoạt động tình nguyện và phục vụ cộng đồng</x:v>
      </x:c>
      <x:c r="J56" s="12" t="str">
        <x:v>College of Engineering and Computer Science</x:v>
      </x:c>
      <x:c r="K56" s="12" t="n">
        <x:v>140</x:v>
      </x:c>
      <x:c r="L56" s="16" t="n">
        <x:v>139000</x:v>
      </x:c>
      <x:c r="M56" s="16" t="n">
        <x:f>K56*L56</x:f>
        <x:v>19460000</x:v>
      </x:c>
      <x:c r="N56" s="12" t="str">
        <x:v>Trung bình</x:v>
      </x:c>
      <x:c r="O56" s="12" t="str">
        <x:v>Đã duyệt</x:v>
      </x:c>
      <x:c r="P56" s="12" t="str"/>
    </x:row>
    <x:row r="57">
      <x:c r="A57" s="12" t="str">
        <x:v>DT-CTSV-2026-056</x:v>
      </x:c>
      <x:c r="B57" s="12" t="str">
        <x:v>Phòng Công tác Sinh viên</x:v>
      </x:c>
      <x:c r="C57" s="12" t="n">
        <x:v>2026</x:v>
      </x:c>
      <x:c r="D57" s="12" t="str">
        <x:v>Q4</x:v>
      </x:c>
      <x:c r="E57" s="12" t="n">
        <x:v>12</x:v>
      </x:c>
      <x:c r="F57" s="12" t="str">
        <x:v>Graduation Ceremony</x:v>
      </x:c>
      <x:c r="G57" s="12" t="str">
        <x:v>Sự kiện</x:v>
      </x:c>
      <x:c r="H57" s="12" t="str">
        <x:v>Nhân sự hỗ trợ sự kiện</x:v>
      </x:c>
      <x:c r="I57" s="12" t="str">
        <x:v>Lễ tốt nghiệp và vinh danh sinh viên</x:v>
      </x:c>
      <x:c r="J57" s="12" t="str">
        <x:v>College of Health Sciences</x:v>
      </x:c>
      <x:c r="K57" s="12" t="n">
        <x:v>19</x:v>
      </x:c>
      <x:c r="L57" s="16" t="n">
        <x:v>683000</x:v>
      </x:c>
      <x:c r="M57" s="16" t="n">
        <x:f>K57*L57</x:f>
        <x:v>12977000</x:v>
      </x:c>
      <x:c r="N57" s="12" t="str">
        <x:v>Cao</x:v>
      </x:c>
      <x:c r="O57" s="12" t="str">
        <x:v>Điều chỉnh</x:v>
      </x:c>
      <x:c r="P57" s="12" t="str"/>
    </x:row>
    <x:row r="58">
      <x:c r="A58" s="12" t="str">
        <x:v>DT-CTSV-2026-057</x:v>
      </x:c>
      <x:c r="B58" s="12" t="str">
        <x:v>Phòng Công tác Sinh viên</x:v>
      </x:c>
      <x:c r="C58" s="12" t="n">
        <x:v>2026</x:v>
      </x:c>
      <x:c r="D58" s="12" t="str">
        <x:v>Q1</x:v>
      </x:c>
      <x:c r="E58" s="12" t="n">
        <x:v>1</x:v>
      </x:c>
      <x:c r="F58" s="12" t="str">
        <x:v>Scholarship Program</x:v>
      </x:c>
      <x:c r="G58" s="12" t="str">
        <x:v>Học bổng</x:v>
      </x:c>
      <x:c r="H58" s="12" t="str">
        <x:v>Học bổng lãnh đạo sinh viên</x:v>
      </x:c>
      <x:c r="I58" s="12" t="str">
        <x:v>Học bổng và hỗ trợ tài chính</x:v>
      </x:c>
      <x:c r="J58" s="12" t="str">
        <x:v>College of Business and Management</x:v>
      </x:c>
      <x:c r="K58" s="12" t="n">
        <x:v>1</x:v>
      </x:c>
      <x:c r="L58" s="16" t="n">
        <x:v>27075000</x:v>
      </x:c>
      <x:c r="M58" s="16" t="n">
        <x:f>K58*L58</x:f>
        <x:v>27075000</x:v>
      </x:c>
      <x:c r="N58" s="12" t="str">
        <x:v>Cao</x:v>
      </x:c>
      <x:c r="O58" s="12" t="str">
        <x:v>Chờ duyệt</x:v>
      </x:c>
      <x:c r="P58" s="12" t="str"/>
    </x:row>
    <x:row r="59">
      <x:c r="A59" s="12" t="str">
        <x:v>DT-CTSV-2026-058</x:v>
      </x:c>
      <x:c r="B59" s="12" t="str">
        <x:v>Phòng Công tác Sinh viên</x:v>
      </x:c>
      <x:c r="C59" s="12" t="n">
        <x:v>2026</x:v>
      </x:c>
      <x:c r="D59" s="12" t="str">
        <x:v>Q2</x:v>
      </x:c>
      <x:c r="E59" s="12" t="n">
        <x:v>5</x:v>
      </x:c>
      <x:c r="F59" s="12" t="str">
        <x:v>Scholarship Program</x:v>
      </x:c>
      <x:c r="G59" s="12" t="str">
        <x:v>Học bổng</x:v>
      </x:c>
      <x:c r="H59" s="12" t="str">
        <x:v>Học bổng khuyến khích</x:v>
      </x:c>
      <x:c r="I59" s="12" t="str">
        <x:v>Học bổng và hỗ trợ tài chính</x:v>
      </x:c>
      <x:c r="J59" s="12" t="str">
        <x:v>College of Health Sciences</x:v>
      </x:c>
      <x:c r="K59" s="12" t="n">
        <x:v>1</x:v>
      </x:c>
      <x:c r="L59" s="16" t="n">
        <x:v>24191000</x:v>
      </x:c>
      <x:c r="M59" s="16" t="n">
        <x:f>K59*L59</x:f>
        <x:v>24191000</x:v>
      </x:c>
      <x:c r="N59" s="12" t="str">
        <x:v>Cao</x:v>
      </x:c>
      <x:c r="O59" s="12" t="str">
        <x:v>Chờ duyệt</x:v>
      </x:c>
      <x:c r="P59" s="12" t="str"/>
    </x:row>
    <x:row r="60">
      <x:c r="A60" s="12" t="str">
        <x:v>DT-CTSV-2026-059</x:v>
      </x:c>
      <x:c r="B60" s="12" t="str">
        <x:v>Phòng Công tác Sinh viên</x:v>
      </x:c>
      <x:c r="C60" s="12" t="n">
        <x:v>2026</x:v>
      </x:c>
      <x:c r="D60" s="12" t="str">
        <x:v>Q4</x:v>
      </x:c>
      <x:c r="E60" s="12" t="n">
        <x:v>11</x:v>
      </x:c>
      <x:c r="F60" s="12" t="str">
        <x:v>Career Fair</x:v>
      </x:c>
      <x:c r="G60" s="12" t="str">
        <x:v>Nghề nghiệp</x:v>
      </x:c>
      <x:c r="H60" s="12" t="str">
        <x:v>Workshop kỹ năng nghề nghiệp</x:v>
      </x:c>
      <x:c r="I60" s="12" t="str">
        <x:v>Ngày hội việc làm và kết nối doanh nghiệp</x:v>
      </x:c>
      <x:c r="J60" s="12" t="str">
        <x:v>Toàn trường</x:v>
      </x:c>
      <x:c r="K60" s="12" t="n">
        <x:v>1</x:v>
      </x:c>
      <x:c r="L60" s="16" t="n">
        <x:v>39658000</x:v>
      </x:c>
      <x:c r="M60" s="16" t="n">
        <x:f>K60*L60</x:f>
        <x:v>39658000</x:v>
      </x:c>
      <x:c r="N60" s="12" t="str">
        <x:v>Cao</x:v>
      </x:c>
      <x:c r="O60" s="12" t="str">
        <x:v>Chờ duyệt</x:v>
      </x:c>
      <x:c r="P60" s="12" t="str"/>
    </x:row>
    <x:row r="61">
      <x:c r="A61" s="12" t="str">
        <x:v>DT-CTSV-2026-060</x:v>
      </x:c>
      <x:c r="B61" s="12" t="str">
        <x:v>Phòng Công tác Sinh viên</x:v>
      </x:c>
      <x:c r="C61" s="12" t="n">
        <x:v>2026</x:v>
      </x:c>
      <x:c r="D61" s="12" t="str">
        <x:v>Q1</x:v>
      </x:c>
      <x:c r="E61" s="12" t="n">
        <x:v>3</x:v>
      </x:c>
      <x:c r="F61" s="12" t="str">
        <x:v>Student Wellbeing</x:v>
      </x:c>
      <x:c r="G61" s="12" t="str">
        <x:v>Đời sống</x:v>
      </x:c>
      <x:c r="H61" s="12" t="str">
        <x:v>Gói hỗ trợ khẩn cấp</x:v>
      </x:c>
      <x:c r="I61" s="12" t="str">
        <x:v>Chăm sóc đời sống sinh viên</x:v>
      </x:c>
      <x:c r="J61" s="12" t="str">
        <x:v>College of Business and Management</x:v>
      </x:c>
      <x:c r="K61" s="12" t="n">
        <x:v>1</x:v>
      </x:c>
      <x:c r="L61" s="16" t="n">
        <x:v>23916000</x:v>
      </x:c>
      <x:c r="M61" s="16" t="n">
        <x:f>K61*L61</x:f>
        <x:v>23916000</x:v>
      </x:c>
      <x:c r="N61" s="12" t="str">
        <x:v>Cao</x:v>
      </x:c>
      <x:c r="O61" s="12" t="str">
        <x:v>Chờ duyệt</x:v>
      </x:c>
      <x:c r="P61" s="12" t="str"/>
    </x:row>
    <x:row r="62">
      <x:c r="A62" s="12" t="str">
        <x:v>DT-CTSV-2026-061</x:v>
      </x:c>
      <x:c r="B62" s="12" t="str">
        <x:v>Phòng Công tác Sinh viên</x:v>
      </x:c>
      <x:c r="C62" s="12" t="n">
        <x:v>2026</x:v>
      </x:c>
      <x:c r="D62" s="12" t="str">
        <x:v>Q4</x:v>
      </x:c>
      <x:c r="E62" s="12" t="n">
        <x:v>12</x:v>
      </x:c>
      <x:c r="F62" s="12" t="str">
        <x:v>Orientation Week</x:v>
      </x:c>
      <x:c r="G62" s="12" t="str">
        <x:v>Sự kiện</x:v>
      </x:c>
      <x:c r="H62" s="12" t="str">
        <x:v>Âm thanh ánh sáng</x:v>
      </x:c>
      <x:c r="I62" s="12" t="str">
        <x:v>Tuần lễ định hướng tân sinh viên</x:v>
      </x:c>
      <x:c r="J62" s="12" t="str">
        <x:v>College of Arts and Sciences</x:v>
      </x:c>
      <x:c r="K62" s="12" t="n">
        <x:v>1</x:v>
      </x:c>
      <x:c r="L62" s="16" t="n">
        <x:v>93036000</x:v>
      </x:c>
      <x:c r="M62" s="16" t="n">
        <x:f>K62*L62</x:f>
        <x:v>93036000</x:v>
      </x:c>
      <x:c r="N62" s="12" t="str">
        <x:v>Cao</x:v>
      </x:c>
      <x:c r="O62" s="12" t="str">
        <x:v>Điều chỉnh</x:v>
      </x:c>
      <x:c r="P62" s="12" t="str"/>
    </x:row>
    <x:row r="63">
      <x:c r="A63" s="12" t="str">
        <x:v>DT-CTSV-2026-062</x:v>
      </x:c>
      <x:c r="B63" s="12" t="str">
        <x:v>Phòng Công tác Sinh viên</x:v>
      </x:c>
      <x:c r="C63" s="12" t="n">
        <x:v>2026</x:v>
      </x:c>
      <x:c r="D63" s="12" t="str">
        <x:v>Q1</x:v>
      </x:c>
      <x:c r="E63" s="12" t="n">
        <x:v>3</x:v>
      </x:c>
      <x:c r="F63" s="12" t="str">
        <x:v>Career Fair</x:v>
      </x:c>
      <x:c r="G63" s="12" t="str">
        <x:v>Nghề nghiệp</x:v>
      </x:c>
      <x:c r="H63" s="12" t="str">
        <x:v>Nền tảng tuyển dụng</x:v>
      </x:c>
      <x:c r="I63" s="12" t="str">
        <x:v>Ngày hội việc làm và kết nối doanh nghiệp</x:v>
      </x:c>
      <x:c r="J63" s="12" t="str">
        <x:v>College of Health Sciences</x:v>
      </x:c>
      <x:c r="K63" s="12" t="n">
        <x:v>1</x:v>
      </x:c>
      <x:c r="L63" s="16" t="n">
        <x:v>60181000</x:v>
      </x:c>
      <x:c r="M63" s="16" t="n">
        <x:f>K63*L63</x:f>
        <x:v>60181000</x:v>
      </x:c>
      <x:c r="N63" s="12" t="str">
        <x:v>Cao</x:v>
      </x:c>
      <x:c r="O63" s="12" t="str">
        <x:v>Chờ duyệt</x:v>
      </x:c>
      <x:c r="P63" s="12" t="str"/>
    </x:row>
    <x:row r="64">
      <x:c r="A64" s="12" t="str">
        <x:v>DT-CTSV-2026-063</x:v>
      </x:c>
      <x:c r="B64" s="12" t="str">
        <x:v>Phòng Công tác Sinh viên</x:v>
      </x:c>
      <x:c r="C64" s="12" t="n">
        <x:v>2026</x:v>
      </x:c>
      <x:c r="D64" s="12" t="str">
        <x:v>Q3</x:v>
      </x:c>
      <x:c r="E64" s="12" t="n">
        <x:v>8</x:v>
      </x:c>
      <x:c r="F64" s="12" t="str">
        <x:v>Career Fair</x:v>
      </x:c>
      <x:c r="G64" s="12" t="str">
        <x:v>Nghề nghiệp</x:v>
      </x:c>
      <x:c r="H64" s="12" t="str">
        <x:v>Workshop kỹ năng nghề nghiệp</x:v>
      </x:c>
      <x:c r="I64" s="12" t="str">
        <x:v>Ngày hội việc làm và kết nối doanh nghiệp</x:v>
      </x:c>
      <x:c r="J64" s="12" t="str">
        <x:v>College of Business and Management</x:v>
      </x:c>
      <x:c r="K64" s="12" t="n">
        <x:v>1</x:v>
      </x:c>
      <x:c r="L64" s="16" t="n">
        <x:v>38883000</x:v>
      </x:c>
      <x:c r="M64" s="16" t="n">
        <x:f>K64*L64</x:f>
        <x:v>38883000</x:v>
      </x:c>
      <x:c r="N64" s="12" t="str">
        <x:v>Cao</x:v>
      </x:c>
      <x:c r="O64" s="12" t="str">
        <x:v>Đã duyệt</x:v>
      </x:c>
      <x:c r="P64" s="12" t="str"/>
    </x:row>
    <x:row r="65">
      <x:c r="A65" s="12" t="str">
        <x:v>DT-CTSV-2026-064</x:v>
      </x:c>
      <x:c r="B65" s="12" t="str">
        <x:v>Phòng Công tác Sinh viên</x:v>
      </x:c>
      <x:c r="C65" s="12" t="n">
        <x:v>2026</x:v>
      </x:c>
      <x:c r="D65" s="12" t="str">
        <x:v>Q3</x:v>
      </x:c>
      <x:c r="E65" s="12" t="n">
        <x:v>7</x:v>
      </x:c>
      <x:c r="F65" s="12" t="str">
        <x:v>Orientation Week</x:v>
      </x:c>
      <x:c r="G65" s="12" t="str">
        <x:v>Sự kiện</x:v>
      </x:c>
      <x:c r="H65" s="12" t="str">
        <x:v>Âm thanh ánh sáng</x:v>
      </x:c>
      <x:c r="I65" s="12" t="str">
        <x:v>Tuần lễ định hướng tân sinh viên</x:v>
      </x:c>
      <x:c r="J65" s="12" t="str">
        <x:v>College of Health Sciences</x:v>
      </x:c>
      <x:c r="K65" s="12" t="n">
        <x:v>1</x:v>
      </x:c>
      <x:c r="L65" s="16" t="n">
        <x:v>76915000</x:v>
      </x:c>
      <x:c r="M65" s="16" t="n">
        <x:f>K65*L65</x:f>
        <x:v>76915000</x:v>
      </x:c>
      <x:c r="N65" s="12" t="str">
        <x:v>Cao</x:v>
      </x:c>
      <x:c r="O65" s="12" t="str">
        <x:v>Chờ duyệt</x:v>
      </x:c>
      <x:c r="P65" s="12" t="str"/>
    </x:row>
    <x:row r="66">
      <x:c r="A66" s="12" t="str">
        <x:v>DT-CTSV-2026-065</x:v>
      </x:c>
      <x:c r="B66" s="12" t="str">
        <x:v>Phòng Công tác Sinh viên</x:v>
      </x:c>
      <x:c r="C66" s="12" t="n">
        <x:v>2026</x:v>
      </x:c>
      <x:c r="D66" s="12" t="str">
        <x:v>Q3</x:v>
      </x:c>
      <x:c r="E66" s="12" t="n">
        <x:v>9</x:v>
      </x:c>
      <x:c r="F66" s="12" t="str">
        <x:v>Student Leadership</x:v>
      </x:c>
      <x:c r="G66" s="12" t="str">
        <x:v>Đào tạo</x:v>
      </x:c>
      <x:c r="H66" s="12" t="str">
        <x:v>Diễn giả khách mời</x:v>
      </x:c>
      <x:c r="I66" s="12" t="str">
        <x:v>Đào tạo cán bộ lớp và thủ lĩnh sinh viên</x:v>
      </x:c>
      <x:c r="J66" s="12" t="str">
        <x:v>Toàn trường</x:v>
      </x:c>
      <x:c r="K66" s="12" t="n">
        <x:v>2</x:v>
      </x:c>
      <x:c r="L66" s="16" t="n">
        <x:v>22436000</x:v>
      </x:c>
      <x:c r="M66" s="16" t="n">
        <x:f>K66*L66</x:f>
        <x:v>44872000</x:v>
      </x:c>
      <x:c r="N66" s="12" t="str">
        <x:v>Trung bình</x:v>
      </x:c>
      <x:c r="O66" s="12" t="str">
        <x:v>Chờ duyệt</x:v>
      </x:c>
      <x:c r="P66" s="12" t="str"/>
    </x:row>
    <x:row r="67">
      <x:c r="A67" s="12" t="str">
        <x:v>DT-CTSV-2026-066</x:v>
      </x:c>
      <x:c r="B67" s="12" t="str">
        <x:v>Phòng Công tác Sinh viên</x:v>
      </x:c>
      <x:c r="C67" s="12" t="n">
        <x:v>2026</x:v>
      </x:c>
      <x:c r="D67" s="12" t="str">
        <x:v>Q2</x:v>
      </x:c>
      <x:c r="E67" s="12" t="n">
        <x:v>5</x:v>
      </x:c>
      <x:c r="F67" s="12" t="str">
        <x:v>Orientation Week</x:v>
      </x:c>
      <x:c r="G67" s="12" t="str">
        <x:v>Sự kiện</x:v>
      </x:c>
      <x:c r="H67" s="12" t="str">
        <x:v>Thuê địa điểm/sân khấu</x:v>
      </x:c>
      <x:c r="I67" s="12" t="str">
        <x:v>Tuần lễ định hướng tân sinh viên</x:v>
      </x:c>
      <x:c r="J67" s="12" t="str">
        <x:v>College of Engineering and Computer Science</x:v>
      </x:c>
      <x:c r="K67" s="12" t="n">
        <x:v>1</x:v>
      </x:c>
      <x:c r="L67" s="16" t="n">
        <x:v>129868000</x:v>
      </x:c>
      <x:c r="M67" s="16" t="n">
        <x:f>K67*L67</x:f>
        <x:v>129868000</x:v>
      </x:c>
      <x:c r="N67" s="12" t="str">
        <x:v>Cao</x:v>
      </x:c>
      <x:c r="O67" s="12" t="str">
        <x:v>Đã duyệt</x:v>
      </x:c>
      <x:c r="P67" s="12" t="str"/>
    </x:row>
    <x:row r="68">
      <x:c r="A68" s="12" t="str">
        <x:v>DT-CTSV-2026-067</x:v>
      </x:c>
      <x:c r="B68" s="12" t="str">
        <x:v>Phòng Công tác Sinh viên</x:v>
      </x:c>
      <x:c r="C68" s="12" t="n">
        <x:v>2026</x:v>
      </x:c>
      <x:c r="D68" s="12" t="str">
        <x:v>Q2</x:v>
      </x:c>
      <x:c r="E68" s="12" t="n">
        <x:v>6</x:v>
      </x:c>
      <x:c r="F68" s="12" t="str">
        <x:v>Student Clubs</x:v>
      </x:c>
      <x:c r="G68" s="12" t="str">
        <x:v>Hoạt động sinh viên</x:v>
      </x:c>
      <x:c r="H68" s="12" t="str">
        <x:v>Chi phí truyền thông nội bộ</x:v>
      </x:c>
      <x:c r="I68" s="12" t="str">
        <x:v>Hỗ trợ câu lạc bộ sinh viên</x:v>
      </x:c>
      <x:c r="J68" s="12" t="str">
        <x:v>Toàn trường</x:v>
      </x:c>
      <x:c r="K68" s="12" t="n">
        <x:v>1</x:v>
      </x:c>
      <x:c r="L68" s="16" t="n">
        <x:v>10245000</x:v>
      </x:c>
      <x:c r="M68" s="16" t="n">
        <x:f>K68*L68</x:f>
        <x:v>10245000</x:v>
      </x:c>
      <x:c r="N68" s="12" t="str">
        <x:v>Cao</x:v>
      </x:c>
      <x:c r="O68" s="12" t="str">
        <x:v>Đã duyệt</x:v>
      </x:c>
      <x:c r="P68" s="12" t="str"/>
    </x:row>
    <x:row r="69">
      <x:c r="A69" s="12" t="str">
        <x:v>DT-CTSV-2026-068</x:v>
      </x:c>
      <x:c r="B69" s="12" t="str">
        <x:v>Phòng Công tác Sinh viên</x:v>
      </x:c>
      <x:c r="C69" s="12" t="n">
        <x:v>2026</x:v>
      </x:c>
      <x:c r="D69" s="12" t="str">
        <x:v>Q2</x:v>
      </x:c>
      <x:c r="E69" s="12" t="n">
        <x:v>4</x:v>
      </x:c>
      <x:c r="F69" s="12" t="str">
        <x:v>Community Service</x:v>
      </x:c>
      <x:c r="G69" s="12" t="str">
        <x:v>Cộng đồng</x:v>
      </x:c>
      <x:c r="H69" s="12" t="str">
        <x:v>Vật phẩm hỗ trợ cộng đồng</x:v>
      </x:c>
      <x:c r="I69" s="12" t="str">
        <x:v>Hoạt động tình nguyện và phục vụ cộng đồng</x:v>
      </x:c>
      <x:c r="J69" s="12" t="str">
        <x:v>College of Arts and Sciences</x:v>
      </x:c>
      <x:c r="K69" s="12" t="n">
        <x:v>1</x:v>
      </x:c>
      <x:c r="L69" s="16" t="n">
        <x:v>43387000</x:v>
      </x:c>
      <x:c r="M69" s="16" t="n">
        <x:f>K69*L69</x:f>
        <x:v>43387000</x:v>
      </x:c>
      <x:c r="N69" s="12" t="str">
        <x:v>Trung bình</x:v>
      </x:c>
      <x:c r="O69" s="12" t="str">
        <x:v>Đã duyệt</x:v>
      </x:c>
      <x:c r="P69" s="12" t="str"/>
    </x:row>
    <x:row r="70">
      <x:c r="A70" s="12" t="str">
        <x:v>DT-CTSV-2026-069</x:v>
      </x:c>
      <x:c r="B70" s="12" t="str">
        <x:v>Phòng Công tác Sinh viên</x:v>
      </x:c>
      <x:c r="C70" s="12" t="n">
        <x:v>2026</x:v>
      </x:c>
      <x:c r="D70" s="12" t="str">
        <x:v>Q4</x:v>
      </x:c>
      <x:c r="E70" s="12" t="n">
        <x:v>11</x:v>
      </x:c>
      <x:c r="F70" s="12" t="str">
        <x:v>International Exchange</x:v>
      </x:c>
      <x:c r="G70" s="12" t="str">
        <x:v>Quốc tế</x:v>
      </x:c>
      <x:c r="H70" s="12" t="str">
        <x:v>Tài liệu và quà tặng</x:v>
      </x:c>
      <x:c r="I70" s="12" t="str">
        <x:v>Trao đổi sinh viên và hoạt động quốc tế</x:v>
      </x:c>
      <x:c r="J70" s="12" t="str">
        <x:v>College of Business and Management</x:v>
      </x:c>
      <x:c r="K70" s="12" t="n">
        <x:v>120</x:v>
      </x:c>
      <x:c r="L70" s="16" t="n">
        <x:v>172000</x:v>
      </x:c>
      <x:c r="M70" s="16" t="n">
        <x:f>K70*L70</x:f>
        <x:v>20640000</x:v>
      </x:c>
      <x:c r="N70" s="12" t="str">
        <x:v>Trung bình</x:v>
      </x:c>
      <x:c r="O70" s="12" t="str">
        <x:v>Chờ duyệt</x:v>
      </x:c>
      <x:c r="P70" s="12" t="str"/>
    </x:row>
    <x:row r="71">
      <x:c r="A71" s="12" t="str">
        <x:v>DT-CTSV-2026-070</x:v>
      </x:c>
      <x:c r="B71" s="12" t="str">
        <x:v>Phòng Công tác Sinh viên</x:v>
      </x:c>
      <x:c r="C71" s="12" t="n">
        <x:v>2026</x:v>
      </x:c>
      <x:c r="D71" s="12" t="str">
        <x:v>Q4</x:v>
      </x:c>
      <x:c r="E71" s="12" t="n">
        <x:v>11</x:v>
      </x:c>
      <x:c r="F71" s="12" t="str">
        <x:v>Community Service</x:v>
      </x:c>
      <x:c r="G71" s="12" t="str">
        <x:v>Cộng đồng</x:v>
      </x:c>
      <x:c r="H71" s="12" t="str">
        <x:v>Phương tiện di chuyển</x:v>
      </x:c>
      <x:c r="I71" s="12" t="str">
        <x:v>Hoạt động tình nguyện và phục vụ cộng đồng</x:v>
      </x:c>
      <x:c r="J71" s="12" t="str">
        <x:v>College of Health Sciences</x:v>
      </x:c>
      <x:c r="K71" s="12" t="n">
        <x:v>1</x:v>
      </x:c>
      <x:c r="L71" s="16" t="n">
        <x:v>27481000</x:v>
      </x:c>
      <x:c r="M71" s="16" t="n">
        <x:f>K71*L71</x:f>
        <x:v>27481000</x:v>
      </x:c>
      <x:c r="N71" s="12" t="str">
        <x:v>Trung bình</x:v>
      </x:c>
      <x:c r="O71" s="12" t="str">
        <x:v>Điều chỉnh</x:v>
      </x:c>
      <x:c r="P71" s="12" t="str"/>
    </x:row>
    <x:row r="72">
      <x:c r="A72" s="12" t="str">
        <x:v>DT-CTSV-2026-071</x:v>
      </x:c>
      <x:c r="B72" s="12" t="str">
        <x:v>Phòng Công tác Sinh viên</x:v>
      </x:c>
      <x:c r="C72" s="12" t="n">
        <x:v>2026</x:v>
      </x:c>
      <x:c r="D72" s="12" t="str">
        <x:v>Q2</x:v>
      </x:c>
      <x:c r="E72" s="12" t="n">
        <x:v>5</x:v>
      </x:c>
      <x:c r="F72" s="12" t="str">
        <x:v>Mental Health Program</x:v>
      </x:c>
      <x:c r="G72" s="12" t="str">
        <x:v>Tư vấn</x:v>
      </x:c>
      <x:c r="H72" s="12" t="str">
        <x:v>Tài liệu truyền thông sức khỏe tinh thần</x:v>
      </x:c>
      <x:c r="I72" s="12" t="str">
        <x:v>Tư vấn tâm lý và sức khỏe tinh thần</x:v>
      </x:c>
      <x:c r="J72" s="12" t="str">
        <x:v>College of Engineering and Computer Science</x:v>
      </x:c>
      <x:c r="K72" s="12" t="n">
        <x:v>583</x:v>
      </x:c>
      <x:c r="L72" s="16" t="n">
        <x:v>39000</x:v>
      </x:c>
      <x:c r="M72" s="16" t="n">
        <x:f>K72*L72</x:f>
        <x:v>22737000</x:v>
      </x:c>
      <x:c r="N72" s="12" t="str">
        <x:v>Cao</x:v>
      </x:c>
      <x:c r="O72" s="12" t="str">
        <x:v>Điều chỉnh</x:v>
      </x:c>
      <x:c r="P72" s="12" t="str"/>
    </x:row>
    <x:row r="73">
      <x:c r="A73" s="12" t="str">
        <x:v>DT-CTSV-2026-072</x:v>
      </x:c>
      <x:c r="B73" s="12" t="str">
        <x:v>Phòng Công tác Sinh viên</x:v>
      </x:c>
      <x:c r="C73" s="12" t="n">
        <x:v>2026</x:v>
      </x:c>
      <x:c r="D73" s="12" t="str">
        <x:v>Q3</x:v>
      </x:c>
      <x:c r="E73" s="12" t="n">
        <x:v>7</x:v>
      </x:c>
      <x:c r="F73" s="12" t="str">
        <x:v>Scholarship Program</x:v>
      </x:c>
      <x:c r="G73" s="12" t="str">
        <x:v>Học bổng</x:v>
      </x:c>
      <x:c r="H73" s="12" t="str">
        <x:v>Học bổng khuyến khích</x:v>
      </x:c>
      <x:c r="I73" s="12" t="str">
        <x:v>Học bổng và hỗ trợ tài chính</x:v>
      </x:c>
      <x:c r="J73" s="12" t="str">
        <x:v>College of Business and Management</x:v>
      </x:c>
      <x:c r="K73" s="12" t="n">
        <x:v>2</x:v>
      </x:c>
      <x:c r="L73" s="16" t="n">
        <x:v>22418000</x:v>
      </x:c>
      <x:c r="M73" s="16" t="n">
        <x:f>K73*L73</x:f>
        <x:v>44836000</x:v>
      </x:c>
      <x:c r="N73" s="12" t="str">
        <x:v>Cao</x:v>
      </x:c>
      <x:c r="O73" s="12" t="str">
        <x:v>Điều chỉnh</x:v>
      </x:c>
      <x:c r="P73" s="12" t="str"/>
    </x:row>
    <x:row r="74">
      <x:c r="A74" s="12" t="str">
        <x:v>DT-CTSV-2026-073</x:v>
      </x:c>
      <x:c r="B74" s="12" t="str">
        <x:v>Phòng Công tác Sinh viên</x:v>
      </x:c>
      <x:c r="C74" s="12" t="n">
        <x:v>2026</x:v>
      </x:c>
      <x:c r="D74" s="12" t="str">
        <x:v>Q3</x:v>
      </x:c>
      <x:c r="E74" s="12" t="n">
        <x:v>7</x:v>
      </x:c>
      <x:c r="F74" s="12" t="str">
        <x:v>Student Wellbeing</x:v>
      </x:c>
      <x:c r="G74" s="12" t="str">
        <x:v>Đời sống</x:v>
      </x:c>
      <x:c r="H74" s="12" t="str">
        <x:v>Hoạt động wellbeing</x:v>
      </x:c>
      <x:c r="I74" s="12" t="str">
        <x:v>Chăm sóc đời sống sinh viên</x:v>
      </x:c>
      <x:c r="J74" s="12" t="str">
        <x:v>College of Engineering and Computer Science</x:v>
      </x:c>
      <x:c r="K74" s="12" t="n">
        <x:v>3</x:v>
      </x:c>
      <x:c r="L74" s="16" t="n">
        <x:v>53257000</x:v>
      </x:c>
      <x:c r="M74" s="16" t="n">
        <x:f>K74*L74</x:f>
        <x:v>159771000</x:v>
      </x:c>
      <x:c r="N74" s="12" t="str">
        <x:v>Cao</x:v>
      </x:c>
      <x:c r="O74" s="12" t="str">
        <x:v>Chờ duyệt</x:v>
      </x:c>
      <x:c r="P74" s="12" t="str"/>
    </x:row>
    <x:row r="75">
      <x:c r="A75" s="12" t="str">
        <x:v>DT-CTSV-2026-074</x:v>
      </x:c>
      <x:c r="B75" s="12" t="str">
        <x:v>Phòng Công tác Sinh viên</x:v>
      </x:c>
      <x:c r="C75" s="12" t="n">
        <x:v>2026</x:v>
      </x:c>
      <x:c r="D75" s="12" t="str">
        <x:v>Q4</x:v>
      </x:c>
      <x:c r="E75" s="12" t="n">
        <x:v>10</x:v>
      </x:c>
      <x:c r="F75" s="12" t="str">
        <x:v>Career Fair</x:v>
      </x:c>
      <x:c r="G75" s="12" t="str">
        <x:v>Nghề nghiệp</x:v>
      </x:c>
      <x:c r="H75" s="12" t="str">
        <x:v>In ấn tài liệu career fair</x:v>
      </x:c>
      <x:c r="I75" s="12" t="str">
        <x:v>Ngày hội việc làm và kết nối doanh nghiệp</x:v>
      </x:c>
      <x:c r="J75" s="12" t="str">
        <x:v>College of Arts and Sciences</x:v>
      </x:c>
      <x:c r="K75" s="12" t="n">
        <x:v>337</x:v>
      </x:c>
      <x:c r="L75" s="16" t="n">
        <x:v>48000</x:v>
      </x:c>
      <x:c r="M75" s="16" t="n">
        <x:f>K75*L75</x:f>
        <x:v>16176000</x:v>
      </x:c>
      <x:c r="N75" s="12" t="str">
        <x:v>Cao</x:v>
      </x:c>
      <x:c r="O75" s="12" t="str">
        <x:v>Chờ duyệt</x:v>
      </x:c>
      <x:c r="P75" s="12" t="str"/>
    </x:row>
    <x:row r="76">
      <x:c r="A76" s="12" t="str">
        <x:v>DT-CTSV-2026-075</x:v>
      </x:c>
      <x:c r="B76" s="12" t="str">
        <x:v>Phòng Công tác Sinh viên</x:v>
      </x:c>
      <x:c r="C76" s="12" t="n">
        <x:v>2026</x:v>
      </x:c>
      <x:c r="D76" s="12" t="str">
        <x:v>Q4</x:v>
      </x:c>
      <x:c r="E76" s="12" t="n">
        <x:v>12</x:v>
      </x:c>
      <x:c r="F76" s="12" t="str">
        <x:v>Career Fair</x:v>
      </x:c>
      <x:c r="G76" s="12" t="str">
        <x:v>Nghề nghiệp</x:v>
      </x:c>
      <x:c r="H76" s="12" t="str">
        <x:v>In ấn tài liệu career fair</x:v>
      </x:c>
      <x:c r="I76" s="12" t="str">
        <x:v>Ngày hội việc làm và kết nối doanh nghiệp</x:v>
      </x:c>
      <x:c r="J76" s="12" t="str">
        <x:v>Toàn trường</x:v>
      </x:c>
      <x:c r="K76" s="12" t="n">
        <x:v>245</x:v>
      </x:c>
      <x:c r="L76" s="16" t="n">
        <x:v>44000</x:v>
      </x:c>
      <x:c r="M76" s="16" t="n">
        <x:f>K76*L76</x:f>
        <x:v>10780000</x:v>
      </x:c>
      <x:c r="N76" s="12" t="str">
        <x:v>Cao</x:v>
      </x:c>
      <x:c r="O76" s="12" t="str">
        <x:v>Điều chỉnh</x:v>
      </x:c>
      <x:c r="P76" s="12" t="str"/>
    </x:row>
    <x:row r="77">
      <x:c r="A77" s="12" t="str">
        <x:v>DT-CTSV-2026-076</x:v>
      </x:c>
      <x:c r="B77" s="12" t="str">
        <x:v>Phòng Công tác Sinh viên</x:v>
      </x:c>
      <x:c r="C77" s="12" t="n">
        <x:v>2026</x:v>
      </x:c>
      <x:c r="D77" s="12" t="str">
        <x:v>Q1</x:v>
      </x:c>
      <x:c r="E77" s="12" t="n">
        <x:v>2</x:v>
      </x:c>
      <x:c r="F77" s="12" t="str">
        <x:v>Student Wellbeing</x:v>
      </x:c>
      <x:c r="G77" s="12" t="str">
        <x:v>Đời sống</x:v>
      </x:c>
      <x:c r="H77" s="12" t="str">
        <x:v>Hoạt động wellbeing</x:v>
      </x:c>
      <x:c r="I77" s="12" t="str">
        <x:v>Chăm sóc đời sống sinh viên</x:v>
      </x:c>
      <x:c r="J77" s="12" t="str">
        <x:v>College of Business and Management</x:v>
      </x:c>
      <x:c r="K77" s="12" t="n">
        <x:v>1</x:v>
      </x:c>
      <x:c r="L77" s="16" t="n">
        <x:v>50360000</x:v>
      </x:c>
      <x:c r="M77" s="16" t="n">
        <x:f>K77*L77</x:f>
        <x:v>50360000</x:v>
      </x:c>
      <x:c r="N77" s="12" t="str">
        <x:v>Cao</x:v>
      </x:c>
      <x:c r="O77" s="12" t="str">
        <x:v>Đã duyệt</x:v>
      </x:c>
      <x:c r="P77" s="12" t="str"/>
    </x:row>
    <x:row r="78">
      <x:c r="A78" s="12" t="str">
        <x:v>DT-CTSV-2026-077</x:v>
      </x:c>
      <x:c r="B78" s="12" t="str">
        <x:v>Phòng Công tác Sinh viên</x:v>
      </x:c>
      <x:c r="C78" s="12" t="n">
        <x:v>2026</x:v>
      </x:c>
      <x:c r="D78" s="12" t="str">
        <x:v>Q1</x:v>
      </x:c>
      <x:c r="E78" s="12" t="n">
        <x:v>1</x:v>
      </x:c>
      <x:c r="F78" s="12" t="str">
        <x:v>Scholarship Program</x:v>
      </x:c>
      <x:c r="G78" s="12" t="str">
        <x:v>Học bổng</x:v>
      </x:c>
      <x:c r="H78" s="12" t="str">
        <x:v>Học bổng khuyến khích</x:v>
      </x:c>
      <x:c r="I78" s="12" t="str">
        <x:v>Học bổng và hỗ trợ tài chính</x:v>
      </x:c>
      <x:c r="J78" s="12" t="str">
        <x:v>Toàn trường</x:v>
      </x:c>
      <x:c r="K78" s="12" t="n">
        <x:v>1</x:v>
      </x:c>
      <x:c r="L78" s="16" t="n">
        <x:v>24871000</x:v>
      </x:c>
      <x:c r="M78" s="16" t="n">
        <x:f>K78*L78</x:f>
        <x:v>24871000</x:v>
      </x:c>
      <x:c r="N78" s="12" t="str">
        <x:v>Cao</x:v>
      </x:c>
      <x:c r="O78" s="12" t="str">
        <x:v>Đã duyệt</x:v>
      </x:c>
      <x:c r="P78" s="12" t="str"/>
    </x:row>
    <x:row r="79">
      <x:c r="A79" s="12" t="str">
        <x:v>DT-CTSV-2026-078</x:v>
      </x:c>
      <x:c r="B79" s="12" t="str">
        <x:v>Phòng Công tác Sinh viên</x:v>
      </x:c>
      <x:c r="C79" s="12" t="n">
        <x:v>2026</x:v>
      </x:c>
      <x:c r="D79" s="12" t="str">
        <x:v>Q4</x:v>
      </x:c>
      <x:c r="E79" s="12" t="n">
        <x:v>11</x:v>
      </x:c>
      <x:c r="F79" s="12" t="str">
        <x:v>Graduation Ceremony</x:v>
      </x:c>
      <x:c r="G79" s="12" t="str">
        <x:v>Sự kiện</x:v>
      </x:c>
      <x:c r="H79" s="12" t="str">
        <x:v>Thiết kế backdrop</x:v>
      </x:c>
      <x:c r="I79" s="12" t="str">
        <x:v>Lễ tốt nghiệp và vinh danh sinh viên</x:v>
      </x:c>
      <x:c r="J79" s="12" t="str">
        <x:v>College of Arts and Sciences</x:v>
      </x:c>
      <x:c r="K79" s="12" t="n">
        <x:v>3</x:v>
      </x:c>
      <x:c r="L79" s="16" t="n">
        <x:v>11133000</x:v>
      </x:c>
      <x:c r="M79" s="16" t="n">
        <x:f>K79*L79</x:f>
        <x:v>33399000</x:v>
      </x:c>
      <x:c r="N79" s="12" t="str">
        <x:v>Cao</x:v>
      </x:c>
      <x:c r="O79" s="12" t="str">
        <x:v>Chờ duyệt</x:v>
      </x:c>
      <x:c r="P79" s="12" t="str"/>
    </x:row>
    <x:row r="80">
      <x:c r="A80" s="12" t="str">
        <x:v>DT-CTSV-2026-079</x:v>
      </x:c>
      <x:c r="B80" s="12" t="str">
        <x:v>Phòng Công tác Sinh viên</x:v>
      </x:c>
      <x:c r="C80" s="12" t="n">
        <x:v>2026</x:v>
      </x:c>
      <x:c r="D80" s="12" t="str">
        <x:v>Q1</x:v>
      </x:c>
      <x:c r="E80" s="12" t="n">
        <x:v>3</x:v>
      </x:c>
      <x:c r="F80" s="12" t="str">
        <x:v>Community Service</x:v>
      </x:c>
      <x:c r="G80" s="12" t="str">
        <x:v>Cộng đồng</x:v>
      </x:c>
      <x:c r="H80" s="12" t="str">
        <x:v>Phương tiện di chuyển</x:v>
      </x:c>
      <x:c r="I80" s="12" t="str">
        <x:v>Hoạt động tình nguyện và phục vụ cộng đồng</x:v>
      </x:c>
      <x:c r="J80" s="12" t="str">
        <x:v>College of Health Sciences</x:v>
      </x:c>
      <x:c r="K80" s="12" t="n">
        <x:v>1</x:v>
      </x:c>
      <x:c r="L80" s="16" t="n">
        <x:v>30176000</x:v>
      </x:c>
      <x:c r="M80" s="16" t="n">
        <x:f>K80*L80</x:f>
        <x:v>30176000</x:v>
      </x:c>
      <x:c r="N80" s="12" t="str">
        <x:v>Trung bình</x:v>
      </x:c>
      <x:c r="O80" s="12" t="str">
        <x:v>Chờ duyệt</x:v>
      </x:c>
      <x:c r="P80" s="12" t="str"/>
    </x:row>
    <x:row r="81">
      <x:c r="A81" s="12" t="str">
        <x:v>DT-CTSV-2026-080</x:v>
      </x:c>
      <x:c r="B81" s="12" t="str">
        <x:v>Phòng Công tác Sinh viên</x:v>
      </x:c>
      <x:c r="C81" s="12" t="n">
        <x:v>2026</x:v>
      </x:c>
      <x:c r="D81" s="12" t="str">
        <x:v>Q4</x:v>
      </x:c>
      <x:c r="E81" s="12" t="n">
        <x:v>12</x:v>
      </x:c>
      <x:c r="F81" s="12" t="str">
        <x:v>Career Fair</x:v>
      </x:c>
      <x:c r="G81" s="12" t="str">
        <x:v>Nghề nghiệp</x:v>
      </x:c>
      <x:c r="H81" s="12" t="str">
        <x:v>Workshop kỹ năng nghề nghiệp</x:v>
      </x:c>
      <x:c r="I81" s="12" t="str">
        <x:v>Ngày hội việc làm và kết nối doanh nghiệp</x:v>
      </x:c>
      <x:c r="J81" s="12" t="str">
        <x:v>Toàn trường</x:v>
      </x:c>
      <x:c r="K81" s="12" t="n">
        <x:v>3</x:v>
      </x:c>
      <x:c r="L81" s="16" t="n">
        <x:v>41432000</x:v>
      </x:c>
      <x:c r="M81" s="16" t="n">
        <x:f>K81*L81</x:f>
        <x:v>124296000</x:v>
      </x:c>
      <x:c r="N81" s="12" t="str">
        <x:v>Cao</x:v>
      </x:c>
      <x:c r="O81" s="12" t="str">
        <x:v>Đã duyệt</x:v>
      </x:c>
      <x:c r="P81" s="12" t="str"/>
    </x:row>
    <x:row r="82">
      <x:c r="A82" s="12" t="str">
        <x:v>DT-CTSV-2026-081</x:v>
      </x:c>
      <x:c r="B82" s="12" t="str">
        <x:v>Phòng Công tác Sinh viên</x:v>
      </x:c>
      <x:c r="C82" s="12" t="n">
        <x:v>2026</x:v>
      </x:c>
      <x:c r="D82" s="12" t="str">
        <x:v>Q1</x:v>
      </x:c>
      <x:c r="E82" s="12" t="n">
        <x:v>3</x:v>
      </x:c>
      <x:c r="F82" s="12" t="str">
        <x:v>Student Clubs</x:v>
      </x:c>
      <x:c r="G82" s="12" t="str">
        <x:v>Hoạt động sinh viên</x:v>
      </x:c>
      <x:c r="H82" s="12" t="str">
        <x:v>Chi phí truyền thông nội bộ</x:v>
      </x:c>
      <x:c r="I82" s="12" t="str">
        <x:v>Hỗ trợ câu lạc bộ sinh viên</x:v>
      </x:c>
      <x:c r="J82" s="12" t="str">
        <x:v>Toàn trường</x:v>
      </x:c>
      <x:c r="K82" s="12" t="n">
        <x:v>2</x:v>
      </x:c>
      <x:c r="L82" s="16" t="n">
        <x:v>11170000</x:v>
      </x:c>
      <x:c r="M82" s="16" t="n">
        <x:f>K82*L82</x:f>
        <x:v>22340000</x:v>
      </x:c>
      <x:c r="N82" s="12" t="str">
        <x:v>Cao</x:v>
      </x:c>
      <x:c r="O82" s="12" t="str">
        <x:v>Điều chỉnh</x:v>
      </x:c>
      <x:c r="P82" s="12" t="str"/>
    </x:row>
    <x:row r="83">
      <x:c r="A83" s="12" t="str">
        <x:v>DT-CTSV-2026-082</x:v>
      </x:c>
      <x:c r="B83" s="12" t="str">
        <x:v>Phòng Công tác Sinh viên</x:v>
      </x:c>
      <x:c r="C83" s="12" t="n">
        <x:v>2026</x:v>
      </x:c>
      <x:c r="D83" s="12" t="str">
        <x:v>Q4</x:v>
      </x:c>
      <x:c r="E83" s="12" t="n">
        <x:v>10</x:v>
      </x:c>
      <x:c r="F83" s="12" t="str">
        <x:v>Student Leadership</x:v>
      </x:c>
      <x:c r="G83" s="12" t="str">
        <x:v>Đào tạo</x:v>
      </x:c>
      <x:c r="H83" s="12" t="str">
        <x:v>Tài liệu tập huấn</x:v>
      </x:c>
      <x:c r="I83" s="12" t="str">
        <x:v>Đào tạo cán bộ lớp và thủ lĩnh sinh viên</x:v>
      </x:c>
      <x:c r="J83" s="12" t="str">
        <x:v>College of Arts and Sciences</x:v>
      </x:c>
      <x:c r="K83" s="12" t="n">
        <x:v>127</x:v>
      </x:c>
      <x:c r="L83" s="16" t="n">
        <x:v>96000</x:v>
      </x:c>
      <x:c r="M83" s="16" t="n">
        <x:f>K83*L83</x:f>
        <x:v>12192000</x:v>
      </x:c>
      <x:c r="N83" s="12" t="str">
        <x:v>Trung bình</x:v>
      </x:c>
      <x:c r="O83" s="12" t="str">
        <x:v>Điều chỉnh</x:v>
      </x:c>
      <x:c r="P83" s="12" t="str"/>
    </x:row>
    <x:row r="84">
      <x:c r="A84" s="12" t="str">
        <x:v>DT-CTSV-2026-083</x:v>
      </x:c>
      <x:c r="B84" s="12" t="str">
        <x:v>Phòng Công tác Sinh viên</x:v>
      </x:c>
      <x:c r="C84" s="12" t="n">
        <x:v>2026</x:v>
      </x:c>
      <x:c r="D84" s="12" t="str">
        <x:v>Q4</x:v>
      </x:c>
      <x:c r="E84" s="12" t="n">
        <x:v>12</x:v>
      </x:c>
      <x:c r="F84" s="12" t="str">
        <x:v>Graduation Ceremony</x:v>
      </x:c>
      <x:c r="G84" s="12" t="str">
        <x:v>Sự kiện</x:v>
      </x:c>
      <x:c r="H84" s="12" t="str">
        <x:v>Âm thanh ánh sáng</x:v>
      </x:c>
      <x:c r="I84" s="12" t="str">
        <x:v>Lễ tốt nghiệp và vinh danh sinh viên</x:v>
      </x:c>
      <x:c r="J84" s="12" t="str">
        <x:v>College of Business and Management</x:v>
      </x:c>
      <x:c r="K84" s="12" t="n">
        <x:v>2</x:v>
      </x:c>
      <x:c r="L84" s="16" t="n">
        <x:v>82402000</x:v>
      </x:c>
      <x:c r="M84" s="16" t="n">
        <x:f>K84*L84</x:f>
        <x:v>164804000</x:v>
      </x:c>
      <x:c r="N84" s="12" t="str">
        <x:v>Cao</x:v>
      </x:c>
      <x:c r="O84" s="12" t="str">
        <x:v>Điều chỉnh</x:v>
      </x:c>
      <x:c r="P84" s="12" t="str"/>
    </x:row>
    <x:row r="85">
      <x:c r="A85" s="12" t="str">
        <x:v>DT-CTSV-2026-084</x:v>
      </x:c>
      <x:c r="B85" s="12" t="str">
        <x:v>Phòng Công tác Sinh viên</x:v>
      </x:c>
      <x:c r="C85" s="12" t="n">
        <x:v>2026</x:v>
      </x:c>
      <x:c r="D85" s="12" t="str">
        <x:v>Q3</x:v>
      </x:c>
      <x:c r="E85" s="12" t="n">
        <x:v>8</x:v>
      </x:c>
      <x:c r="F85" s="12" t="str">
        <x:v>Mental Health Program</x:v>
      </x:c>
      <x:c r="G85" s="12" t="str">
        <x:v>Tư vấn</x:v>
      </x:c>
      <x:c r="H85" s="12" t="str">
        <x:v>Tài liệu truyền thông sức khỏe tinh thần</x:v>
      </x:c>
      <x:c r="I85" s="12" t="str">
        <x:v>Tư vấn tâm lý và sức khỏe tinh thần</x:v>
      </x:c>
      <x:c r="J85" s="12" t="str">
        <x:v>College of Health Sciences</x:v>
      </x:c>
      <x:c r="K85" s="12" t="n">
        <x:v>569</x:v>
      </x:c>
      <x:c r="L85" s="16" t="n">
        <x:v>38000</x:v>
      </x:c>
      <x:c r="M85" s="16" t="n">
        <x:f>K85*L85</x:f>
        <x:v>21622000</x:v>
      </x:c>
      <x:c r="N85" s="12" t="str">
        <x:v>Cao</x:v>
      </x:c>
      <x:c r="O85" s="12" t="str">
        <x:v>Điều chỉnh</x:v>
      </x:c>
      <x:c r="P85" s="12" t="str"/>
    </x:row>
    <x:row r="86">
      <x:c r="A86" s="12" t="str">
        <x:v>DT-CTSV-2026-085</x:v>
      </x:c>
      <x:c r="B86" s="12" t="str">
        <x:v>Phòng Công tác Sinh viên</x:v>
      </x:c>
      <x:c r="C86" s="12" t="n">
        <x:v>2026</x:v>
      </x:c>
      <x:c r="D86" s="12" t="str">
        <x:v>Q2</x:v>
      </x:c>
      <x:c r="E86" s="12" t="n">
        <x:v>5</x:v>
      </x:c>
      <x:c r="F86" s="12" t="str">
        <x:v>Mental Health Program</x:v>
      </x:c>
      <x:c r="G86" s="12" t="str">
        <x:v>Tư vấn</x:v>
      </x:c>
      <x:c r="H86" s="12" t="str">
        <x:v>Chuyên gia tư vấn tâm lý</x:v>
      </x:c>
      <x:c r="I86" s="12" t="str">
        <x:v>Tư vấn tâm lý và sức khỏe tinh thần</x:v>
      </x:c>
      <x:c r="J86" s="12" t="str">
        <x:v>Toàn trường</x:v>
      </x:c>
      <x:c r="K86" s="12" t="n">
        <x:v>1</x:v>
      </x:c>
      <x:c r="L86" s="16" t="n">
        <x:v>14668000</x:v>
      </x:c>
      <x:c r="M86" s="16" t="n">
        <x:f>K86*L86</x:f>
        <x:v>14668000</x:v>
      </x:c>
      <x:c r="N86" s="12" t="str">
        <x:v>Cao</x:v>
      </x:c>
      <x:c r="O86" s="12" t="str">
        <x:v>Đã duyệt</x:v>
      </x:c>
      <x:c r="P86" s="12" t="str"/>
    </x:row>
    <x:row r="87">
      <x:c r="A87" s="12" t="str">
        <x:v>DT-CTSV-2026-086</x:v>
      </x:c>
      <x:c r="B87" s="12" t="str">
        <x:v>Phòng Công tác Sinh viên</x:v>
      </x:c>
      <x:c r="C87" s="12" t="n">
        <x:v>2026</x:v>
      </x:c>
      <x:c r="D87" s="12" t="str">
        <x:v>Q2</x:v>
      </x:c>
      <x:c r="E87" s="12" t="n">
        <x:v>4</x:v>
      </x:c>
      <x:c r="F87" s="12" t="str">
        <x:v>Scholarship Program</x:v>
      </x:c>
      <x:c r="G87" s="12" t="str">
        <x:v>Học bổng</x:v>
      </x:c>
      <x:c r="H87" s="12" t="str">
        <x:v>Học bổng khuyến khích</x:v>
      </x:c>
      <x:c r="I87" s="12" t="str">
        <x:v>Học bổng và hỗ trợ tài chính</x:v>
      </x:c>
      <x:c r="J87" s="12" t="str">
        <x:v>College of Business and Management</x:v>
      </x:c>
      <x:c r="K87" s="12" t="n">
        <x:v>2</x:v>
      </x:c>
      <x:c r="L87" s="16" t="n">
        <x:v>22551000</x:v>
      </x:c>
      <x:c r="M87" s="16" t="n">
        <x:f>K87*L87</x:f>
        <x:v>45102000</x:v>
      </x:c>
      <x:c r="N87" s="12" t="str">
        <x:v>Cao</x:v>
      </x:c>
      <x:c r="O87" s="12" t="str">
        <x:v>Đã duyệt</x:v>
      </x:c>
      <x:c r="P87" s="12" t="str"/>
    </x:row>
    <x:row r="88">
      <x:c r="A88" s="12" t="str">
        <x:v>DT-CTSV-2026-087</x:v>
      </x:c>
      <x:c r="B88" s="12" t="str">
        <x:v>Phòng Công tác Sinh viên</x:v>
      </x:c>
      <x:c r="C88" s="12" t="n">
        <x:v>2026</x:v>
      </x:c>
      <x:c r="D88" s="12" t="str">
        <x:v>Q2</x:v>
      </x:c>
      <x:c r="E88" s="12" t="n">
        <x:v>6</x:v>
      </x:c>
      <x:c r="F88" s="12" t="str">
        <x:v>Community Service</x:v>
      </x:c>
      <x:c r="G88" s="12" t="str">
        <x:v>Cộng đồng</x:v>
      </x:c>
      <x:c r="H88" s="12" t="str">
        <x:v>Áo tình nguyện</x:v>
      </x:c>
      <x:c r="I88" s="12" t="str">
        <x:v>Hoạt động tình nguyện và phục vụ cộng đồng</x:v>
      </x:c>
      <x:c r="J88" s="12" t="str">
        <x:v>College of Business and Management</x:v>
      </x:c>
      <x:c r="K88" s="12" t="n">
        <x:v>215</x:v>
      </x:c>
      <x:c r="L88" s="16" t="n">
        <x:v>121000</x:v>
      </x:c>
      <x:c r="M88" s="16" t="n">
        <x:f>K88*L88</x:f>
        <x:v>26015000</x:v>
      </x:c>
      <x:c r="N88" s="12" t="str">
        <x:v>Trung bình</x:v>
      </x:c>
      <x:c r="O88" s="12" t="str">
        <x:v>Chờ duyệt</x:v>
      </x:c>
      <x:c r="P88" s="12" t="str"/>
    </x:row>
    <x:row r="89">
      <x:c r="A89" s="12" t="str">
        <x:v>DT-CTSV-2026-088</x:v>
      </x:c>
      <x:c r="B89" s="12" t="str">
        <x:v>Phòng Công tác Sinh viên</x:v>
      </x:c>
      <x:c r="C89" s="12" t="n">
        <x:v>2026</x:v>
      </x:c>
      <x:c r="D89" s="12" t="str">
        <x:v>Q4</x:v>
      </x:c>
      <x:c r="E89" s="12" t="n">
        <x:v>12</x:v>
      </x:c>
      <x:c r="F89" s="12" t="str">
        <x:v>Community Service</x:v>
      </x:c>
      <x:c r="G89" s="12" t="str">
        <x:v>Cộng đồng</x:v>
      </x:c>
      <x:c r="H89" s="12" t="str">
        <x:v>Vật phẩm hỗ trợ cộng đồng</x:v>
      </x:c>
      <x:c r="I89" s="12" t="str">
        <x:v>Hoạt động tình nguyện và phục vụ cộng đồng</x:v>
      </x:c>
      <x:c r="J89" s="12" t="str">
        <x:v>Toàn trường</x:v>
      </x:c>
      <x:c r="K89" s="12" t="n">
        <x:v>1</x:v>
      </x:c>
      <x:c r="L89" s="16" t="n">
        <x:v>59634000</x:v>
      </x:c>
      <x:c r="M89" s="16" t="n">
        <x:f>K89*L89</x:f>
        <x:v>59634000</x:v>
      </x:c>
      <x:c r="N89" s="12" t="str">
        <x:v>Trung bình</x:v>
      </x:c>
      <x:c r="O89" s="12" t="str">
        <x:v>Chờ duyệt</x:v>
      </x:c>
      <x:c r="P89" s="12" t="str"/>
    </x:row>
    <x:row r="90">
      <x:c r="A90" s="12" t="str">
        <x:v>DT-CTSV-2026-089</x:v>
      </x:c>
      <x:c r="B90" s="12" t="str">
        <x:v>Phòng Công tác Sinh viên</x:v>
      </x:c>
      <x:c r="C90" s="12" t="n">
        <x:v>2026</x:v>
      </x:c>
      <x:c r="D90" s="12" t="str">
        <x:v>Q2</x:v>
      </x:c>
      <x:c r="E90" s="12" t="n">
        <x:v>6</x:v>
      </x:c>
      <x:c r="F90" s="12" t="str">
        <x:v>Graduation Ceremony</x:v>
      </x:c>
      <x:c r="G90" s="12" t="str">
        <x:v>Sự kiện</x:v>
      </x:c>
      <x:c r="H90" s="12" t="str">
        <x:v>Thuê địa điểm/sân khấu</x:v>
      </x:c>
      <x:c r="I90" s="12" t="str">
        <x:v>Lễ tốt nghiệp và vinh danh sinh viên</x:v>
      </x:c>
      <x:c r="J90" s="12" t="str">
        <x:v>College of Arts and Sciences</x:v>
      </x:c>
      <x:c r="K90" s="12" t="n">
        <x:v>1</x:v>
      </x:c>
      <x:c r="L90" s="16" t="n">
        <x:v>138166000</x:v>
      </x:c>
      <x:c r="M90" s="16" t="n">
        <x:f>K90*L90</x:f>
        <x:v>138166000</x:v>
      </x:c>
      <x:c r="N90" s="12" t="str">
        <x:v>Cao</x:v>
      </x:c>
      <x:c r="O90" s="12" t="str">
        <x:v>Điều chỉnh</x:v>
      </x:c>
      <x:c r="P90" s="12" t="str"/>
    </x:row>
    <x:row r="91">
      <x:c r="A91" s="12" t="str">
        <x:v>DT-CTSV-2026-090</x:v>
      </x:c>
      <x:c r="B91" s="12" t="str">
        <x:v>Phòng Công tác Sinh viên</x:v>
      </x:c>
      <x:c r="C91" s="12" t="n">
        <x:v>2026</x:v>
      </x:c>
      <x:c r="D91" s="12" t="str">
        <x:v>Q2</x:v>
      </x:c>
      <x:c r="E91" s="12" t="n">
        <x:v>4</x:v>
      </x:c>
      <x:c r="F91" s="12" t="str">
        <x:v>International Exchange</x:v>
      </x:c>
      <x:c r="G91" s="12" t="str">
        <x:v>Quốc tế</x:v>
      </x:c>
      <x:c r="H91" s="12" t="str">
        <x:v>Tài liệu và quà tặng</x:v>
      </x:c>
      <x:c r="I91" s="12" t="str">
        <x:v>Trao đổi sinh viên và hoạt động quốc tế</x:v>
      </x:c>
      <x:c r="J91" s="12" t="str">
        <x:v>College of Arts and Sciences</x:v>
      </x:c>
      <x:c r="K91" s="12" t="n">
        <x:v>104</x:v>
      </x:c>
      <x:c r="L91" s="16" t="n">
        <x:v>143000</x:v>
      </x:c>
      <x:c r="M91" s="16" t="n">
        <x:f>K91*L91</x:f>
        <x:v>14872000</x:v>
      </x:c>
      <x:c r="N91" s="12" t="str">
        <x:v>Trung bình</x:v>
      </x:c>
      <x:c r="O91" s="12" t="str">
        <x:v>Đã duyệt</x:v>
      </x:c>
      <x:c r="P91" s="12" t="str"/>
    </x:row>
    <x:row r="92">
      <x:c r="A92" s="12" t="str">
        <x:v>DT-CTSV-2026-091</x:v>
      </x:c>
      <x:c r="B92" s="12" t="str">
        <x:v>Phòng Công tác Sinh viên</x:v>
      </x:c>
      <x:c r="C92" s="12" t="n">
        <x:v>2026</x:v>
      </x:c>
      <x:c r="D92" s="12" t="str">
        <x:v>Q4</x:v>
      </x:c>
      <x:c r="E92" s="12" t="n">
        <x:v>11</x:v>
      </x:c>
      <x:c r="F92" s="12" t="str">
        <x:v>Community Service</x:v>
      </x:c>
      <x:c r="G92" s="12" t="str">
        <x:v>Cộng đồng</x:v>
      </x:c>
      <x:c r="H92" s="12" t="str">
        <x:v>Áo tình nguyện</x:v>
      </x:c>
      <x:c r="I92" s="12" t="str">
        <x:v>Hoạt động tình nguyện và phục vụ cộng đồng</x:v>
      </x:c>
      <x:c r="J92" s="12" t="str">
        <x:v>College of Business and Management</x:v>
      </x:c>
      <x:c r="K92" s="12" t="n">
        <x:v>235</x:v>
      </x:c>
      <x:c r="L92" s="16" t="n">
        <x:v>121000</x:v>
      </x:c>
      <x:c r="M92" s="16" t="n">
        <x:f>K92*L92</x:f>
        <x:v>28435000</x:v>
      </x:c>
      <x:c r="N92" s="12" t="str">
        <x:v>Trung bình</x:v>
      </x:c>
      <x:c r="O92" s="12" t="str">
        <x:v>Chờ duyệt</x:v>
      </x:c>
      <x:c r="P92" s="12" t="str"/>
    </x:row>
    <x:row r="93">
      <x:c r="A93" s="12" t="str">
        <x:v>DT-CTSV-2026-092</x:v>
      </x:c>
      <x:c r="B93" s="12" t="str">
        <x:v>Phòng Công tác Sinh viên</x:v>
      </x:c>
      <x:c r="C93" s="12" t="n">
        <x:v>2026</x:v>
      </x:c>
      <x:c r="D93" s="12" t="str">
        <x:v>Q3</x:v>
      </x:c>
      <x:c r="E93" s="12" t="n">
        <x:v>9</x:v>
      </x:c>
      <x:c r="F93" s="12" t="str">
        <x:v>Scholarship Program</x:v>
      </x:c>
      <x:c r="G93" s="12" t="str">
        <x:v>Học bổng</x:v>
      </x:c>
      <x:c r="H93" s="12" t="str">
        <x:v>Học bổng lãnh đạo sinh viên</x:v>
      </x:c>
      <x:c r="I93" s="12" t="str">
        <x:v>Học bổng và hỗ trợ tài chính</x:v>
      </x:c>
      <x:c r="J93" s="12" t="str">
        <x:v>Toàn trường</x:v>
      </x:c>
      <x:c r="K93" s="12" t="n">
        <x:v>1</x:v>
      </x:c>
      <x:c r="L93" s="16" t="n">
        <x:v>30319000</x:v>
      </x:c>
      <x:c r="M93" s="16" t="n">
        <x:f>K93*L93</x:f>
        <x:v>30319000</x:v>
      </x:c>
      <x:c r="N93" s="12" t="str">
        <x:v>Cao</x:v>
      </x:c>
      <x:c r="O93" s="12" t="str">
        <x:v>Điều chỉnh</x:v>
      </x:c>
      <x:c r="P93" s="12" t="str"/>
    </x:row>
    <x:row r="94">
      <x:c r="A94" s="12" t="str">
        <x:v>DT-CTSV-2026-093</x:v>
      </x:c>
      <x:c r="B94" s="12" t="str">
        <x:v>Phòng Công tác Sinh viên</x:v>
      </x:c>
      <x:c r="C94" s="12" t="n">
        <x:v>2026</x:v>
      </x:c>
      <x:c r="D94" s="12" t="str">
        <x:v>Q4</x:v>
      </x:c>
      <x:c r="E94" s="12" t="n">
        <x:v>11</x:v>
      </x:c>
      <x:c r="F94" s="12" t="str">
        <x:v>Orientation Week</x:v>
      </x:c>
      <x:c r="G94" s="12" t="str">
        <x:v>Sự kiện</x:v>
      </x:c>
      <x:c r="H94" s="12" t="str">
        <x:v>Thuê địa điểm/sân khấu</x:v>
      </x:c>
      <x:c r="I94" s="12" t="str">
        <x:v>Tuần lễ định hướng tân sinh viên</x:v>
      </x:c>
      <x:c r="J94" s="12" t="str">
        <x:v>College of Arts and Sciences</x:v>
      </x:c>
      <x:c r="K94" s="12" t="n">
        <x:v>2</x:v>
      </x:c>
      <x:c r="L94" s="16" t="n">
        <x:v>108513000</x:v>
      </x:c>
      <x:c r="M94" s="16" t="n">
        <x:f>K94*L94</x:f>
        <x:v>217026000</x:v>
      </x:c>
      <x:c r="N94" s="12" t="str">
        <x:v>Cao</x:v>
      </x:c>
      <x:c r="O94" s="12" t="str">
        <x:v>Đã duyệt</x:v>
      </x:c>
      <x:c r="P94" s="12" t="str"/>
    </x:row>
    <x:row r="95">
      <x:c r="A95" s="12" t="str">
        <x:v>DT-CTSV-2026-094</x:v>
      </x:c>
      <x:c r="B95" s="12" t="str">
        <x:v>Phòng Công tác Sinh viên</x:v>
      </x:c>
      <x:c r="C95" s="12" t="n">
        <x:v>2026</x:v>
      </x:c>
      <x:c r="D95" s="12" t="str">
        <x:v>Q3</x:v>
      </x:c>
      <x:c r="E95" s="12" t="n">
        <x:v>7</x:v>
      </x:c>
      <x:c r="F95" s="12" t="str">
        <x:v>Orientation Week</x:v>
      </x:c>
      <x:c r="G95" s="12" t="str">
        <x:v>Sự kiện</x:v>
      </x:c>
      <x:c r="H95" s="12" t="str">
        <x:v>Teabreak</x:v>
      </x:c>
      <x:c r="I95" s="12" t="str">
        <x:v>Tuần lễ định hướng tân sinh viên</x:v>
      </x:c>
      <x:c r="J95" s="12" t="str">
        <x:v>College of Engineering and Computer Science</x:v>
      </x:c>
      <x:c r="K95" s="12" t="n">
        <x:v>464</x:v>
      </x:c>
      <x:c r="L95" s="16" t="n">
        <x:v>123000</x:v>
      </x:c>
      <x:c r="M95" s="16" t="n">
        <x:f>K95*L95</x:f>
        <x:v>57072000</x:v>
      </x:c>
      <x:c r="N95" s="12" t="str">
        <x:v>Cao</x:v>
      </x:c>
      <x:c r="O95" s="12" t="str">
        <x:v>Chờ duyệt</x:v>
      </x:c>
      <x:c r="P95" s="12" t="str"/>
    </x:row>
    <x:row r="96">
      <x:c r="A96" s="12" t="str">
        <x:v>DT-CTSV-2026-095</x:v>
      </x:c>
      <x:c r="B96" s="12" t="str">
        <x:v>Phòng Công tác Sinh viên</x:v>
      </x:c>
      <x:c r="C96" s="12" t="n">
        <x:v>2026</x:v>
      </x:c>
      <x:c r="D96" s="12" t="str">
        <x:v>Q2</x:v>
      </x:c>
      <x:c r="E96" s="12" t="n">
        <x:v>5</x:v>
      </x:c>
      <x:c r="F96" s="12" t="str">
        <x:v>Mental Health Program</x:v>
      </x:c>
      <x:c r="G96" s="12" t="str">
        <x:v>Tư vấn</x:v>
      </x:c>
      <x:c r="H96" s="12" t="str">
        <x:v>Workshop wellbeing</x:v>
      </x:c>
      <x:c r="I96" s="12" t="str">
        <x:v>Tư vấn tâm lý và sức khỏe tinh thần</x:v>
      </x:c>
      <x:c r="J96" s="12" t="str">
        <x:v>Toàn trường</x:v>
      </x:c>
      <x:c r="K96" s="12" t="n">
        <x:v>1</x:v>
      </x:c>
      <x:c r="L96" s="16" t="n">
        <x:v>36334000</x:v>
      </x:c>
      <x:c r="M96" s="16" t="n">
        <x:f>K96*L96</x:f>
        <x:v>36334000</x:v>
      </x:c>
      <x:c r="N96" s="12" t="str">
        <x:v>Cao</x:v>
      </x:c>
      <x:c r="O96" s="12" t="str">
        <x:v>Đã duyệt</x:v>
      </x:c>
      <x:c r="P96" s="12" t="str"/>
    </x:row>
    <x:row r="97">
      <x:c r="A97" s="12" t="str">
        <x:v>DT-CTSV-2026-096</x:v>
      </x:c>
      <x:c r="B97" s="12" t="str">
        <x:v>Phòng Công tác Sinh viên</x:v>
      </x:c>
      <x:c r="C97" s="12" t="n">
        <x:v>2026</x:v>
      </x:c>
      <x:c r="D97" s="12" t="str">
        <x:v>Q4</x:v>
      </x:c>
      <x:c r="E97" s="12" t="n">
        <x:v>11</x:v>
      </x:c>
      <x:c r="F97" s="12" t="str">
        <x:v>Student Leadership</x:v>
      </x:c>
      <x:c r="G97" s="12" t="str">
        <x:v>Đào tạo</x:v>
      </x:c>
      <x:c r="H97" s="12" t="str">
        <x:v>Workshop lãnh đạo</x:v>
      </x:c>
      <x:c r="I97" s="12" t="str">
        <x:v>Đào tạo cán bộ lớp và thủ lĩnh sinh viên</x:v>
      </x:c>
      <x:c r="J97" s="12" t="str">
        <x:v>College of Health Sciences</x:v>
      </x:c>
      <x:c r="K97" s="12" t="n">
        <x:v>1</x:v>
      </x:c>
      <x:c r="L97" s="16" t="n">
        <x:v>46499000</x:v>
      </x:c>
      <x:c r="M97" s="16" t="n">
        <x:f>K97*L97</x:f>
        <x:v>46499000</x:v>
      </x:c>
      <x:c r="N97" s="12" t="str">
        <x:v>Trung bình</x:v>
      </x:c>
      <x:c r="O97" s="12" t="str">
        <x:v>Đã duyệt</x:v>
      </x:c>
      <x:c r="P97" s="12" t="str"/>
    </x:row>
    <x:row r="98">
      <x:c r="A98" s="12" t="str">
        <x:v>DT-CTSV-2026-097</x:v>
      </x:c>
      <x:c r="B98" s="12" t="str">
        <x:v>Phòng Công tác Sinh viên</x:v>
      </x:c>
      <x:c r="C98" s="12" t="n">
        <x:v>2026</x:v>
      </x:c>
      <x:c r="D98" s="12" t="str">
        <x:v>Q1</x:v>
      </x:c>
      <x:c r="E98" s="12" t="n">
        <x:v>1</x:v>
      </x:c>
      <x:c r="F98" s="12" t="str">
        <x:v>Career Fair</x:v>
      </x:c>
      <x:c r="G98" s="12" t="str">
        <x:v>Nghề nghiệp</x:v>
      </x:c>
      <x:c r="H98" s="12" t="str">
        <x:v>Workshop kỹ năng nghề nghiệp</x:v>
      </x:c>
      <x:c r="I98" s="12" t="str">
        <x:v>Ngày hội việc làm và kết nối doanh nghiệp</x:v>
      </x:c>
      <x:c r="J98" s="12" t="str">
        <x:v>College of Business and Management</x:v>
      </x:c>
      <x:c r="K98" s="12" t="n">
        <x:v>3</x:v>
      </x:c>
      <x:c r="L98" s="16" t="n">
        <x:v>36438000</x:v>
      </x:c>
      <x:c r="M98" s="16" t="n">
        <x:f>K98*L98</x:f>
        <x:v>109314000</x:v>
      </x:c>
      <x:c r="N98" s="12" t="str">
        <x:v>Cao</x:v>
      </x:c>
      <x:c r="O98" s="12" t="str">
        <x:v>Chờ duyệt</x:v>
      </x:c>
      <x:c r="P98" s="12" t="str"/>
    </x:row>
    <x:row r="99">
      <x:c r="A99" s="12" t="str">
        <x:v>DT-CTSV-2026-098</x:v>
      </x:c>
      <x:c r="B99" s="12" t="str">
        <x:v>Phòng Công tác Sinh viên</x:v>
      </x:c>
      <x:c r="C99" s="12" t="n">
        <x:v>2026</x:v>
      </x:c>
      <x:c r="D99" s="12" t="str">
        <x:v>Q3</x:v>
      </x:c>
      <x:c r="E99" s="12" t="n">
        <x:v>8</x:v>
      </x:c>
      <x:c r="F99" s="12" t="str">
        <x:v>Student Clubs</x:v>
      </x:c>
      <x:c r="G99" s="12" t="str">
        <x:v>Hoạt động sinh viên</x:v>
      </x:c>
      <x:c r="H99" s="12" t="str">
        <x:v>Vật tư sự kiện CLB</x:v>
      </x:c>
      <x:c r="I99" s="12" t="str">
        <x:v>Hỗ trợ câu lạc bộ sinh viên</x:v>
      </x:c>
      <x:c r="J99" s="12" t="str">
        <x:v>College of Business and Management</x:v>
      </x:c>
      <x:c r="K99" s="12" t="n">
        <x:v>1</x:v>
      </x:c>
      <x:c r="L99" s="16" t="n">
        <x:v>17351000</x:v>
      </x:c>
      <x:c r="M99" s="16" t="n">
        <x:f>K99*L99</x:f>
        <x:v>17351000</x:v>
      </x:c>
      <x:c r="N99" s="12" t="str">
        <x:v>Cao</x:v>
      </x:c>
      <x:c r="O99" s="12" t="str">
        <x:v>Điều chỉnh</x:v>
      </x:c>
      <x:c r="P99" s="12" t="str"/>
    </x:row>
    <x:row r="100">
      <x:c r="A100" s="12" t="str">
        <x:v>DT-CTSV-2026-099</x:v>
      </x:c>
      <x:c r="B100" s="12" t="str">
        <x:v>Phòng Công tác Sinh viên</x:v>
      </x:c>
      <x:c r="C100" s="12" t="n">
        <x:v>2026</x:v>
      </x:c>
      <x:c r="D100" s="12" t="str">
        <x:v>Q4</x:v>
      </x:c>
      <x:c r="E100" s="12" t="n">
        <x:v>12</x:v>
      </x:c>
      <x:c r="F100" s="12" t="str">
        <x:v>Student Wellbeing</x:v>
      </x:c>
      <x:c r="G100" s="12" t="str">
        <x:v>Đời sống</x:v>
      </x:c>
      <x:c r="H100" s="12" t="str">
        <x:v>Gói hỗ trợ khẩn cấp</x:v>
      </x:c>
      <x:c r="I100" s="12" t="str">
        <x:v>Chăm sóc đời sống sinh viên</x:v>
      </x:c>
      <x:c r="J100" s="12" t="str">
        <x:v>College of Business and Management</x:v>
      </x:c>
      <x:c r="K100" s="12" t="n">
        <x:v>1</x:v>
      </x:c>
      <x:c r="L100" s="16" t="n">
        <x:v>23222000</x:v>
      </x:c>
      <x:c r="M100" s="16" t="n">
        <x:f>K100*L100</x:f>
        <x:v>23222000</x:v>
      </x:c>
      <x:c r="N100" s="12" t="str">
        <x:v>Cao</x:v>
      </x:c>
      <x:c r="O100" s="12" t="str">
        <x:v>Chờ duyệt</x:v>
      </x:c>
      <x:c r="P100" s="12" t="str"/>
    </x:row>
    <x:row r="101">
      <x:c r="A101" s="12" t="str">
        <x:v>DT-CTSV-2026-100</x:v>
      </x:c>
      <x:c r="B101" s="12" t="str">
        <x:v>Phòng Công tác Sinh viên</x:v>
      </x:c>
      <x:c r="C101" s="12" t="n">
        <x:v>2026</x:v>
      </x:c>
      <x:c r="D101" s="12" t="str">
        <x:v>Q2</x:v>
      </x:c>
      <x:c r="E101" s="12" t="n">
        <x:v>5</x:v>
      </x:c>
      <x:c r="F101" s="12" t="str">
        <x:v>Student Clubs</x:v>
      </x:c>
      <x:c r="G101" s="12" t="str">
        <x:v>Hoạt động sinh viên</x:v>
      </x:c>
      <x:c r="H101" s="12" t="str">
        <x:v>Hỗ trợ hoạt động CLB</x:v>
      </x:c>
      <x:c r="I101" s="12" t="str">
        <x:v>Hỗ trợ câu lạc bộ sinh viên</x:v>
      </x:c>
      <x:c r="J101" s="12" t="str">
        <x:v>College of Arts and Sciences</x:v>
      </x:c>
      <x:c r="K101" s="12" t="n">
        <x:v>3</x:v>
      </x:c>
      <x:c r="L101" s="16" t="n">
        <x:v>28023000</x:v>
      </x:c>
      <x:c r="M101" s="16" t="n">
        <x:f>K101*L101</x:f>
        <x:v>84069000</x:v>
      </x:c>
      <x:c r="N101" s="12" t="str">
        <x:v>Cao</x:v>
      </x:c>
      <x:c r="O101" s="12" t="str">
        <x:v>Chờ duyệt</x:v>
      </x:c>
      <x:c r="P101" s="12" t="str"/>
    </x:row>
    <x:row r="102">
      <x:c r="A102" s="12" t="str">
        <x:v>DT-CTSV-2026-101</x:v>
      </x:c>
      <x:c r="B102" s="12" t="str">
        <x:v>Phòng Công tác Sinh viên</x:v>
      </x:c>
      <x:c r="C102" s="12" t="n">
        <x:v>2026</x:v>
      </x:c>
      <x:c r="D102" s="12" t="str">
        <x:v>Q4</x:v>
      </x:c>
      <x:c r="E102" s="12" t="n">
        <x:v>10</x:v>
      </x:c>
      <x:c r="F102" s="12" t="str">
        <x:v>Career Fair</x:v>
      </x:c>
      <x:c r="G102" s="12" t="str">
        <x:v>Nghề nghiệp</x:v>
      </x:c>
      <x:c r="H102" s="12" t="str">
        <x:v>Gian hàng doanh nghiệp</x:v>
      </x:c>
      <x:c r="I102" s="12" t="str">
        <x:v>Ngày hội việc làm và kết nối doanh nghiệp</x:v>
      </x:c>
      <x:c r="J102" s="12" t="str">
        <x:v>College of Engineering and Computer Science</x:v>
      </x:c>
      <x:c r="K102" s="12" t="n">
        <x:v>1</x:v>
      </x:c>
      <x:c r="L102" s="16" t="n">
        <x:v>160336000</x:v>
      </x:c>
      <x:c r="M102" s="16" t="n">
        <x:f>K102*L102</x:f>
        <x:v>160336000</x:v>
      </x:c>
      <x:c r="N102" s="12" t="str">
        <x:v>Cao</x:v>
      </x:c>
      <x:c r="O102" s="12" t="str">
        <x:v>Điều chỉnh</x:v>
      </x:c>
      <x:c r="P102" s="12" t="str"/>
    </x:row>
    <x:row r="103">
      <x:c r="A103" s="12" t="str">
        <x:v>DT-CTSV-2026-102</x:v>
      </x:c>
      <x:c r="B103" s="12" t="str">
        <x:v>Phòng Công tác Sinh viên</x:v>
      </x:c>
      <x:c r="C103" s="12" t="n">
        <x:v>2026</x:v>
      </x:c>
      <x:c r="D103" s="12" t="str">
        <x:v>Q4</x:v>
      </x:c>
      <x:c r="E103" s="12" t="n">
        <x:v>10</x:v>
      </x:c>
      <x:c r="F103" s="12" t="str">
        <x:v>Student Wellbeing</x:v>
      </x:c>
      <x:c r="G103" s="12" t="str">
        <x:v>Đời sống</x:v>
      </x:c>
      <x:c r="H103" s="12" t="str">
        <x:v>Khảo sát hài lòng sinh viên</x:v>
      </x:c>
      <x:c r="I103" s="12" t="str">
        <x:v>Chăm sóc đời sống sinh viên</x:v>
      </x:c>
      <x:c r="J103" s="12" t="str">
        <x:v>College of Arts and Sciences</x:v>
      </x:c>
      <x:c r="K103" s="12" t="n">
        <x:v>1</x:v>
      </x:c>
      <x:c r="L103" s="16" t="n">
        <x:v>24722000</x:v>
      </x:c>
      <x:c r="M103" s="16" t="n">
        <x:f>K103*L103</x:f>
        <x:v>24722000</x:v>
      </x:c>
      <x:c r="N103" s="12" t="str">
        <x:v>Cao</x:v>
      </x:c>
      <x:c r="O103" s="12" t="str">
        <x:v>Điều chỉnh</x:v>
      </x:c>
      <x:c r="P103" s="12" t="str"/>
    </x:row>
    <x:row r="104">
      <x:c r="A104" s="12" t="str">
        <x:v>DT-CTSV-2026-103</x:v>
      </x:c>
      <x:c r="B104" s="12" t="str">
        <x:v>Phòng Công tác Sinh viên</x:v>
      </x:c>
      <x:c r="C104" s="12" t="n">
        <x:v>2026</x:v>
      </x:c>
      <x:c r="D104" s="12" t="str">
        <x:v>Q3</x:v>
      </x:c>
      <x:c r="E104" s="12" t="n">
        <x:v>9</x:v>
      </x:c>
      <x:c r="F104" s="12" t="str">
        <x:v>Student Leadership</x:v>
      </x:c>
      <x:c r="G104" s="12" t="str">
        <x:v>Đào tạo</x:v>
      </x:c>
      <x:c r="H104" s="12" t="str">
        <x:v>Workshop lãnh đạo</x:v>
      </x:c>
      <x:c r="I104" s="12" t="str">
        <x:v>Đào tạo cán bộ lớp và thủ lĩnh sinh viên</x:v>
      </x:c>
      <x:c r="J104" s="12" t="str">
        <x:v>College of Arts and Sciences</x:v>
      </x:c>
      <x:c r="K104" s="12" t="n">
        <x:v>1</x:v>
      </x:c>
      <x:c r="L104" s="16" t="n">
        <x:v>34202000</x:v>
      </x:c>
      <x:c r="M104" s="16" t="n">
        <x:f>K104*L104</x:f>
        <x:v>34202000</x:v>
      </x:c>
      <x:c r="N104" s="12" t="str">
        <x:v>Trung bình</x:v>
      </x:c>
      <x:c r="O104" s="12" t="str">
        <x:v>Chờ duyệt</x:v>
      </x:c>
      <x:c r="P104" s="12" t="str"/>
    </x:row>
    <x:row r="105">
      <x:c r="A105" s="12" t="str">
        <x:v>DT-CTSV-2026-104</x:v>
      </x:c>
      <x:c r="B105" s="12" t="str">
        <x:v>Phòng Công tác Sinh viên</x:v>
      </x:c>
      <x:c r="C105" s="12" t="n">
        <x:v>2026</x:v>
      </x:c>
      <x:c r="D105" s="12" t="str">
        <x:v>Q2</x:v>
      </x:c>
      <x:c r="E105" s="12" t="n">
        <x:v>6</x:v>
      </x:c>
      <x:c r="F105" s="12" t="str">
        <x:v>Student Clubs</x:v>
      </x:c>
      <x:c r="G105" s="12" t="str">
        <x:v>Hoạt động sinh viên</x:v>
      </x:c>
      <x:c r="H105" s="12" t="str">
        <x:v>Chi phí truyền thông nội bộ</x:v>
      </x:c>
      <x:c r="I105" s="12" t="str">
        <x:v>Hỗ trợ câu lạc bộ sinh viên</x:v>
      </x:c>
      <x:c r="J105" s="12" t="str">
        <x:v>College of Arts and Sciences</x:v>
      </x:c>
      <x:c r="K105" s="12" t="n">
        <x:v>2</x:v>
      </x:c>
      <x:c r="L105" s="16" t="n">
        <x:v>11329000</x:v>
      </x:c>
      <x:c r="M105" s="16" t="n">
        <x:f>K105*L105</x:f>
        <x:v>22658000</x:v>
      </x:c>
      <x:c r="N105" s="12" t="str">
        <x:v>Cao</x:v>
      </x:c>
      <x:c r="O105" s="12" t="str">
        <x:v>Đã duyệt</x:v>
      </x:c>
      <x:c r="P105" s="12" t="str"/>
    </x:row>
    <x:row r="106">
      <x:c r="A106" s="12" t="str">
        <x:v>DT-CTSV-2026-105</x:v>
      </x:c>
      <x:c r="B106" s="12" t="str">
        <x:v>Phòng Công tác Sinh viên</x:v>
      </x:c>
      <x:c r="C106" s="12" t="n">
        <x:v>2026</x:v>
      </x:c>
      <x:c r="D106" s="12" t="str">
        <x:v>Q2</x:v>
      </x:c>
      <x:c r="E106" s="12" t="n">
        <x:v>5</x:v>
      </x:c>
      <x:c r="F106" s="12" t="str">
        <x:v>International Exchange</x:v>
      </x:c>
      <x:c r="G106" s="12" t="str">
        <x:v>Quốc tế</x:v>
      </x:c>
      <x:c r="H106" s="12" t="str">
        <x:v>Tài liệu và quà tặng</x:v>
      </x:c>
      <x:c r="I106" s="12" t="str">
        <x:v>Trao đổi sinh viên và hoạt động quốc tế</x:v>
      </x:c>
      <x:c r="J106" s="12" t="str">
        <x:v>College of Arts and Sciences</x:v>
      </x:c>
      <x:c r="K106" s="12" t="n">
        <x:v>113</x:v>
      </x:c>
      <x:c r="L106" s="16" t="n">
        <x:v>182000</x:v>
      </x:c>
      <x:c r="M106" s="16" t="n">
        <x:f>K106*L106</x:f>
        <x:v>20566000</x:v>
      </x:c>
      <x:c r="N106" s="12" t="str">
        <x:v>Trung bình</x:v>
      </x:c>
      <x:c r="O106" s="12" t="str">
        <x:v>Chờ duyệt</x:v>
      </x:c>
      <x:c r="P106" s="12" t="str"/>
    </x:row>
    <x:row r="107">
      <x:c r="A107" s="12" t="str">
        <x:v>DT-CTSV-2026-106</x:v>
      </x:c>
      <x:c r="B107" s="12" t="str">
        <x:v>Phòng Công tác Sinh viên</x:v>
      </x:c>
      <x:c r="C107" s="12" t="n">
        <x:v>2026</x:v>
      </x:c>
      <x:c r="D107" s="12" t="str">
        <x:v>Q4</x:v>
      </x:c>
      <x:c r="E107" s="12" t="n">
        <x:v>10</x:v>
      </x:c>
      <x:c r="F107" s="12" t="str">
        <x:v>Community Service</x:v>
      </x:c>
      <x:c r="G107" s="12" t="str">
        <x:v>Cộng đồng</x:v>
      </x:c>
      <x:c r="H107" s="12" t="str">
        <x:v>Vật phẩm hỗ trợ cộng đồng</x:v>
      </x:c>
      <x:c r="I107" s="12" t="str">
        <x:v>Hoạt động tình nguyện và phục vụ cộng đồng</x:v>
      </x:c>
      <x:c r="J107" s="12" t="str">
        <x:v>College of Business and Management</x:v>
      </x:c>
      <x:c r="K107" s="12" t="n">
        <x:v>1</x:v>
      </x:c>
      <x:c r="L107" s="16" t="n">
        <x:v>48946000</x:v>
      </x:c>
      <x:c r="M107" s="16" t="n">
        <x:f>K107*L107</x:f>
        <x:v>48946000</x:v>
      </x:c>
      <x:c r="N107" s="12" t="str">
        <x:v>Trung bình</x:v>
      </x:c>
      <x:c r="O107" s="12" t="str">
        <x:v>Đã duyệt</x:v>
      </x:c>
      <x:c r="P107" s="12" t="str"/>
    </x:row>
    <x:row r="108">
      <x:c r="A108" s="12" t="str">
        <x:v>DT-CTSV-2026-107</x:v>
      </x:c>
      <x:c r="B108" s="12" t="str">
        <x:v>Phòng Công tác Sinh viên</x:v>
      </x:c>
      <x:c r="C108" s="12" t="n">
        <x:v>2026</x:v>
      </x:c>
      <x:c r="D108" s="12" t="str">
        <x:v>Q2</x:v>
      </x:c>
      <x:c r="E108" s="12" t="n">
        <x:v>4</x:v>
      </x:c>
      <x:c r="F108" s="12" t="str">
        <x:v>Mental Health Program</x:v>
      </x:c>
      <x:c r="G108" s="12" t="str">
        <x:v>Tư vấn</x:v>
      </x:c>
      <x:c r="H108" s="12" t="str">
        <x:v>Workshop wellbeing</x:v>
      </x:c>
      <x:c r="I108" s="12" t="str">
        <x:v>Tư vấn tâm lý và sức khỏe tinh thần</x:v>
      </x:c>
      <x:c r="J108" s="12" t="str">
        <x:v>College of Arts and Sciences</x:v>
      </x:c>
      <x:c r="K108" s="12" t="n">
        <x:v>2</x:v>
      </x:c>
      <x:c r="L108" s="16" t="n">
        <x:v>37727000</x:v>
      </x:c>
      <x:c r="M108" s="16" t="n">
        <x:f>K108*L108</x:f>
        <x:v>75454000</x:v>
      </x:c>
      <x:c r="N108" s="12" t="str">
        <x:v>Cao</x:v>
      </x:c>
      <x:c r="O108" s="12" t="str">
        <x:v>Chờ duyệt</x:v>
      </x:c>
      <x:c r="P108" s="12" t="str"/>
    </x:row>
    <x:row r="109">
      <x:c r="A109" s="12" t="str">
        <x:v>DT-CTSV-2026-108</x:v>
      </x:c>
      <x:c r="B109" s="12" t="str">
        <x:v>Phòng Công tác Sinh viên</x:v>
      </x:c>
      <x:c r="C109" s="12" t="n">
        <x:v>2026</x:v>
      </x:c>
      <x:c r="D109" s="12" t="str">
        <x:v>Q2</x:v>
      </x:c>
      <x:c r="E109" s="12" t="n">
        <x:v>6</x:v>
      </x:c>
      <x:c r="F109" s="12" t="str">
        <x:v>Orientation Week</x:v>
      </x:c>
      <x:c r="G109" s="12" t="str">
        <x:v>Sự kiện</x:v>
      </x:c>
      <x:c r="H109" s="12" t="str">
        <x:v>Thiết kế backdrop</x:v>
      </x:c>
      <x:c r="I109" s="12" t="str">
        <x:v>Tuần lễ định hướng tân sinh viên</x:v>
      </x:c>
      <x:c r="J109" s="12" t="str">
        <x:v>College of Engineering and Computer Science</x:v>
      </x:c>
      <x:c r="K109" s="12" t="n">
        <x:v>1</x:v>
      </x:c>
      <x:c r="L109" s="16" t="n">
        <x:v>12540000</x:v>
      </x:c>
      <x:c r="M109" s="16" t="n">
        <x:f>K109*L109</x:f>
        <x:v>12540000</x:v>
      </x:c>
      <x:c r="N109" s="12" t="str">
        <x:v>Cao</x:v>
      </x:c>
      <x:c r="O109" s="12" t="str">
        <x:v>Chờ duyệt</x:v>
      </x:c>
      <x:c r="P109" s="12" t="str"/>
    </x:row>
    <x:row r="110">
      <x:c r="A110" s="12" t="str">
        <x:v>DT-CTSV-2026-109</x:v>
      </x:c>
      <x:c r="B110" s="12" t="str">
        <x:v>Phòng Công tác Sinh viên</x:v>
      </x:c>
      <x:c r="C110" s="12" t="n">
        <x:v>2026</x:v>
      </x:c>
      <x:c r="D110" s="12" t="str">
        <x:v>Q4</x:v>
      </x:c>
      <x:c r="E110" s="12" t="n">
        <x:v>10</x:v>
      </x:c>
      <x:c r="F110" s="12" t="str">
        <x:v>Student Leadership</x:v>
      </x:c>
      <x:c r="G110" s="12" t="str">
        <x:v>Đào tạo</x:v>
      </x:c>
      <x:c r="H110" s="12" t="str">
        <x:v>Tài liệu tập huấn</x:v>
      </x:c>
      <x:c r="I110" s="12" t="str">
        <x:v>Đào tạo cán bộ lớp và thủ lĩnh sinh viên</x:v>
      </x:c>
      <x:c r="J110" s="12" t="str">
        <x:v>College of Health Sciences</x:v>
      </x:c>
      <x:c r="K110" s="12" t="n">
        <x:v>119</x:v>
      </x:c>
      <x:c r="L110" s="16" t="n">
        <x:v>76000</x:v>
      </x:c>
      <x:c r="M110" s="16" t="n">
        <x:f>K110*L110</x:f>
        <x:v>9044000</x:v>
      </x:c>
      <x:c r="N110" s="12" t="str">
        <x:v>Trung bình</x:v>
      </x:c>
      <x:c r="O110" s="12" t="str">
        <x:v>Điều chỉnh</x:v>
      </x:c>
      <x:c r="P110" s="12" t="str"/>
    </x:row>
    <x:row r="111">
      <x:c r="A111" s="12" t="str">
        <x:v>DT-CTSV-2026-110</x:v>
      </x:c>
      <x:c r="B111" s="12" t="str">
        <x:v>Phòng Công tác Sinh viên</x:v>
      </x:c>
      <x:c r="C111" s="12" t="n">
        <x:v>2026</x:v>
      </x:c>
      <x:c r="D111" s="12" t="str">
        <x:v>Q2</x:v>
      </x:c>
      <x:c r="E111" s="12" t="n">
        <x:v>4</x:v>
      </x:c>
      <x:c r="F111" s="12" t="str">
        <x:v>Career Fair</x:v>
      </x:c>
      <x:c r="G111" s="12" t="str">
        <x:v>Nghề nghiệp</x:v>
      </x:c>
      <x:c r="H111" s="12" t="str">
        <x:v>Gian hàng doanh nghiệp</x:v>
      </x:c>
      <x:c r="I111" s="12" t="str">
        <x:v>Ngày hội việc làm và kết nối doanh nghiệp</x:v>
      </x:c>
      <x:c r="J111" s="12" t="str">
        <x:v>College of Business and Management</x:v>
      </x:c>
      <x:c r="K111" s="12" t="n">
        <x:v>2</x:v>
      </x:c>
      <x:c r="L111" s="16" t="n">
        <x:v>188177000</x:v>
      </x:c>
      <x:c r="M111" s="16" t="n">
        <x:f>K111*L111</x:f>
        <x:v>376354000</x:v>
      </x:c>
      <x:c r="N111" s="12" t="str">
        <x:v>Cao</x:v>
      </x:c>
      <x:c r="O111" s="12" t="str">
        <x:v>Điều chỉnh</x:v>
      </x:c>
      <x:c r="P111" s="12" t="str"/>
    </x:row>
    <x:row r="112">
      <x:c r="A112" s="12" t="str">
        <x:v>DT-CTSV-2026-111</x:v>
      </x:c>
      <x:c r="B112" s="12" t="str">
        <x:v>Phòng Công tác Sinh viên</x:v>
      </x:c>
      <x:c r="C112" s="12" t="n">
        <x:v>2026</x:v>
      </x:c>
      <x:c r="D112" s="12" t="str">
        <x:v>Q3</x:v>
      </x:c>
      <x:c r="E112" s="12" t="n">
        <x:v>8</x:v>
      </x:c>
      <x:c r="F112" s="12" t="str">
        <x:v>Graduation Ceremony</x:v>
      </x:c>
      <x:c r="G112" s="12" t="str">
        <x:v>Sự kiện</x:v>
      </x:c>
      <x:c r="H112" s="12" t="str">
        <x:v>Thiết kế backdrop</x:v>
      </x:c>
      <x:c r="I112" s="12" t="str">
        <x:v>Lễ tốt nghiệp và vinh danh sinh viên</x:v>
      </x:c>
      <x:c r="J112" s="12" t="str">
        <x:v>College of Business and Management</x:v>
      </x:c>
      <x:c r="K112" s="12" t="n">
        <x:v>1</x:v>
      </x:c>
      <x:c r="L112" s="16" t="n">
        <x:v>10646000</x:v>
      </x:c>
      <x:c r="M112" s="16" t="n">
        <x:f>K112*L112</x:f>
        <x:v>10646000</x:v>
      </x:c>
      <x:c r="N112" s="12" t="str">
        <x:v>Cao</x:v>
      </x:c>
      <x:c r="O112" s="12" t="str">
        <x:v>Chờ duyệt</x:v>
      </x:c>
      <x:c r="P112" s="12" t="str"/>
    </x:row>
    <x:row r="113">
      <x:c r="A113" s="12" t="str">
        <x:v>DT-CTSV-2026-112</x:v>
      </x:c>
      <x:c r="B113" s="12" t="str">
        <x:v>Phòng Công tác Sinh viên</x:v>
      </x:c>
      <x:c r="C113" s="12" t="n">
        <x:v>2026</x:v>
      </x:c>
      <x:c r="D113" s="12" t="str">
        <x:v>Q4</x:v>
      </x:c>
      <x:c r="E113" s="12" t="n">
        <x:v>11</x:v>
      </x:c>
      <x:c r="F113" s="12" t="str">
        <x:v>Career Fair</x:v>
      </x:c>
      <x:c r="G113" s="12" t="str">
        <x:v>Nghề nghiệp</x:v>
      </x:c>
      <x:c r="H113" s="12" t="str">
        <x:v>Nền tảng tuyển dụng</x:v>
      </x:c>
      <x:c r="I113" s="12" t="str">
        <x:v>Ngày hội việc làm và kết nối doanh nghiệp</x:v>
      </x:c>
      <x:c r="J113" s="12" t="str">
        <x:v>Toàn trường</x:v>
      </x:c>
      <x:c r="K113" s="12" t="n">
        <x:v>3</x:v>
      </x:c>
      <x:c r="L113" s="16" t="n">
        <x:v>59856000</x:v>
      </x:c>
      <x:c r="M113" s="16" t="n">
        <x:f>K113*L113</x:f>
        <x:v>179568000</x:v>
      </x:c>
      <x:c r="N113" s="12" t="str">
        <x:v>Cao</x:v>
      </x:c>
      <x:c r="O113" s="12" t="str">
        <x:v>Điều chỉnh</x:v>
      </x:c>
      <x:c r="P113" s="12" t="str"/>
    </x:row>
    <x:row r="114">
      <x:c r="A114" s="12" t="str">
        <x:v>DT-CTSV-2026-113</x:v>
      </x:c>
      <x:c r="B114" s="12" t="str">
        <x:v>Phòng Công tác Sinh viên</x:v>
      </x:c>
      <x:c r="C114" s="12" t="n">
        <x:v>2026</x:v>
      </x:c>
      <x:c r="D114" s="12" t="str">
        <x:v>Q4</x:v>
      </x:c>
      <x:c r="E114" s="12" t="n">
        <x:v>12</x:v>
      </x:c>
      <x:c r="F114" s="12" t="str">
        <x:v>Student Leadership</x:v>
      </x:c>
      <x:c r="G114" s="12" t="str">
        <x:v>Đào tạo</x:v>
      </x:c>
      <x:c r="H114" s="12" t="str">
        <x:v>Tài liệu tập huấn</x:v>
      </x:c>
      <x:c r="I114" s="12" t="str">
        <x:v>Đào tạo cán bộ lớp và thủ lĩnh sinh viên</x:v>
      </x:c>
      <x:c r="J114" s="12" t="str">
        <x:v>College of Arts and Sciences</x:v>
      </x:c>
      <x:c r="K114" s="12" t="n">
        <x:v>108</x:v>
      </x:c>
      <x:c r="L114" s="16" t="n">
        <x:v>79000</x:v>
      </x:c>
      <x:c r="M114" s="16" t="n">
        <x:f>K114*L114</x:f>
        <x:v>8532000</x:v>
      </x:c>
      <x:c r="N114" s="12" t="str">
        <x:v>Trung bình</x:v>
      </x:c>
      <x:c r="O114" s="12" t="str">
        <x:v>Chờ duyệt</x:v>
      </x:c>
      <x:c r="P114" s="12" t="str"/>
    </x:row>
    <x:row r="115">
      <x:c r="A115" s="12" t="str">
        <x:v>DT-CTSV-2026-114</x:v>
      </x:c>
      <x:c r="B115" s="12" t="str">
        <x:v>Phòng Công tác Sinh viên</x:v>
      </x:c>
      <x:c r="C115" s="12" t="n">
        <x:v>2026</x:v>
      </x:c>
      <x:c r="D115" s="12" t="str">
        <x:v>Q2</x:v>
      </x:c>
      <x:c r="E115" s="12" t="n">
        <x:v>4</x:v>
      </x:c>
      <x:c r="F115" s="12" t="str">
        <x:v>Mental Health Program</x:v>
      </x:c>
      <x:c r="G115" s="12" t="str">
        <x:v>Tư vấn</x:v>
      </x:c>
      <x:c r="H115" s="12" t="str">
        <x:v>Workshop wellbeing</x:v>
      </x:c>
      <x:c r="I115" s="12" t="str">
        <x:v>Tư vấn tâm lý và sức khỏe tinh thần</x:v>
      </x:c>
      <x:c r="J115" s="12" t="str">
        <x:v>College of Engineering and Computer Science</x:v>
      </x:c>
      <x:c r="K115" s="12" t="n">
        <x:v>1</x:v>
      </x:c>
      <x:c r="L115" s="16" t="n">
        <x:v>39847000</x:v>
      </x:c>
      <x:c r="M115" s="16" t="n">
        <x:f>K115*L115</x:f>
        <x:v>39847000</x:v>
      </x:c>
      <x:c r="N115" s="12" t="str">
        <x:v>Cao</x:v>
      </x:c>
      <x:c r="O115" s="12" t="str">
        <x:v>Đã duyệt</x:v>
      </x:c>
      <x:c r="P115" s="12" t="str"/>
    </x:row>
    <x:row r="116">
      <x:c r="A116" s="12" t="str">
        <x:v>DT-CTSV-2026-115</x:v>
      </x:c>
      <x:c r="B116" s="12" t="str">
        <x:v>Phòng Công tác Sinh viên</x:v>
      </x:c>
      <x:c r="C116" s="12" t="n">
        <x:v>2026</x:v>
      </x:c>
      <x:c r="D116" s="12" t="str">
        <x:v>Q1</x:v>
      </x:c>
      <x:c r="E116" s="12" t="n">
        <x:v>3</x:v>
      </x:c>
      <x:c r="F116" s="12" t="str">
        <x:v>International Exchange</x:v>
      </x:c>
      <x:c r="G116" s="12" t="str">
        <x:v>Quốc tế</x:v>
      </x:c>
      <x:c r="H116" s="12" t="str">
        <x:v>Tài liệu và quà tặng</x:v>
      </x:c>
      <x:c r="I116" s="12" t="str">
        <x:v>Trao đổi sinh viên và hoạt động quốc tế</x:v>
      </x:c>
      <x:c r="J116" s="12" t="str">
        <x:v>College of Engineering and Computer Science</x:v>
      </x:c>
      <x:c r="K116" s="12" t="n">
        <x:v>83</x:v>
      </x:c>
      <x:c r="L116" s="16" t="n">
        <x:v>171000</x:v>
      </x:c>
      <x:c r="M116" s="16" t="n">
        <x:f>K116*L116</x:f>
        <x:v>14193000</x:v>
      </x:c>
      <x:c r="N116" s="12" t="str">
        <x:v>Trung bình</x:v>
      </x:c>
      <x:c r="O116" s="12" t="str">
        <x:v>Điều chỉnh</x:v>
      </x:c>
      <x:c r="P116" s="12" t="str"/>
    </x:row>
    <x:row r="117">
      <x:c r="A117" s="12" t="str">
        <x:v>DT-CTSV-2026-116</x:v>
      </x:c>
      <x:c r="B117" s="12" t="str">
        <x:v>Phòng Công tác Sinh viên</x:v>
      </x:c>
      <x:c r="C117" s="12" t="n">
        <x:v>2026</x:v>
      </x:c>
      <x:c r="D117" s="12" t="str">
        <x:v>Q4</x:v>
      </x:c>
      <x:c r="E117" s="12" t="n">
        <x:v>10</x:v>
      </x:c>
      <x:c r="F117" s="12" t="str">
        <x:v>Student Wellbeing</x:v>
      </x:c>
      <x:c r="G117" s="12" t="str">
        <x:v>Đời sống</x:v>
      </x:c>
      <x:c r="H117" s="12" t="str">
        <x:v>Gói hỗ trợ khẩn cấp</x:v>
      </x:c>
      <x:c r="I117" s="12" t="str">
        <x:v>Chăm sóc đời sống sinh viên</x:v>
      </x:c>
      <x:c r="J117" s="12" t="str">
        <x:v>College of Business and Management</x:v>
      </x:c>
      <x:c r="K117" s="12" t="n">
        <x:v>1</x:v>
      </x:c>
      <x:c r="L117" s="16" t="n">
        <x:v>24844000</x:v>
      </x:c>
      <x:c r="M117" s="16" t="n">
        <x:f>K117*L117</x:f>
        <x:v>24844000</x:v>
      </x:c>
      <x:c r="N117" s="12" t="str">
        <x:v>Cao</x:v>
      </x:c>
      <x:c r="O117" s="12" t="str">
        <x:v>Chờ duyệt</x:v>
      </x:c>
      <x:c r="P117" s="12" t="str"/>
    </x:row>
    <x:row r="118">
      <x:c r="A118" s="12" t="str">
        <x:v>DT-CTSV-2026-117</x:v>
      </x:c>
      <x:c r="B118" s="12" t="str">
        <x:v>Phòng Công tác Sinh viên</x:v>
      </x:c>
      <x:c r="C118" s="12" t="n">
        <x:v>2026</x:v>
      </x:c>
      <x:c r="D118" s="12" t="str">
        <x:v>Q1</x:v>
      </x:c>
      <x:c r="E118" s="12" t="n">
        <x:v>3</x:v>
      </x:c>
      <x:c r="F118" s="12" t="str">
        <x:v>Career Fair</x:v>
      </x:c>
      <x:c r="G118" s="12" t="str">
        <x:v>Nghề nghiệp</x:v>
      </x:c>
      <x:c r="H118" s="12" t="str">
        <x:v>Nền tảng tuyển dụng</x:v>
      </x:c>
      <x:c r="I118" s="12" t="str">
        <x:v>Ngày hội việc làm và kết nối doanh nghiệp</x:v>
      </x:c>
      <x:c r="J118" s="12" t="str">
        <x:v>Toàn trường</x:v>
      </x:c>
      <x:c r="K118" s="12" t="n">
        <x:v>1</x:v>
      </x:c>
      <x:c r="L118" s="16" t="n">
        <x:v>51339000</x:v>
      </x:c>
      <x:c r="M118" s="16" t="n">
        <x:f>K118*L118</x:f>
        <x:v>51339000</x:v>
      </x:c>
      <x:c r="N118" s="12" t="str">
        <x:v>Cao</x:v>
      </x:c>
      <x:c r="O118" s="12" t="str">
        <x:v>Đã duyệt</x:v>
      </x:c>
      <x:c r="P118" s="12" t="str"/>
    </x:row>
    <x:row r="119">
      <x:c r="A119" s="12" t="str">
        <x:v>DT-CTSV-2026-118</x:v>
      </x:c>
      <x:c r="B119" s="12" t="str">
        <x:v>Phòng Công tác Sinh viên</x:v>
      </x:c>
      <x:c r="C119" s="12" t="n">
        <x:v>2026</x:v>
      </x:c>
      <x:c r="D119" s="12" t="str">
        <x:v>Q1</x:v>
      </x:c>
      <x:c r="E119" s="12" t="n">
        <x:v>1</x:v>
      </x:c>
      <x:c r="F119" s="12" t="str">
        <x:v>Mental Health Program</x:v>
      </x:c>
      <x:c r="G119" s="12" t="str">
        <x:v>Tư vấn</x:v>
      </x:c>
      <x:c r="H119" s="12" t="str">
        <x:v>Chuyên gia tư vấn tâm lý</x:v>
      </x:c>
      <x:c r="I119" s="12" t="str">
        <x:v>Tư vấn tâm lý và sức khỏe tinh thần</x:v>
      </x:c>
      <x:c r="J119" s="12" t="str">
        <x:v>College of Business and Management</x:v>
      </x:c>
      <x:c r="K119" s="12" t="n">
        <x:v>3</x:v>
      </x:c>
      <x:c r="L119" s="16" t="n">
        <x:v>14502000</x:v>
      </x:c>
      <x:c r="M119" s="16" t="n">
        <x:f>K119*L119</x:f>
        <x:v>43506000</x:v>
      </x:c>
      <x:c r="N119" s="12" t="str">
        <x:v>Cao</x:v>
      </x:c>
      <x:c r="O119" s="12" t="str">
        <x:v>Điều chỉnh</x:v>
      </x:c>
      <x:c r="P119" s="12" t="str"/>
    </x:row>
    <x:row r="120">
      <x:c r="A120" s="12" t="str">
        <x:v>DT-CTSV-2026-119</x:v>
      </x:c>
      <x:c r="B120" s="12" t="str">
        <x:v>Phòng Công tác Sinh viên</x:v>
      </x:c>
      <x:c r="C120" s="12" t="n">
        <x:v>2026</x:v>
      </x:c>
      <x:c r="D120" s="12" t="str">
        <x:v>Q1</x:v>
      </x:c>
      <x:c r="E120" s="12" t="n">
        <x:v>1</x:v>
      </x:c>
      <x:c r="F120" s="12" t="str">
        <x:v>Graduation Ceremony</x:v>
      </x:c>
      <x:c r="G120" s="12" t="str">
        <x:v>Sự kiện</x:v>
      </x:c>
      <x:c r="H120" s="12" t="str">
        <x:v>Thuê địa điểm/sân khấu</x:v>
      </x:c>
      <x:c r="I120" s="12" t="str">
        <x:v>Lễ tốt nghiệp và vinh danh sinh viên</x:v>
      </x:c>
      <x:c r="J120" s="12" t="str">
        <x:v>College of Arts and Sciences</x:v>
      </x:c>
      <x:c r="K120" s="12" t="n">
        <x:v>3</x:v>
      </x:c>
      <x:c r="L120" s="16" t="n">
        <x:v>115648000</x:v>
      </x:c>
      <x:c r="M120" s="16" t="n">
        <x:f>K120*L120</x:f>
        <x:v>346944000</x:v>
      </x:c>
      <x:c r="N120" s="12" t="str">
        <x:v>Cao</x:v>
      </x:c>
      <x:c r="O120" s="12" t="str">
        <x:v>Chờ duyệt</x:v>
      </x:c>
      <x:c r="P120" s="12" t="str"/>
    </x:row>
    <x:row r="121">
      <x:c r="A121" s="12" t="str">
        <x:v>DT-CTSV-2026-120</x:v>
      </x:c>
      <x:c r="B121" s="12" t="str">
        <x:v>Phòng Công tác Sinh viên</x:v>
      </x:c>
      <x:c r="C121" s="12" t="n">
        <x:v>2026</x:v>
      </x:c>
      <x:c r="D121" s="12" t="str">
        <x:v>Q1</x:v>
      </x:c>
      <x:c r="E121" s="12" t="n">
        <x:v>1</x:v>
      </x:c>
      <x:c r="F121" s="12" t="str">
        <x:v>Student Leadership</x:v>
      </x:c>
      <x:c r="G121" s="12" t="str">
        <x:v>Đào tạo</x:v>
      </x:c>
      <x:c r="H121" s="12" t="str">
        <x:v>Workshop lãnh đạo</x:v>
      </x:c>
      <x:c r="I121" s="12" t="str">
        <x:v>Đào tạo cán bộ lớp và thủ lĩnh sinh viên</x:v>
      </x:c>
      <x:c r="J121" s="12" t="str">
        <x:v>College of Arts and Sciences</x:v>
      </x:c>
      <x:c r="K121" s="12" t="n">
        <x:v>1</x:v>
      </x:c>
      <x:c r="L121" s="16" t="n">
        <x:v>49057000</x:v>
      </x:c>
      <x:c r="M121" s="16" t="n">
        <x:f>K121*L121</x:f>
        <x:v>49057000</x:v>
      </x:c>
      <x:c r="N121" s="12" t="str">
        <x:v>Trung bình</x:v>
      </x:c>
      <x:c r="O121" s="12" t="str">
        <x:v>Đã duyệt</x:v>
      </x:c>
      <x:c r="P121" s="12" t="str"/>
    </x:row>
    <x:row r="122">
      <x:c r="A122" s="12" t="str">
        <x:v>DT-CTSV-2026-121</x:v>
      </x:c>
      <x:c r="B122" s="12" t="str">
        <x:v>Phòng Công tác Sinh viên</x:v>
      </x:c>
      <x:c r="C122" s="12" t="n">
        <x:v>2026</x:v>
      </x:c>
      <x:c r="D122" s="12" t="str">
        <x:v>Q3</x:v>
      </x:c>
      <x:c r="E122" s="12" t="n">
        <x:v>8</x:v>
      </x:c>
      <x:c r="F122" s="12" t="str">
        <x:v>Student Clubs</x:v>
      </x:c>
      <x:c r="G122" s="12" t="str">
        <x:v>Hoạt động sinh viên</x:v>
      </x:c>
      <x:c r="H122" s="12" t="str">
        <x:v>Chi phí truyền thông nội bộ</x:v>
      </x:c>
      <x:c r="I122" s="12" t="str">
        <x:v>Hỗ trợ câu lạc bộ sinh viên</x:v>
      </x:c>
      <x:c r="J122" s="12" t="str">
        <x:v>College of Health Sciences</x:v>
      </x:c>
      <x:c r="K122" s="12" t="n">
        <x:v>1</x:v>
      </x:c>
      <x:c r="L122" s="16" t="n">
        <x:v>10808000</x:v>
      </x:c>
      <x:c r="M122" s="16" t="n">
        <x:f>K122*L122</x:f>
        <x:v>10808000</x:v>
      </x:c>
      <x:c r="N122" s="12" t="str">
        <x:v>Cao</x:v>
      </x:c>
      <x:c r="O122" s="12" t="str">
        <x:v>Đã duyệt</x:v>
      </x:c>
      <x:c r="P122" s="12" t="str"/>
    </x:row>
    <x:row r="123">
      <x:c r="A123" s="12" t="str">
        <x:v>DT-CTSV-2026-122</x:v>
      </x:c>
      <x:c r="B123" s="12" t="str">
        <x:v>Phòng Công tác Sinh viên</x:v>
      </x:c>
      <x:c r="C123" s="12" t="n">
        <x:v>2026</x:v>
      </x:c>
      <x:c r="D123" s="12" t="str">
        <x:v>Q2</x:v>
      </x:c>
      <x:c r="E123" s="12" t="n">
        <x:v>5</x:v>
      </x:c>
      <x:c r="F123" s="12" t="str">
        <x:v>Scholarship Program</x:v>
      </x:c>
      <x:c r="G123" s="12" t="str">
        <x:v>Học bổng</x:v>
      </x:c>
      <x:c r="H123" s="12" t="str">
        <x:v>Học bổng lãnh đạo sinh viên</x:v>
      </x:c>
      <x:c r="I123" s="12" t="str">
        <x:v>Học bổng và hỗ trợ tài chính</x:v>
      </x:c>
      <x:c r="J123" s="12" t="str">
        <x:v>College of Health Sciences</x:v>
      </x:c>
      <x:c r="K123" s="12" t="n">
        <x:v>1</x:v>
      </x:c>
      <x:c r="L123" s="16" t="n">
        <x:v>31189000</x:v>
      </x:c>
      <x:c r="M123" s="16" t="n">
        <x:f>K123*L123</x:f>
        <x:v>31189000</x:v>
      </x:c>
      <x:c r="N123" s="12" t="str">
        <x:v>Cao</x:v>
      </x:c>
      <x:c r="O123" s="12" t="str">
        <x:v>Điều chỉnh</x:v>
      </x:c>
      <x:c r="P123" s="12" t="str"/>
    </x:row>
    <x:row r="124">
      <x:c r="A124" s="12" t="str">
        <x:v>DT-CTSV-2026-123</x:v>
      </x:c>
      <x:c r="B124" s="12" t="str">
        <x:v>Phòng Công tác Sinh viên</x:v>
      </x:c>
      <x:c r="C124" s="12" t="n">
        <x:v>2026</x:v>
      </x:c>
      <x:c r="D124" s="12" t="str">
        <x:v>Q4</x:v>
      </x:c>
      <x:c r="E124" s="12" t="n">
        <x:v>10</x:v>
      </x:c>
      <x:c r="F124" s="12" t="str">
        <x:v>Community Service</x:v>
      </x:c>
      <x:c r="G124" s="12" t="str">
        <x:v>Cộng đồng</x:v>
      </x:c>
      <x:c r="H124" s="12" t="str">
        <x:v>Vật phẩm hỗ trợ cộng đồng</x:v>
      </x:c>
      <x:c r="I124" s="12" t="str">
        <x:v>Hoạt động tình nguyện và phục vụ cộng đồng</x:v>
      </x:c>
      <x:c r="J124" s="12" t="str">
        <x:v>Toàn trường</x:v>
      </x:c>
      <x:c r="K124" s="12" t="n">
        <x:v>3</x:v>
      </x:c>
      <x:c r="L124" s="16" t="n">
        <x:v>47013000</x:v>
      </x:c>
      <x:c r="M124" s="16" t="n">
        <x:f>K124*L124</x:f>
        <x:v>141039000</x:v>
      </x:c>
      <x:c r="N124" s="12" t="str">
        <x:v>Trung bình</x:v>
      </x:c>
      <x:c r="O124" s="12" t="str">
        <x:v>Chờ duyệt</x:v>
      </x:c>
      <x:c r="P124" s="12" t="str"/>
    </x:row>
    <x:row r="125">
      <x:c r="A125" s="12" t="str">
        <x:v>DT-CTSV-2026-124</x:v>
      </x:c>
      <x:c r="B125" s="12" t="str">
        <x:v>Phòng Công tác Sinh viên</x:v>
      </x:c>
      <x:c r="C125" s="12" t="n">
        <x:v>2026</x:v>
      </x:c>
      <x:c r="D125" s="12" t="str">
        <x:v>Q2</x:v>
      </x:c>
      <x:c r="E125" s="12" t="n">
        <x:v>5</x:v>
      </x:c>
      <x:c r="F125" s="12" t="str">
        <x:v>Graduation Ceremony</x:v>
      </x:c>
      <x:c r="G125" s="12" t="str">
        <x:v>Sự kiện</x:v>
      </x:c>
      <x:c r="H125" s="12" t="str">
        <x:v>Thiết kế backdrop</x:v>
      </x:c>
      <x:c r="I125" s="12" t="str">
        <x:v>Lễ tốt nghiệp và vinh danh sinh viên</x:v>
      </x:c>
      <x:c r="J125" s="12" t="str">
        <x:v>College of Engineering and Computer Science</x:v>
      </x:c>
      <x:c r="K125" s="12" t="n">
        <x:v>3</x:v>
      </x:c>
      <x:c r="L125" s="16" t="n">
        <x:v>14952000</x:v>
      </x:c>
      <x:c r="M125" s="16" t="n">
        <x:f>K125*L125</x:f>
        <x:v>44856000</x:v>
      </x:c>
      <x:c r="N125" s="12" t="str">
        <x:v>Cao</x:v>
      </x:c>
      <x:c r="O125" s="12" t="str">
        <x:v>Điều chỉnh</x:v>
      </x:c>
      <x:c r="P125" s="12" t="str"/>
    </x:row>
    <x:row r="126">
      <x:c r="A126" s="12" t="str">
        <x:v>DT-CTSV-2026-125</x:v>
      </x:c>
      <x:c r="B126" s="12" t="str">
        <x:v>Phòng Công tác Sinh viên</x:v>
      </x:c>
      <x:c r="C126" s="12" t="n">
        <x:v>2026</x:v>
      </x:c>
      <x:c r="D126" s="12" t="str">
        <x:v>Q4</x:v>
      </x:c>
      <x:c r="E126" s="12" t="n">
        <x:v>10</x:v>
      </x:c>
      <x:c r="F126" s="12" t="str">
        <x:v>Student Wellbeing</x:v>
      </x:c>
      <x:c r="G126" s="12" t="str">
        <x:v>Đời sống</x:v>
      </x:c>
      <x:c r="H126" s="12" t="str">
        <x:v>Khảo sát hài lòng sinh viên</x:v>
      </x:c>
      <x:c r="I126" s="12" t="str">
        <x:v>Chăm sóc đời sống sinh viên</x:v>
      </x:c>
      <x:c r="J126" s="12" t="str">
        <x:v>College of Business and Management</x:v>
      </x:c>
      <x:c r="K126" s="12" t="n">
        <x:v>1</x:v>
      </x:c>
      <x:c r="L126" s="16" t="n">
        <x:v>30725000</x:v>
      </x:c>
      <x:c r="M126" s="16" t="n">
        <x:f>K126*L126</x:f>
        <x:v>30725000</x:v>
      </x:c>
      <x:c r="N126" s="12" t="str">
        <x:v>Cao</x:v>
      </x:c>
      <x:c r="O126" s="12" t="str">
        <x:v>Điều chỉnh</x:v>
      </x:c>
      <x:c r="P126" s="12" t="str"/>
    </x:row>
    <x:row r="127">
      <x:c r="A127" s="12" t="str">
        <x:v>DT-CTSV-2026-126</x:v>
      </x:c>
      <x:c r="B127" s="12" t="str">
        <x:v>Phòng Công tác Sinh viên</x:v>
      </x:c>
      <x:c r="C127" s="12" t="n">
        <x:v>2026</x:v>
      </x:c>
      <x:c r="D127" s="12" t="str">
        <x:v>Q4</x:v>
      </x:c>
      <x:c r="E127" s="12" t="n">
        <x:v>11</x:v>
      </x:c>
      <x:c r="F127" s="12" t="str">
        <x:v>Career Fair</x:v>
      </x:c>
      <x:c r="G127" s="12" t="str">
        <x:v>Nghề nghiệp</x:v>
      </x:c>
      <x:c r="H127" s="12" t="str">
        <x:v>Nền tảng tuyển dụng</x:v>
      </x:c>
      <x:c r="I127" s="12" t="str">
        <x:v>Ngày hội việc làm và kết nối doanh nghiệp</x:v>
      </x:c>
      <x:c r="J127" s="12" t="str">
        <x:v>College of Business and Management</x:v>
      </x:c>
      <x:c r="K127" s="12" t="n">
        <x:v>1</x:v>
      </x:c>
      <x:c r="L127" s="16" t="n">
        <x:v>54769000</x:v>
      </x:c>
      <x:c r="M127" s="16" t="n">
        <x:f>K127*L127</x:f>
        <x:v>54769000</x:v>
      </x:c>
      <x:c r="N127" s="12" t="str">
        <x:v>Cao</x:v>
      </x:c>
      <x:c r="O127" s="12" t="str">
        <x:v>Điều chỉnh</x:v>
      </x:c>
      <x:c r="P127" s="12" t="str"/>
    </x:row>
    <x:row r="128">
      <x:c r="A128" s="12" t="str">
        <x:v>DT-CTSV-2026-127</x:v>
      </x:c>
      <x:c r="B128" s="12" t="str">
        <x:v>Phòng Công tác Sinh viên</x:v>
      </x:c>
      <x:c r="C128" s="12" t="n">
        <x:v>2026</x:v>
      </x:c>
      <x:c r="D128" s="12" t="str">
        <x:v>Q1</x:v>
      </x:c>
      <x:c r="E128" s="12" t="n">
        <x:v>1</x:v>
      </x:c>
      <x:c r="F128" s="12" t="str">
        <x:v>Student Clubs</x:v>
      </x:c>
      <x:c r="G128" s="12" t="str">
        <x:v>Hoạt động sinh viên</x:v>
      </x:c>
      <x:c r="H128" s="12" t="str">
        <x:v>Vật tư sự kiện CLB</x:v>
      </x:c>
      <x:c r="I128" s="12" t="str">
        <x:v>Hỗ trợ câu lạc bộ sinh viên</x:v>
      </x:c>
      <x:c r="J128" s="12" t="str">
        <x:v>Toàn trường</x:v>
      </x:c>
      <x:c r="K128" s="12" t="n">
        <x:v>2</x:v>
      </x:c>
      <x:c r="L128" s="16" t="n">
        <x:v>15453000</x:v>
      </x:c>
      <x:c r="M128" s="16" t="n">
        <x:f>K128*L128</x:f>
        <x:v>30906000</x:v>
      </x:c>
      <x:c r="N128" s="12" t="str">
        <x:v>Cao</x:v>
      </x:c>
      <x:c r="O128" s="12" t="str">
        <x:v>Chờ duyệt</x:v>
      </x:c>
      <x:c r="P128" s="12" t="str"/>
    </x:row>
    <x:row r="129">
      <x:c r="A129" s="12" t="str">
        <x:v>DT-CTSV-2026-128</x:v>
      </x:c>
      <x:c r="B129" s="12" t="str">
        <x:v>Phòng Công tác Sinh viên</x:v>
      </x:c>
      <x:c r="C129" s="12" t="n">
        <x:v>2026</x:v>
      </x:c>
      <x:c r="D129" s="12" t="str">
        <x:v>Q2</x:v>
      </x:c>
      <x:c r="E129" s="12" t="n">
        <x:v>4</x:v>
      </x:c>
      <x:c r="F129" s="12" t="str">
        <x:v>Mental Health Program</x:v>
      </x:c>
      <x:c r="G129" s="12" t="str">
        <x:v>Tư vấn</x:v>
      </x:c>
      <x:c r="H129" s="12" t="str">
        <x:v>Chuyên gia tư vấn tâm lý</x:v>
      </x:c>
      <x:c r="I129" s="12" t="str">
        <x:v>Tư vấn tâm lý và sức khỏe tinh thần</x:v>
      </x:c>
      <x:c r="J129" s="12" t="str">
        <x:v>College of Arts and Sciences</x:v>
      </x:c>
      <x:c r="K129" s="12" t="n">
        <x:v>1</x:v>
      </x:c>
      <x:c r="L129" s="16" t="n">
        <x:v>16991000</x:v>
      </x:c>
      <x:c r="M129" s="16" t="n">
        <x:f>K129*L129</x:f>
        <x:v>16991000</x:v>
      </x:c>
      <x:c r="N129" s="12" t="str">
        <x:v>Cao</x:v>
      </x:c>
      <x:c r="O129" s="12" t="str">
        <x:v>Đã duyệt</x:v>
      </x:c>
      <x:c r="P129" s="12" t="str"/>
    </x:row>
    <x:row r="130">
      <x:c r="A130" s="12" t="str">
        <x:v>DT-CTSV-2026-129</x:v>
      </x:c>
      <x:c r="B130" s="12" t="str">
        <x:v>Phòng Công tác Sinh viên</x:v>
      </x:c>
      <x:c r="C130" s="12" t="n">
        <x:v>2026</x:v>
      </x:c>
      <x:c r="D130" s="12" t="str">
        <x:v>Q4</x:v>
      </x:c>
      <x:c r="E130" s="12" t="n">
        <x:v>11</x:v>
      </x:c>
      <x:c r="F130" s="12" t="str">
        <x:v>Career Fair</x:v>
      </x:c>
      <x:c r="G130" s="12" t="str">
        <x:v>Nghề nghiệp</x:v>
      </x:c>
      <x:c r="H130" s="12" t="str">
        <x:v>Nền tảng tuyển dụng</x:v>
      </x:c>
      <x:c r="I130" s="12" t="str">
        <x:v>Ngày hội việc làm và kết nối doanh nghiệp</x:v>
      </x:c>
      <x:c r="J130" s="12" t="str">
        <x:v>College of Business and Management</x:v>
      </x:c>
      <x:c r="K130" s="12" t="n">
        <x:v>3</x:v>
      </x:c>
      <x:c r="L130" s="16" t="n">
        <x:v>66868000</x:v>
      </x:c>
      <x:c r="M130" s="16" t="n">
        <x:f>K130*L130</x:f>
        <x:v>200604000</x:v>
      </x:c>
      <x:c r="N130" s="12" t="str">
        <x:v>Cao</x:v>
      </x:c>
      <x:c r="O130" s="12" t="str">
        <x:v>Chờ duyệt</x:v>
      </x:c>
      <x:c r="P130" s="12" t="str"/>
    </x:row>
    <x:row r="131">
      <x:c r="A131" s="12" t="str">
        <x:v>DT-CTSV-2026-130</x:v>
      </x:c>
      <x:c r="B131" s="12" t="str">
        <x:v>Phòng Công tác Sinh viên</x:v>
      </x:c>
      <x:c r="C131" s="12" t="n">
        <x:v>2026</x:v>
      </x:c>
      <x:c r="D131" s="12" t="str">
        <x:v>Q4</x:v>
      </x:c>
      <x:c r="E131" s="12" t="n">
        <x:v>11</x:v>
      </x:c>
      <x:c r="F131" s="12" t="str">
        <x:v>Student Clubs</x:v>
      </x:c>
      <x:c r="G131" s="12" t="str">
        <x:v>Hoạt động sinh viên</x:v>
      </x:c>
      <x:c r="H131" s="12" t="str">
        <x:v>Vật tư sự kiện CLB</x:v>
      </x:c>
      <x:c r="I131" s="12" t="str">
        <x:v>Hỗ trợ câu lạc bộ sinh viên</x:v>
      </x:c>
      <x:c r="J131" s="12" t="str">
        <x:v>College of Business and Management</x:v>
      </x:c>
      <x:c r="K131" s="12" t="n">
        <x:v>1</x:v>
      </x:c>
      <x:c r="L131" s="16" t="n">
        <x:v>18200000</x:v>
      </x:c>
      <x:c r="M131" s="16" t="n">
        <x:f>K131*L131</x:f>
        <x:v>18200000</x:v>
      </x:c>
      <x:c r="N131" s="12" t="str">
        <x:v>Cao</x:v>
      </x:c>
      <x:c r="O131" s="12" t="str">
        <x:v>Đã duyệt</x:v>
      </x:c>
      <x:c r="P131" s="12" t="str"/>
    </x:row>
    <x:row r="132">
      <x:c r="A132" s="12" t="str">
        <x:v>DT-CTSV-2026-131</x:v>
      </x:c>
      <x:c r="B132" s="12" t="str">
        <x:v>Phòng Công tác Sinh viên</x:v>
      </x:c>
      <x:c r="C132" s="12" t="n">
        <x:v>2026</x:v>
      </x:c>
      <x:c r="D132" s="12" t="str">
        <x:v>Q2</x:v>
      </x:c>
      <x:c r="E132" s="12" t="n">
        <x:v>5</x:v>
      </x:c>
      <x:c r="F132" s="12" t="str">
        <x:v>Orientation Week</x:v>
      </x:c>
      <x:c r="G132" s="12" t="str">
        <x:v>Sự kiện</x:v>
      </x:c>
      <x:c r="H132" s="12" t="str">
        <x:v>Âm thanh ánh sáng</x:v>
      </x:c>
      <x:c r="I132" s="12" t="str">
        <x:v>Tuần lễ định hướng tân sinh viên</x:v>
      </x:c>
      <x:c r="J132" s="12" t="str">
        <x:v>Toàn trường</x:v>
      </x:c>
      <x:c r="K132" s="12" t="n">
        <x:v>3</x:v>
      </x:c>
      <x:c r="L132" s="16" t="n">
        <x:v>91966000</x:v>
      </x:c>
      <x:c r="M132" s="16" t="n">
        <x:f>K132*L132</x:f>
        <x:v>275898000</x:v>
      </x:c>
      <x:c r="N132" s="12" t="str">
        <x:v>Cao</x:v>
      </x:c>
      <x:c r="O132" s="12" t="str">
        <x:v>Chờ duyệt</x:v>
      </x:c>
      <x:c r="P132" s="12" t="str"/>
    </x:row>
    <x:row r="133">
      <x:c r="A133" s="12" t="str">
        <x:v>DT-CTSV-2026-132</x:v>
      </x:c>
      <x:c r="B133" s="12" t="str">
        <x:v>Phòng Công tác Sinh viên</x:v>
      </x:c>
      <x:c r="C133" s="12" t="n">
        <x:v>2026</x:v>
      </x:c>
      <x:c r="D133" s="12" t="str">
        <x:v>Q3</x:v>
      </x:c>
      <x:c r="E133" s="12" t="n">
        <x:v>8</x:v>
      </x:c>
      <x:c r="F133" s="12" t="str">
        <x:v>Graduation Ceremony</x:v>
      </x:c>
      <x:c r="G133" s="12" t="str">
        <x:v>Sự kiện</x:v>
      </x:c>
      <x:c r="H133" s="12" t="str">
        <x:v>Thuê địa điểm/sân khấu</x:v>
      </x:c>
      <x:c r="I133" s="12" t="str">
        <x:v>Lễ tốt nghiệp và vinh danh sinh viên</x:v>
      </x:c>
      <x:c r="J133" s="12" t="str">
        <x:v>College of Engineering and Computer Science</x:v>
      </x:c>
      <x:c r="K133" s="12" t="n">
        <x:v>1</x:v>
      </x:c>
      <x:c r="L133" s="16" t="n">
        <x:v>135587000</x:v>
      </x:c>
      <x:c r="M133" s="16" t="n">
        <x:f>K133*L133</x:f>
        <x:v>135587000</x:v>
      </x:c>
      <x:c r="N133" s="12" t="str">
        <x:v>Cao</x:v>
      </x:c>
      <x:c r="O133" s="12" t="str">
        <x:v>Điều chỉnh</x:v>
      </x:c>
      <x:c r="P133" s="12" t="str"/>
    </x:row>
    <x:row r="134">
      <x:c r="A134" s="12" t="str">
        <x:v>DT-CTSV-2026-133</x:v>
      </x:c>
      <x:c r="B134" s="12" t="str">
        <x:v>Phòng Công tác Sinh viên</x:v>
      </x:c>
      <x:c r="C134" s="12" t="n">
        <x:v>2026</x:v>
      </x:c>
      <x:c r="D134" s="12" t="str">
        <x:v>Q3</x:v>
      </x:c>
      <x:c r="E134" s="12" t="n">
        <x:v>8</x:v>
      </x:c>
      <x:c r="F134" s="12" t="str">
        <x:v>International Exchange</x:v>
      </x:c>
      <x:c r="G134" s="12" t="str">
        <x:v>Quốc tế</x:v>
      </x:c>
      <x:c r="H134" s="12" t="str">
        <x:v>Workshop văn hóa</x:v>
      </x:c>
      <x:c r="I134" s="12" t="str">
        <x:v>Trao đổi sinh viên và hoạt động quốc tế</x:v>
      </x:c>
      <x:c r="J134" s="12" t="str">
        <x:v>College of Arts and Sciences</x:v>
      </x:c>
      <x:c r="K134" s="12" t="n">
        <x:v>1</x:v>
      </x:c>
      <x:c r="L134" s="16" t="n">
        <x:v>32676000</x:v>
      </x:c>
      <x:c r="M134" s="16" t="n">
        <x:f>K134*L134</x:f>
        <x:v>32676000</x:v>
      </x:c>
      <x:c r="N134" s="12" t="str">
        <x:v>Trung bình</x:v>
      </x:c>
      <x:c r="O134" s="12" t="str">
        <x:v>Điều chỉnh</x:v>
      </x:c>
      <x:c r="P134" s="12" t="str"/>
    </x:row>
    <x:row r="135">
      <x:c r="A135" s="12" t="str">
        <x:v>DT-CTSV-2026-134</x:v>
      </x:c>
      <x:c r="B135" s="12" t="str">
        <x:v>Phòng Công tác Sinh viên</x:v>
      </x:c>
      <x:c r="C135" s="12" t="n">
        <x:v>2026</x:v>
      </x:c>
      <x:c r="D135" s="12" t="str">
        <x:v>Q2</x:v>
      </x:c>
      <x:c r="E135" s="12" t="n">
        <x:v>5</x:v>
      </x:c>
      <x:c r="F135" s="12" t="str">
        <x:v>Student Leadership</x:v>
      </x:c>
      <x:c r="G135" s="12" t="str">
        <x:v>Đào tạo</x:v>
      </x:c>
      <x:c r="H135" s="12" t="str">
        <x:v>Diễn giả khách mời</x:v>
      </x:c>
      <x:c r="I135" s="12" t="str">
        <x:v>Đào tạo cán bộ lớp và thủ lĩnh sinh viên</x:v>
      </x:c>
      <x:c r="J135" s="12" t="str">
        <x:v>Toàn trường</x:v>
      </x:c>
      <x:c r="K135" s="12" t="n">
        <x:v>1</x:v>
      </x:c>
      <x:c r="L135" s="16" t="n">
        <x:v>17730000</x:v>
      </x:c>
      <x:c r="M135" s="16" t="n">
        <x:f>K135*L135</x:f>
        <x:v>17730000</x:v>
      </x:c>
      <x:c r="N135" s="12" t="str">
        <x:v>Trung bình</x:v>
      </x:c>
      <x:c r="O135" s="12" t="str">
        <x:v>Điều chỉnh</x:v>
      </x:c>
      <x:c r="P135" s="12" t="str"/>
    </x:row>
    <x:row r="136">
      <x:c r="A136" s="12" t="str">
        <x:v>DT-CTSV-2026-135</x:v>
      </x:c>
      <x:c r="B136" s="12" t="str">
        <x:v>Phòng Công tác Sinh viên</x:v>
      </x:c>
      <x:c r="C136" s="12" t="n">
        <x:v>2026</x:v>
      </x:c>
      <x:c r="D136" s="12" t="str">
        <x:v>Q4</x:v>
      </x:c>
      <x:c r="E136" s="12" t="n">
        <x:v>10</x:v>
      </x:c>
      <x:c r="F136" s="12" t="str">
        <x:v>Orientation Week</x:v>
      </x:c>
      <x:c r="G136" s="12" t="str">
        <x:v>Sự kiện</x:v>
      </x:c>
      <x:c r="H136" s="12" t="str">
        <x:v>Teabreak</x:v>
      </x:c>
      <x:c r="I136" s="12" t="str">
        <x:v>Tuần lễ định hướng tân sinh viên</x:v>
      </x:c>
      <x:c r="J136" s="12" t="str">
        <x:v>College of Arts and Sciences</x:v>
      </x:c>
      <x:c r="K136" s="12" t="n">
        <x:v>364</x:v>
      </x:c>
      <x:c r="L136" s="16" t="n">
        <x:v>138000</x:v>
      </x:c>
      <x:c r="M136" s="16" t="n">
        <x:f>K136*L136</x:f>
        <x:v>50232000</x:v>
      </x:c>
      <x:c r="N136" s="12" t="str">
        <x:v>Cao</x:v>
      </x:c>
      <x:c r="O136" s="12" t="str">
        <x:v>Điều chỉnh</x:v>
      </x:c>
      <x:c r="P136" s="12" t="str"/>
    </x:row>
    <x:row r="137">
      <x:c r="A137" s="12" t="str">
        <x:v>DT-CTSV-2026-136</x:v>
      </x:c>
      <x:c r="B137" s="12" t="str">
        <x:v>Phòng Công tác Sinh viên</x:v>
      </x:c>
      <x:c r="C137" s="12" t="n">
        <x:v>2026</x:v>
      </x:c>
      <x:c r="D137" s="12" t="str">
        <x:v>Q1</x:v>
      </x:c>
      <x:c r="E137" s="12" t="n">
        <x:v>3</x:v>
      </x:c>
      <x:c r="F137" s="12" t="str">
        <x:v>Graduation Ceremony</x:v>
      </x:c>
      <x:c r="G137" s="12" t="str">
        <x:v>Sự kiện</x:v>
      </x:c>
      <x:c r="H137" s="12" t="str">
        <x:v>Teabreak</x:v>
      </x:c>
      <x:c r="I137" s="12" t="str">
        <x:v>Lễ tốt nghiệp và vinh danh sinh viên</x:v>
      </x:c>
      <x:c r="J137" s="12" t="str">
        <x:v>College of Arts and Sciences</x:v>
      </x:c>
      <x:c r="K137" s="12" t="n">
        <x:v>698</x:v>
      </x:c>
      <x:c r="L137" s="16" t="n">
        <x:v>122000</x:v>
      </x:c>
      <x:c r="M137" s="16" t="n">
        <x:f>K137*L137</x:f>
        <x:v>85156000</x:v>
      </x:c>
      <x:c r="N137" s="12" t="str">
        <x:v>Cao</x:v>
      </x:c>
      <x:c r="O137" s="12" t="str">
        <x:v>Đã duyệt</x:v>
      </x:c>
      <x:c r="P137" s="12" t="str"/>
    </x:row>
    <x:row r="138">
      <x:c r="A138" s="12" t="str">
        <x:v>DT-CTSV-2026-137</x:v>
      </x:c>
      <x:c r="B138" s="12" t="str">
        <x:v>Phòng Công tác Sinh viên</x:v>
      </x:c>
      <x:c r="C138" s="12" t="n">
        <x:v>2026</x:v>
      </x:c>
      <x:c r="D138" s="12" t="str">
        <x:v>Q3</x:v>
      </x:c>
      <x:c r="E138" s="12" t="n">
        <x:v>7</x:v>
      </x:c>
      <x:c r="F138" s="12" t="str">
        <x:v>Graduation Ceremony</x:v>
      </x:c>
      <x:c r="G138" s="12" t="str">
        <x:v>Sự kiện</x:v>
      </x:c>
      <x:c r="H138" s="12" t="str">
        <x:v>Teabreak</x:v>
      </x:c>
      <x:c r="I138" s="12" t="str">
        <x:v>Lễ tốt nghiệp và vinh danh sinh viên</x:v>
      </x:c>
      <x:c r="J138" s="12" t="str">
        <x:v>College of Business and Management</x:v>
      </x:c>
      <x:c r="K138" s="12" t="n">
        <x:v>466</x:v>
      </x:c>
      <x:c r="L138" s="16" t="n">
        <x:v>134000</x:v>
      </x:c>
      <x:c r="M138" s="16" t="n">
        <x:f>K138*L138</x:f>
        <x:v>62444000</x:v>
      </x:c>
      <x:c r="N138" s="12" t="str">
        <x:v>Cao</x:v>
      </x:c>
      <x:c r="O138" s="12" t="str">
        <x:v>Chờ duyệt</x:v>
      </x:c>
      <x:c r="P138" s="12" t="str"/>
    </x:row>
    <x:row r="139">
      <x:c r="A139" s="12" t="str">
        <x:v>DT-CTSV-2026-138</x:v>
      </x:c>
      <x:c r="B139" s="12" t="str">
        <x:v>Phòng Công tác Sinh viên</x:v>
      </x:c>
      <x:c r="C139" s="12" t="n">
        <x:v>2026</x:v>
      </x:c>
      <x:c r="D139" s="12" t="str">
        <x:v>Q3</x:v>
      </x:c>
      <x:c r="E139" s="12" t="n">
        <x:v>8</x:v>
      </x:c>
      <x:c r="F139" s="12" t="str">
        <x:v>Community Service</x:v>
      </x:c>
      <x:c r="G139" s="12" t="str">
        <x:v>Cộng đồng</x:v>
      </x:c>
      <x:c r="H139" s="12" t="str">
        <x:v>Vật phẩm hỗ trợ cộng đồng</x:v>
      </x:c>
      <x:c r="I139" s="12" t="str">
        <x:v>Hoạt động tình nguyện và phục vụ cộng đồng</x:v>
      </x:c>
      <x:c r="J139" s="12" t="str">
        <x:v>College of Arts and Sciences</x:v>
      </x:c>
      <x:c r="K139" s="12" t="n">
        <x:v>1</x:v>
      </x:c>
      <x:c r="L139" s="16" t="n">
        <x:v>55751000</x:v>
      </x:c>
      <x:c r="M139" s="16" t="n">
        <x:f>K139*L139</x:f>
        <x:v>55751000</x:v>
      </x:c>
      <x:c r="N139" s="12" t="str">
        <x:v>Trung bình</x:v>
      </x:c>
      <x:c r="O139" s="12" t="str">
        <x:v>Điều chỉnh</x:v>
      </x:c>
      <x:c r="P139" s="12" t="str"/>
    </x:row>
    <x:row r="140">
      <x:c r="A140" s="12" t="str">
        <x:v>DT-CTSV-2026-139</x:v>
      </x:c>
      <x:c r="B140" s="12" t="str">
        <x:v>Phòng Công tác Sinh viên</x:v>
      </x:c>
      <x:c r="C140" s="12" t="n">
        <x:v>2026</x:v>
      </x:c>
      <x:c r="D140" s="12" t="str">
        <x:v>Q1</x:v>
      </x:c>
      <x:c r="E140" s="12" t="n">
        <x:v>2</x:v>
      </x:c>
      <x:c r="F140" s="12" t="str">
        <x:v>Orientation Week</x:v>
      </x:c>
      <x:c r="G140" s="12" t="str">
        <x:v>Sự kiện</x:v>
      </x:c>
      <x:c r="H140" s="12" t="str">
        <x:v>Thiết kế backdrop</x:v>
      </x:c>
      <x:c r="I140" s="12" t="str">
        <x:v>Tuần lễ định hướng tân sinh viên</x:v>
      </x:c>
      <x:c r="J140" s="12" t="str">
        <x:v>College of Health Sciences</x:v>
      </x:c>
      <x:c r="K140" s="12" t="n">
        <x:v>1</x:v>
      </x:c>
      <x:c r="L140" s="16" t="n">
        <x:v>11411000</x:v>
      </x:c>
      <x:c r="M140" s="16" t="n">
        <x:f>K140*L140</x:f>
        <x:v>11411000</x:v>
      </x:c>
      <x:c r="N140" s="12" t="str">
        <x:v>Cao</x:v>
      </x:c>
      <x:c r="O140" s="12" t="str">
        <x:v>Chờ duyệt</x:v>
      </x:c>
      <x:c r="P140" s="12" t="str"/>
    </x:row>
    <x:row r="141">
      <x:c r="A141" s="12" t="str">
        <x:v>DT-CTSV-2026-140</x:v>
      </x:c>
      <x:c r="B141" s="12" t="str">
        <x:v>Phòng Công tác Sinh viên</x:v>
      </x:c>
      <x:c r="C141" s="12" t="n">
        <x:v>2026</x:v>
      </x:c>
      <x:c r="D141" s="12" t="str">
        <x:v>Q4</x:v>
      </x:c>
      <x:c r="E141" s="12" t="n">
        <x:v>11</x:v>
      </x:c>
      <x:c r="F141" s="12" t="str">
        <x:v>International Exchange</x:v>
      </x:c>
      <x:c r="G141" s="12" t="str">
        <x:v>Quốc tế</x:v>
      </x:c>
      <x:c r="H141" s="12" t="str">
        <x:v>Đón tiếp sinh viên trao đổi</x:v>
      </x:c>
      <x:c r="I141" s="12" t="str">
        <x:v>Trao đổi sinh viên và hoạt động quốc tế</x:v>
      </x:c>
      <x:c r="J141" s="12" t="str">
        <x:v>College of Health Sciences</x:v>
      </x:c>
      <x:c r="K141" s="12" t="n">
        <x:v>3</x:v>
      </x:c>
      <x:c r="L141" s="16" t="n">
        <x:v>72435000</x:v>
      </x:c>
      <x:c r="M141" s="16" t="n">
        <x:f>K141*L141</x:f>
        <x:v>217305000</x:v>
      </x:c>
      <x:c r="N141" s="12" t="str">
        <x:v>Trung bình</x:v>
      </x:c>
      <x:c r="O141" s="12" t="str">
        <x:v>Đã duyệt</x:v>
      </x:c>
      <x:c r="P141" s="12" t="str"/>
    </x:row>
    <x:row r="142">
      <x:c r="A142" s="12" t="str">
        <x:v>DT-CTSV-2026-141</x:v>
      </x:c>
      <x:c r="B142" s="12" t="str">
        <x:v>Phòng Công tác Sinh viên</x:v>
      </x:c>
      <x:c r="C142" s="12" t="n">
        <x:v>2026</x:v>
      </x:c>
      <x:c r="D142" s="12" t="str">
        <x:v>Q4</x:v>
      </x:c>
      <x:c r="E142" s="12" t="n">
        <x:v>10</x:v>
      </x:c>
      <x:c r="F142" s="12" t="str">
        <x:v>International Exchange</x:v>
      </x:c>
      <x:c r="G142" s="12" t="str">
        <x:v>Quốc tế</x:v>
      </x:c>
      <x:c r="H142" s="12" t="str">
        <x:v>Workshop văn hóa</x:v>
      </x:c>
      <x:c r="I142" s="12" t="str">
        <x:v>Trao đổi sinh viên và hoạt động quốc tế</x:v>
      </x:c>
      <x:c r="J142" s="12" t="str">
        <x:v>College of Health Sciences</x:v>
      </x:c>
      <x:c r="K142" s="12" t="n">
        <x:v>2</x:v>
      </x:c>
      <x:c r="L142" s="16" t="n">
        <x:v>33004000</x:v>
      </x:c>
      <x:c r="M142" s="16" t="n">
        <x:f>K142*L142</x:f>
        <x:v>66008000</x:v>
      </x:c>
      <x:c r="N142" s="12" t="str">
        <x:v>Trung bình</x:v>
      </x:c>
      <x:c r="O142" s="12" t="str">
        <x:v>Đã duyệt</x:v>
      </x:c>
      <x:c r="P142" s="12" t="str"/>
    </x:row>
    <x:row r="143">
      <x:c r="A143" s="12" t="str">
        <x:v>DT-CTSV-2026-142</x:v>
      </x:c>
      <x:c r="B143" s="12" t="str">
        <x:v>Phòng Công tác Sinh viên</x:v>
      </x:c>
      <x:c r="C143" s="12" t="n">
        <x:v>2026</x:v>
      </x:c>
      <x:c r="D143" s="12" t="str">
        <x:v>Q1</x:v>
      </x:c>
      <x:c r="E143" s="12" t="n">
        <x:v>3</x:v>
      </x:c>
      <x:c r="F143" s="12" t="str">
        <x:v>Mental Health Program</x:v>
      </x:c>
      <x:c r="G143" s="12" t="str">
        <x:v>Tư vấn</x:v>
      </x:c>
      <x:c r="H143" s="12" t="str">
        <x:v>Tài liệu truyền thông sức khỏe tinh thần</x:v>
      </x:c>
      <x:c r="I143" s="12" t="str">
        <x:v>Tư vấn tâm lý và sức khỏe tinh thần</x:v>
      </x:c>
      <x:c r="J143" s="12" t="str">
        <x:v>College of Arts and Sciences</x:v>
      </x:c>
      <x:c r="K143" s="12" t="n">
        <x:v>674</x:v>
      </x:c>
      <x:c r="L143" s="16" t="n">
        <x:v>41000</x:v>
      </x:c>
      <x:c r="M143" s="16" t="n">
        <x:f>K143*L143</x:f>
        <x:v>27634000</x:v>
      </x:c>
      <x:c r="N143" s="12" t="str">
        <x:v>Cao</x:v>
      </x:c>
      <x:c r="O143" s="12" t="str">
        <x:v>Đã duyệt</x:v>
      </x:c>
      <x:c r="P143" s="12" t="str"/>
    </x:row>
    <x:row r="144">
      <x:c r="A144" s="12" t="str">
        <x:v>DT-CTSV-2026-143</x:v>
      </x:c>
      <x:c r="B144" s="12" t="str">
        <x:v>Phòng Công tác Sinh viên</x:v>
      </x:c>
      <x:c r="C144" s="12" t="n">
        <x:v>2026</x:v>
      </x:c>
      <x:c r="D144" s="12" t="str">
        <x:v>Q2</x:v>
      </x:c>
      <x:c r="E144" s="12" t="n">
        <x:v>4</x:v>
      </x:c>
      <x:c r="F144" s="12" t="str">
        <x:v>Orientation Week</x:v>
      </x:c>
      <x:c r="G144" s="12" t="str">
        <x:v>Sự kiện</x:v>
      </x:c>
      <x:c r="H144" s="12" t="str">
        <x:v>Nhân sự hỗ trợ sự kiện</x:v>
      </x:c>
      <x:c r="I144" s="12" t="str">
        <x:v>Tuần lễ định hướng tân sinh viên</x:v>
      </x:c>
      <x:c r="J144" s="12" t="str">
        <x:v>College of Health Sciences</x:v>
      </x:c>
      <x:c r="K144" s="12" t="n">
        <x:v>23</x:v>
      </x:c>
      <x:c r="L144" s="16" t="n">
        <x:v>779000</x:v>
      </x:c>
      <x:c r="M144" s="16" t="n">
        <x:f>K144*L144</x:f>
        <x:v>17917000</x:v>
      </x:c>
      <x:c r="N144" s="12" t="str">
        <x:v>Cao</x:v>
      </x:c>
      <x:c r="O144" s="12" t="str">
        <x:v>Điều chỉnh</x:v>
      </x:c>
      <x:c r="P144" s="12" t="str"/>
    </x:row>
    <x:row r="145">
      <x:c r="A145" s="12" t="str">
        <x:v>DT-CTSV-2026-144</x:v>
      </x:c>
      <x:c r="B145" s="12" t="str">
        <x:v>Phòng Công tác Sinh viên</x:v>
      </x:c>
      <x:c r="C145" s="12" t="n">
        <x:v>2026</x:v>
      </x:c>
      <x:c r="D145" s="12" t="str">
        <x:v>Q2</x:v>
      </x:c>
      <x:c r="E145" s="12" t="n">
        <x:v>4</x:v>
      </x:c>
      <x:c r="F145" s="12" t="str">
        <x:v>Community Service</x:v>
      </x:c>
      <x:c r="G145" s="12" t="str">
        <x:v>Cộng đồng</x:v>
      </x:c>
      <x:c r="H145" s="12" t="str">
        <x:v>Phương tiện di chuyển</x:v>
      </x:c>
      <x:c r="I145" s="12" t="str">
        <x:v>Hoạt động tình nguyện và phục vụ cộng đồng</x:v>
      </x:c>
      <x:c r="J145" s="12" t="str">
        <x:v>College of Health Sciences</x:v>
      </x:c>
      <x:c r="K145" s="12" t="n">
        <x:v>1</x:v>
      </x:c>
      <x:c r="L145" s="16" t="n">
        <x:v>25864000</x:v>
      </x:c>
      <x:c r="M145" s="16" t="n">
        <x:f>K145*L145</x:f>
        <x:v>25864000</x:v>
      </x:c>
      <x:c r="N145" s="12" t="str">
        <x:v>Trung bình</x:v>
      </x:c>
      <x:c r="O145" s="12" t="str">
        <x:v>Điều chỉnh</x:v>
      </x:c>
      <x:c r="P145" s="12" t="str"/>
    </x:row>
    <x:row r="146">
      <x:c r="A146" s="12" t="str">
        <x:v>DT-CTSV-2026-145</x:v>
      </x:c>
      <x:c r="B146" s="12" t="str">
        <x:v>Phòng Công tác Sinh viên</x:v>
      </x:c>
      <x:c r="C146" s="12" t="n">
        <x:v>2026</x:v>
      </x:c>
      <x:c r="D146" s="12" t="str">
        <x:v>Q4</x:v>
      </x:c>
      <x:c r="E146" s="12" t="n">
        <x:v>12</x:v>
      </x:c>
      <x:c r="F146" s="12" t="str">
        <x:v>Scholarship Program</x:v>
      </x:c>
      <x:c r="G146" s="12" t="str">
        <x:v>Học bổng</x:v>
      </x:c>
      <x:c r="H146" s="12" t="str">
        <x:v>Hỗ trợ khó khăn</x:v>
      </x:c>
      <x:c r="I146" s="12" t="str">
        <x:v>Học bổng và hỗ trợ tài chính</x:v>
      </x:c>
      <x:c r="J146" s="12" t="str">
        <x:v>College of Engineering and Computer Science</x:v>
      </x:c>
      <x:c r="K146" s="12" t="n">
        <x:v>1</x:v>
      </x:c>
      <x:c r="L146" s="16" t="n">
        <x:v>15803000</x:v>
      </x:c>
      <x:c r="M146" s="16" t="n">
        <x:f>K146*L146</x:f>
        <x:v>15803000</x:v>
      </x:c>
      <x:c r="N146" s="12" t="str">
        <x:v>Cao</x:v>
      </x:c>
      <x:c r="O146" s="12" t="str">
        <x:v>Chờ duyệt</x:v>
      </x:c>
      <x:c r="P146" s="12" t="str"/>
    </x:row>
    <x:row r="147">
      <x:c r="A147" s="12" t="str">
        <x:v>DT-CTSV-2026-146</x:v>
      </x:c>
      <x:c r="B147" s="12" t="str">
        <x:v>Phòng Công tác Sinh viên</x:v>
      </x:c>
      <x:c r="C147" s="12" t="n">
        <x:v>2026</x:v>
      </x:c>
      <x:c r="D147" s="12" t="str">
        <x:v>Q2</x:v>
      </x:c>
      <x:c r="E147" s="12" t="n">
        <x:v>4</x:v>
      </x:c>
      <x:c r="F147" s="12" t="str">
        <x:v>Graduation Ceremony</x:v>
      </x:c>
      <x:c r="G147" s="12" t="str">
        <x:v>Sự kiện</x:v>
      </x:c>
      <x:c r="H147" s="12" t="str">
        <x:v>Thiết kế backdrop</x:v>
      </x:c>
      <x:c r="I147" s="12" t="str">
        <x:v>Lễ tốt nghiệp và vinh danh sinh viên</x:v>
      </x:c>
      <x:c r="J147" s="12" t="str">
        <x:v>College of Arts and Sciences</x:v>
      </x:c>
      <x:c r="K147" s="12" t="n">
        <x:v>2</x:v>
      </x:c>
      <x:c r="L147" s="16" t="n">
        <x:v>12846000</x:v>
      </x:c>
      <x:c r="M147" s="16" t="n">
        <x:f>K147*L147</x:f>
        <x:v>25692000</x:v>
      </x:c>
      <x:c r="N147" s="12" t="str">
        <x:v>Cao</x:v>
      </x:c>
      <x:c r="O147" s="12" t="str">
        <x:v>Đã duyệt</x:v>
      </x:c>
      <x:c r="P147" s="12" t="str"/>
    </x:row>
    <x:row r="148">
      <x:c r="A148" s="12" t="str">
        <x:v>DT-CTSV-2026-147</x:v>
      </x:c>
      <x:c r="B148" s="12" t="str">
        <x:v>Phòng Công tác Sinh viên</x:v>
      </x:c>
      <x:c r="C148" s="12" t="n">
        <x:v>2026</x:v>
      </x:c>
      <x:c r="D148" s="12" t="str">
        <x:v>Q4</x:v>
      </x:c>
      <x:c r="E148" s="12" t="n">
        <x:v>12</x:v>
      </x:c>
      <x:c r="F148" s="12" t="str">
        <x:v>Student Wellbeing</x:v>
      </x:c>
      <x:c r="G148" s="12" t="str">
        <x:v>Đời sống</x:v>
      </x:c>
      <x:c r="H148" s="12" t="str">
        <x:v>Gói hỗ trợ khẩn cấp</x:v>
      </x:c>
      <x:c r="I148" s="12" t="str">
        <x:v>Chăm sóc đời sống sinh viên</x:v>
      </x:c>
      <x:c r="J148" s="12" t="str">
        <x:v>College of Engineering and Computer Science</x:v>
      </x:c>
      <x:c r="K148" s="12" t="n">
        <x:v>1</x:v>
      </x:c>
      <x:c r="L148" s="16" t="n">
        <x:v>23912000</x:v>
      </x:c>
      <x:c r="M148" s="16" t="n">
        <x:f>K148*L148</x:f>
        <x:v>23912000</x:v>
      </x:c>
      <x:c r="N148" s="12" t="str">
        <x:v>Cao</x:v>
      </x:c>
      <x:c r="O148" s="12" t="str">
        <x:v>Chờ duyệt</x:v>
      </x:c>
      <x:c r="P148" s="12" t="str"/>
    </x:row>
    <x:row r="149">
      <x:c r="A149" s="12" t="str">
        <x:v>DT-CTSV-2026-148</x:v>
      </x:c>
      <x:c r="B149" s="12" t="str">
        <x:v>Phòng Công tác Sinh viên</x:v>
      </x:c>
      <x:c r="C149" s="12" t="n">
        <x:v>2026</x:v>
      </x:c>
      <x:c r="D149" s="12" t="str">
        <x:v>Q2</x:v>
      </x:c>
      <x:c r="E149" s="12" t="n">
        <x:v>5</x:v>
      </x:c>
      <x:c r="F149" s="12" t="str">
        <x:v>Student Leadership</x:v>
      </x:c>
      <x:c r="G149" s="12" t="str">
        <x:v>Đào tạo</x:v>
      </x:c>
      <x:c r="H149" s="12" t="str">
        <x:v>Diễn giả khách mời</x:v>
      </x:c>
      <x:c r="I149" s="12" t="str">
        <x:v>Đào tạo cán bộ lớp và thủ lĩnh sinh viên</x:v>
      </x:c>
      <x:c r="J149" s="12" t="str">
        <x:v>College of Engineering and Computer Science</x:v>
      </x:c>
      <x:c r="K149" s="12" t="n">
        <x:v>1</x:v>
      </x:c>
      <x:c r="L149" s="16" t="n">
        <x:v>19262000</x:v>
      </x:c>
      <x:c r="M149" s="16" t="n">
        <x:f>K149*L149</x:f>
        <x:v>19262000</x:v>
      </x:c>
      <x:c r="N149" s="12" t="str">
        <x:v>Trung bình</x:v>
      </x:c>
      <x:c r="O149" s="12" t="str">
        <x:v>Điều chỉnh</x:v>
      </x:c>
      <x:c r="P149" s="12" t="str"/>
    </x:row>
    <x:row r="150">
      <x:c r="A150" s="12" t="str">
        <x:v>DT-CTSV-2026-149</x:v>
      </x:c>
      <x:c r="B150" s="12" t="str">
        <x:v>Phòng Công tác Sinh viên</x:v>
      </x:c>
      <x:c r="C150" s="12" t="n">
        <x:v>2026</x:v>
      </x:c>
      <x:c r="D150" s="12" t="str">
        <x:v>Q3</x:v>
      </x:c>
      <x:c r="E150" s="12" t="n">
        <x:v>8</x:v>
      </x:c>
      <x:c r="F150" s="12" t="str">
        <x:v>Student Wellbeing</x:v>
      </x:c>
      <x:c r="G150" s="12" t="str">
        <x:v>Đời sống</x:v>
      </x:c>
      <x:c r="H150" s="12" t="str">
        <x:v>Gói hỗ trợ khẩn cấp</x:v>
      </x:c>
      <x:c r="I150" s="12" t="str">
        <x:v>Chăm sóc đời sống sinh viên</x:v>
      </x:c>
      <x:c r="J150" s="12" t="str">
        <x:v>College of Arts and Sciences</x:v>
      </x:c>
      <x:c r="K150" s="12" t="n">
        <x:v>1</x:v>
      </x:c>
      <x:c r="L150" s="16" t="n">
        <x:v>20572000</x:v>
      </x:c>
      <x:c r="M150" s="16" t="n">
        <x:f>K150*L150</x:f>
        <x:v>20572000</x:v>
      </x:c>
      <x:c r="N150" s="12" t="str">
        <x:v>Cao</x:v>
      </x:c>
      <x:c r="O150" s="12" t="str">
        <x:v>Chờ duyệt</x:v>
      </x:c>
      <x:c r="P150" s="12" t="str"/>
    </x:row>
    <x:row r="151">
      <x:c r="A151" s="12" t="str">
        <x:v>DT-CTSV-2026-150</x:v>
      </x:c>
      <x:c r="B151" s="12" t="str">
        <x:v>Phòng Công tác Sinh viên</x:v>
      </x:c>
      <x:c r="C151" s="12" t="n">
        <x:v>2026</x:v>
      </x:c>
      <x:c r="D151" s="12" t="str">
        <x:v>Q3</x:v>
      </x:c>
      <x:c r="E151" s="12" t="n">
        <x:v>9</x:v>
      </x:c>
      <x:c r="F151" s="12" t="str">
        <x:v>Student Leadership</x:v>
      </x:c>
      <x:c r="G151" s="12" t="str">
        <x:v>Đào tạo</x:v>
      </x:c>
      <x:c r="H151" s="12" t="str">
        <x:v>Diễn giả khách mời</x:v>
      </x:c>
      <x:c r="I151" s="12" t="str">
        <x:v>Đào tạo cán bộ lớp và thủ lĩnh sinh viên</x:v>
      </x:c>
      <x:c r="J151" s="12" t="str">
        <x:v>College of Engineering and Computer Science</x:v>
      </x:c>
      <x:c r="K151" s="12" t="n">
        <x:v>2</x:v>
      </x:c>
      <x:c r="L151" s="16" t="n">
        <x:v>20642000</x:v>
      </x:c>
      <x:c r="M151" s="16" t="n">
        <x:f>K151*L151</x:f>
        <x:v>41284000</x:v>
      </x:c>
      <x:c r="N151" s="12" t="str">
        <x:v>Trung bình</x:v>
      </x:c>
      <x:c r="O151" s="12" t="str">
        <x:v>Đã duyệt</x:v>
      </x:c>
      <x:c r="P151" s="12" t="str"/>
    </x:row>
  </x:sheetData>
  <x:dataValidations count="1">
    <x:dataValidation type="list" sqref="N2:N151">
      <x:formula1>Danh_muc!$G$2:$G$4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47f5f1899c44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3.2300000190734863" hidden="0" customWidth="1"/>
    <x:col min="3" max="3" width="18.709999084472656" hidden="0" customWidth="1"/>
    <x:col min="4" max="4" width="16.020000457763672" hidden="0" customWidth="1"/>
    <x:col min="5" max="5" width="9.020000457763672" hidden="0" customWidth="1"/>
    <x:col min="6" max="6" width="11.710000038146973" hidden="0" customWidth="1"/>
    <x:col min="7" max="7" width="9.5600004196167" hidden="0" customWidth="1"/>
    <x:col min="8" max="8" width="10.770000457763672" hidden="0" customWidth="1"/>
    <x:col min="9" max="9" width="11.979999542236328" hidden="0" customWidth="1"/>
    <x:col min="10" max="10" width="6.059999942779541" hidden="0" customWidth="1"/>
  </x:cols>
  <x:sheetData>
    <x:row r="1">
      <x:c r="A1" s="6" t="str">
        <x:v>Tháng</x:v>
      </x:c>
      <x:c r="B1" s="6" t="str">
        <x:v>Quý</x:v>
      </x:c>
      <x:c r="C1" s="6" t="str">
        <x:v>Chương trình</x:v>
      </x:c>
      <x:c r="D1" s="6" t="str">
        <x:v>Ngân sách kế hoạch</x:v>
      </x:c>
      <x:c r="E1" s="6" t="str">
        <x:v>Đã cam kết</x:v>
      </x:c>
      <x:c r="F1" s="6" t="str">
        <x:v>Đã thanh toán</x:v>
      </x:c>
      <x:c r="G1" s="6" t="str">
        <x:v>Còn lại</x:v>
      </x:c>
      <x:c r="H1" s="6" t="str">
        <x:v>Tỷ lệ sử dụng</x:v>
      </x:c>
      <x:c r="I1" s="6" t="str">
        <x:v>Cảnh báo</x:v>
      </x:c>
      <x:c r="J1" s="6" t="str">
        <x:v>Ghi chú</x:v>
      </x:c>
    </x:row>
    <x:row r="2">
      <x:c r="A2" s="18" t="n">
        <x:v>46023</x:v>
      </x:c>
      <x:c r="B2" s="12" t="str">
        <x:v>Q1</x:v>
      </x:c>
      <x:c r="C2" s="12" t="str">
        <x:v>Orientation Week</x:v>
      </x:c>
      <x:c r="D2" s="16" t="n">
        <x:v>139000000</x:v>
      </x:c>
      <x:c r="E2" s="16" t="n">
        <x:f>SUMIFS('03_De_nghi_thanh_toan'!$I:$I,'03_De_nghi_thanh_toan'!$D:$D,C2,'03_De_nghi_thanh_toan'!$B:$B,"&gt;="&amp;A2,'03_De_nghi_thanh_toan'!$B:$B,"&lt;="&amp;EOMONTH(A2,0))</x:f>
        <x:v>179220800</x:v>
      </x:c>
      <x:c r="F2" s="16" t="n">
        <x:f>SUMIFS('03_De_nghi_thanh_toan'!$I:$I,'03_De_nghi_thanh_toan'!$D:$D,C2,'03_De_nghi_thanh_toan'!$B:$B,"&gt;="&amp;A2,'03_De_nghi_thanh_toan'!$B:$B,"&lt;="&amp;EOMONTH(A2,0),'03_De_nghi_thanh_toan'!$K:$K,"Đã thanh toán")</x:f>
        <x:v>104710100</x:v>
      </x:c>
      <x:c r="G2" s="16" t="n">
        <x:f>D2-F2</x:f>
        <x:v>34289900</x:v>
      </x:c>
      <x:c r="H2" s="20" t="n">
        <x:f>IFERROR(F2/D2,0)</x:f>
        <x:v>0.753310071942446</x:v>
      </x:c>
      <x:c r="I2" s="12" t="str">
        <x:f>IF(H2&gt;1,"Vượt kế hoạch",IF(H2&gt;0.85,"Cần theo dõi","Trong kế hoạch"))</x:f>
        <x:v>Trong kế hoạch</x:v>
      </x:c>
      <x:c r="J2" s="12" t="str"/>
    </x:row>
    <x:row r="3">
      <x:c r="A3" s="18" t="n">
        <x:v>46023</x:v>
      </x:c>
      <x:c r="B3" s="12" t="str">
        <x:v>Q1</x:v>
      </x:c>
      <x:c r="C3" s="12" t="str">
        <x:v>Student Clubs</x:v>
      </x:c>
      <x:c r="D3" s="16" t="n">
        <x:v>173000000</x:v>
      </x:c>
      <x:c r="E3" s="16" t="n">
        <x:f>SUMIFS('03_De_nghi_thanh_toan'!$I:$I,'03_De_nghi_thanh_toan'!$D:$D,C3,'03_De_nghi_thanh_toan'!$B:$B,"&gt;="&amp;A3,'03_De_nghi_thanh_toan'!$B:$B,"&lt;="&amp;EOMONTH(A3,0))</x:f>
        <x:v>224417600</x:v>
      </x:c>
      <x:c r="F3" s="16" t="n">
        <x:f>SUMIFS('03_De_nghi_thanh_toan'!$I:$I,'03_De_nghi_thanh_toan'!$D:$D,C3,'03_De_nghi_thanh_toan'!$B:$B,"&gt;="&amp;A3,'03_De_nghi_thanh_toan'!$B:$B,"&lt;="&amp;EOMONTH(A3,0),'03_De_nghi_thanh_toan'!$K:$K,"Đã thanh toán")</x:f>
        <x:v>107174100</x:v>
      </x:c>
      <x:c r="G3" s="16" t="n">
        <x:f>D3-F3</x:f>
        <x:v>65825900</x:v>
      </x:c>
      <x:c r="H3" s="20" t="n">
        <x:f>IFERROR(F3/D3,0)</x:f>
        <x:v>0.6195034682080924</x:v>
      </x:c>
      <x:c r="I3" s="12" t="str">
        <x:f>IF(H3&gt;1,"Vượt kế hoạch",IF(H3&gt;0.85,"Cần theo dõi","Trong kế hoạch"))</x:f>
        <x:v>Trong kế hoạch</x:v>
      </x:c>
      <x:c r="J3" s="12" t="str"/>
    </x:row>
    <x:row r="4">
      <x:c r="A4" s="18" t="n">
        <x:v>46023</x:v>
      </x:c>
      <x:c r="B4" s="12" t="str">
        <x:v>Q1</x:v>
      </x:c>
      <x:c r="C4" s="12" t="str">
        <x:v>Scholarship Program</x:v>
      </x:c>
      <x:c r="D4" s="16" t="n">
        <x:v>147000000</x:v>
      </x:c>
      <x:c r="E4" s="16" t="n">
        <x:f>SUMIFS('03_De_nghi_thanh_toan'!$I:$I,'03_De_nghi_thanh_toan'!$D:$D,C4,'03_De_nghi_thanh_toan'!$B:$B,"&gt;="&amp;A4,'03_De_nghi_thanh_toan'!$B:$B,"&lt;="&amp;EOMONTH(A4,0))</x:f>
        <x:v>58924000</x:v>
      </x:c>
      <x:c r="F4" s="16" t="n">
        <x:f>SUMIFS('03_De_nghi_thanh_toan'!$I:$I,'03_De_nghi_thanh_toan'!$D:$D,C4,'03_De_nghi_thanh_toan'!$B:$B,"&gt;="&amp;A4,'03_De_nghi_thanh_toan'!$B:$B,"&lt;="&amp;EOMONTH(A4,0),'03_De_nghi_thanh_toan'!$K:$K,"Đã thanh toán")</x:f>
        <x:v>0</x:v>
      </x:c>
      <x:c r="G4" s="16" t="n">
        <x:f>D4-F4</x:f>
        <x:v>147000000</x:v>
      </x:c>
      <x:c r="H4" s="20" t="n">
        <x:f>IFERROR(F4/D4,0)</x:f>
        <x:v>0</x:v>
      </x:c>
      <x:c r="I4" s="12" t="str">
        <x:f>IF(H4&gt;1,"Vượt kế hoạch",IF(H4&gt;0.85,"Cần theo dõi","Trong kế hoạch"))</x:f>
        <x:v>Trong kế hoạch</x:v>
      </x:c>
      <x:c r="J4" s="12" t="str"/>
    </x:row>
    <x:row r="5">
      <x:c r="A5" s="18" t="n">
        <x:v>46023</x:v>
      </x:c>
      <x:c r="B5" s="12" t="str">
        <x:v>Q1</x:v>
      </x:c>
      <x:c r="C5" s="12" t="str">
        <x:v>Career Fair</x:v>
      </x:c>
      <x:c r="D5" s="16" t="n">
        <x:v>177000000</x:v>
      </x:c>
      <x:c r="E5" s="16" t="n">
        <x:f>SUMIFS('03_De_nghi_thanh_toan'!$I:$I,'03_De_nghi_thanh_toan'!$D:$D,C5,'03_De_nghi_thanh_toan'!$B:$B,"&gt;="&amp;A5,'03_De_nghi_thanh_toan'!$B:$B,"&lt;="&amp;EOMONTH(A5,0))</x:f>
        <x:v>233282500</x:v>
      </x:c>
      <x:c r="F5" s="16" t="n">
        <x:f>SUMIFS('03_De_nghi_thanh_toan'!$I:$I,'03_De_nghi_thanh_toan'!$D:$D,C5,'03_De_nghi_thanh_toan'!$B:$B,"&gt;="&amp;A5,'03_De_nghi_thanh_toan'!$B:$B,"&lt;="&amp;EOMONTH(A5,0),'03_De_nghi_thanh_toan'!$K:$K,"Đã thanh toán")</x:f>
        <x:v>76886700</x:v>
      </x:c>
      <x:c r="G5" s="16" t="n">
        <x:f>D5-F5</x:f>
        <x:v>100113300</x:v>
      </x:c>
      <x:c r="H5" s="20" t="n">
        <x:f>IFERROR(F5/D5,0)</x:f>
        <x:v>0.4343881355932203</x:v>
      </x:c>
      <x:c r="I5" s="12" t="str">
        <x:f>IF(H5&gt;1,"Vượt kế hoạch",IF(H5&gt;0.85,"Cần theo dõi","Trong kế hoạch"))</x:f>
        <x:v>Trong kế hoạch</x:v>
      </x:c>
      <x:c r="J5" s="12" t="str"/>
    </x:row>
    <x:row r="6">
      <x:c r="A6" s="18" t="n">
        <x:v>46023</x:v>
      </x:c>
      <x:c r="B6" s="12" t="str">
        <x:v>Q1</x:v>
      </x:c>
      <x:c r="C6" s="12" t="str">
        <x:v>Mental Health Program</x:v>
      </x:c>
      <x:c r="D6" s="16" t="n">
        <x:v>215000000</x:v>
      </x:c>
      <x:c r="E6" s="16" t="n">
        <x:f>SUMIFS('03_De_nghi_thanh_toan'!$I:$I,'03_De_nghi_thanh_toan'!$D:$D,C6,'03_De_nghi_thanh_toan'!$B:$B,"&gt;="&amp;A6,'03_De_nghi_thanh_toan'!$B:$B,"&lt;="&amp;EOMONTH(A6,0))</x:f>
        <x:v>192858600</x:v>
      </x:c>
      <x:c r="F6" s="16" t="n">
        <x:f>SUMIFS('03_De_nghi_thanh_toan'!$I:$I,'03_De_nghi_thanh_toan'!$D:$D,C6,'03_De_nghi_thanh_toan'!$B:$B,"&gt;="&amp;A6,'03_De_nghi_thanh_toan'!$B:$B,"&lt;="&amp;EOMONTH(A6,0),'03_De_nghi_thanh_toan'!$K:$K,"Đã thanh toán")</x:f>
        <x:v>67907400</x:v>
      </x:c>
      <x:c r="G6" s="16" t="n">
        <x:f>D6-F6</x:f>
        <x:v>147092600</x:v>
      </x:c>
      <x:c r="H6" s="20" t="n">
        <x:f>IFERROR(F6/D6,0)</x:f>
        <x:v>0.31584837209302324</x:v>
      </x:c>
      <x:c r="I6" s="12" t="str">
        <x:f>IF(H6&gt;1,"Vượt kế hoạch",IF(H6&gt;0.85,"Cần theo dõi","Trong kế hoạch"))</x:f>
        <x:v>Trong kế hoạch</x:v>
      </x:c>
      <x:c r="J6" s="12" t="str"/>
    </x:row>
    <x:row r="7">
      <x:c r="A7" s="18" t="n">
        <x:v>46023</x:v>
      </x:c>
      <x:c r="B7" s="12" t="str">
        <x:v>Q1</x:v>
      </x:c>
      <x:c r="C7" s="12" t="str">
        <x:v>Student Leadership</x:v>
      </x:c>
      <x:c r="D7" s="16" t="n">
        <x:v>161000000</x:v>
      </x:c>
      <x:c r="E7" s="16" t="n">
        <x:f>SUMIFS('03_De_nghi_thanh_toan'!$I:$I,'03_De_nghi_thanh_toan'!$D:$D,C7,'03_De_nghi_thanh_toan'!$B:$B,"&gt;="&amp;A7,'03_De_nghi_thanh_toan'!$B:$B,"&lt;="&amp;EOMONTH(A7,0))</x:f>
        <x:v>31054100</x:v>
      </x:c>
      <x:c r="F7" s="16" t="n">
        <x:f>SUMIFS('03_De_nghi_thanh_toan'!$I:$I,'03_De_nghi_thanh_toan'!$D:$D,C7,'03_De_nghi_thanh_toan'!$B:$B,"&gt;="&amp;A7,'03_De_nghi_thanh_toan'!$B:$B,"&lt;="&amp;EOMONTH(A7,0),'03_De_nghi_thanh_toan'!$K:$K,"Đã thanh toán")</x:f>
        <x:v>0</x:v>
      </x:c>
      <x:c r="G7" s="16" t="n">
        <x:f>D7-F7</x:f>
        <x:v>161000000</x:v>
      </x:c>
      <x:c r="H7" s="20" t="n">
        <x:f>IFERROR(F7/D7,0)</x:f>
        <x:v>0</x:v>
      </x:c>
      <x:c r="I7" s="12" t="str">
        <x:f>IF(H7&gt;1,"Vượt kế hoạch",IF(H7&gt;0.85,"Cần theo dõi","Trong kế hoạch"))</x:f>
        <x:v>Trong kế hoạch</x:v>
      </x:c>
      <x:c r="J7" s="12" t="str"/>
    </x:row>
    <x:row r="8">
      <x:c r="A8" s="18" t="n">
        <x:v>46023</x:v>
      </x:c>
      <x:c r="B8" s="12" t="str">
        <x:v>Q1</x:v>
      </x:c>
      <x:c r="C8" s="12" t="str">
        <x:v>Community Service</x:v>
      </x:c>
      <x:c r="D8" s="16" t="n">
        <x:v>186000000</x:v>
      </x:c>
      <x:c r="E8" s="16" t="n">
        <x:f>SUMIFS('03_De_nghi_thanh_toan'!$I:$I,'03_De_nghi_thanh_toan'!$D:$D,C8,'03_De_nghi_thanh_toan'!$B:$B,"&gt;="&amp;A8,'03_De_nghi_thanh_toan'!$B:$B,"&lt;="&amp;EOMONTH(A8,0))</x:f>
        <x:v>163143200</x:v>
      </x:c>
      <x:c r="F8" s="16" t="n">
        <x:f>SUMIFS('03_De_nghi_thanh_toan'!$I:$I,'03_De_nghi_thanh_toan'!$D:$D,C8,'03_De_nghi_thanh_toan'!$B:$B,"&gt;="&amp;A8,'03_De_nghi_thanh_toan'!$B:$B,"&lt;="&amp;EOMONTH(A8,0),'03_De_nghi_thanh_toan'!$K:$K,"Đã thanh toán")</x:f>
        <x:v>6376700</x:v>
      </x:c>
      <x:c r="G8" s="16" t="n">
        <x:f>D8-F8</x:f>
        <x:v>179623300</x:v>
      </x:c>
      <x:c r="H8" s="20" t="n">
        <x:f>IFERROR(F8/D8,0)</x:f>
        <x:v>0.03428333333333333</x:v>
      </x:c>
      <x:c r="I8" s="12" t="str">
        <x:f>IF(H8&gt;1,"Vượt kế hoạch",IF(H8&gt;0.85,"Cần theo dõi","Trong kế hoạch"))</x:f>
        <x:v>Trong kế hoạch</x:v>
      </x:c>
      <x:c r="J8" s="12" t="str"/>
    </x:row>
    <x:row r="9">
      <x:c r="A9" s="18" t="n">
        <x:v>46023</x:v>
      </x:c>
      <x:c r="B9" s="12" t="str">
        <x:v>Q1</x:v>
      </x:c>
      <x:c r="C9" s="12" t="str">
        <x:v>Graduation Ceremony</x:v>
      </x:c>
      <x:c r="D9" s="16" t="n">
        <x:v>100000000</x:v>
      </x:c>
      <x:c r="E9" s="16" t="n">
        <x:f>SUMIFS('03_De_nghi_thanh_toan'!$I:$I,'03_De_nghi_thanh_toan'!$D:$D,C9,'03_De_nghi_thanh_toan'!$B:$B,"&gt;="&amp;A9,'03_De_nghi_thanh_toan'!$B:$B,"&lt;="&amp;EOMONTH(A9,0))</x:f>
        <x:v>261446900</x:v>
      </x:c>
      <x:c r="F9" s="16" t="n">
        <x:f>SUMIFS('03_De_nghi_thanh_toan'!$I:$I,'03_De_nghi_thanh_toan'!$D:$D,C9,'03_De_nghi_thanh_toan'!$B:$B,"&gt;="&amp;A9,'03_De_nghi_thanh_toan'!$B:$B,"&lt;="&amp;EOMONTH(A9,0),'03_De_nghi_thanh_toan'!$K:$K,"Đã thanh toán")</x:f>
        <x:v>0</x:v>
      </x:c>
      <x:c r="G9" s="16" t="n">
        <x:f>D9-F9</x:f>
        <x:v>100000000</x:v>
      </x:c>
      <x:c r="H9" s="20" t="n">
        <x:f>IFERROR(F9/D9,0)</x:f>
        <x:v>0</x:v>
      </x:c>
      <x:c r="I9" s="12" t="str">
        <x:f>IF(H9&gt;1,"Vượt kế hoạch",IF(H9&gt;0.85,"Cần theo dõi","Trong kế hoạch"))</x:f>
        <x:v>Trong kế hoạch</x:v>
      </x:c>
      <x:c r="J9" s="12" t="str"/>
    </x:row>
    <x:row r="10">
      <x:c r="A10" s="18" t="n">
        <x:v>46023</x:v>
      </x:c>
      <x:c r="B10" s="12" t="str">
        <x:v>Q1</x:v>
      </x:c>
      <x:c r="C10" s="12" t="str">
        <x:v>International Exchange</x:v>
      </x:c>
      <x:c r="D10" s="16" t="n">
        <x:v>161000000</x:v>
      </x:c>
      <x:c r="E10" s="16" t="n">
        <x:f>SUMIFS('03_De_nghi_thanh_toan'!$I:$I,'03_De_nghi_thanh_toan'!$D:$D,C10,'03_De_nghi_thanh_toan'!$B:$B,"&gt;="&amp;A10,'03_De_nghi_thanh_toan'!$B:$B,"&lt;="&amp;EOMONTH(A10,0))</x:f>
        <x:v>62709900</x:v>
      </x:c>
      <x:c r="F10" s="16" t="n">
        <x:f>SUMIFS('03_De_nghi_thanh_toan'!$I:$I,'03_De_nghi_thanh_toan'!$D:$D,C10,'03_De_nghi_thanh_toan'!$B:$B,"&gt;="&amp;A10,'03_De_nghi_thanh_toan'!$B:$B,"&lt;="&amp;EOMONTH(A10,0),'03_De_nghi_thanh_toan'!$K:$K,"Đã thanh toán")</x:f>
        <x:v>62709900</x:v>
      </x:c>
      <x:c r="G10" s="16" t="n">
        <x:f>D10-F10</x:f>
        <x:v>98290100</x:v>
      </x:c>
      <x:c r="H10" s="20" t="n">
        <x:f>IFERROR(F10/D10,0)</x:f>
        <x:v>0.3895024844720497</x:v>
      </x:c>
      <x:c r="I10" s="12" t="str">
        <x:f>IF(H10&gt;1,"Vượt kế hoạch",IF(H10&gt;0.85,"Cần theo dõi","Trong kế hoạch"))</x:f>
        <x:v>Trong kế hoạch</x:v>
      </x:c>
      <x:c r="J10" s="12" t="str"/>
    </x:row>
    <x:row r="11">
      <x:c r="A11" s="18" t="n">
        <x:v>46023</x:v>
      </x:c>
      <x:c r="B11" s="12" t="str">
        <x:v>Q1</x:v>
      </x:c>
      <x:c r="C11" s="12" t="str">
        <x:v>Student Wellbeing</x:v>
      </x:c>
      <x:c r="D11" s="16" t="n">
        <x:v>116000000</x:v>
      </x:c>
      <x:c r="E11" s="16" t="n">
        <x:f>SUMIFS('03_De_nghi_thanh_toan'!$I:$I,'03_De_nghi_thanh_toan'!$D:$D,C11,'03_De_nghi_thanh_toan'!$B:$B,"&gt;="&amp;A11,'03_De_nghi_thanh_toan'!$B:$B,"&lt;="&amp;EOMONTH(A11,0))</x:f>
        <x:v>105865500</x:v>
      </x:c>
      <x:c r="F11" s="16" t="n">
        <x:f>SUMIFS('03_De_nghi_thanh_toan'!$I:$I,'03_De_nghi_thanh_toan'!$D:$D,C11,'03_De_nghi_thanh_toan'!$B:$B,"&gt;="&amp;A11,'03_De_nghi_thanh_toan'!$B:$B,"&lt;="&amp;EOMONTH(A11,0),'03_De_nghi_thanh_toan'!$K:$K,"Đã thanh toán")</x:f>
        <x:v>0</x:v>
      </x:c>
      <x:c r="G11" s="16" t="n">
        <x:f>D11-F11</x:f>
        <x:v>116000000</x:v>
      </x:c>
      <x:c r="H11" s="20" t="n">
        <x:f>IFERROR(F11/D11,0)</x:f>
        <x:v>0</x:v>
      </x:c>
      <x:c r="I11" s="12" t="str">
        <x:f>IF(H11&gt;1,"Vượt kế hoạch",IF(H11&gt;0.85,"Cần theo dõi","Trong kế hoạch"))</x:f>
        <x:v>Trong kế hoạch</x:v>
      </x:c>
      <x:c r="J11" s="12" t="str"/>
    </x:row>
    <x:row r="12">
      <x:c r="A12" s="18" t="n">
        <x:v>46054</x:v>
      </x:c>
      <x:c r="B12" s="12" t="str">
        <x:v>Q1</x:v>
      </x:c>
      <x:c r="C12" s="12" t="str">
        <x:v>Orientation Week</x:v>
      </x:c>
      <x:c r="D12" s="16" t="n">
        <x:v>60000000</x:v>
      </x:c>
      <x:c r="E12" s="16" t="n">
        <x:f>SUMIFS('03_De_nghi_thanh_toan'!$I:$I,'03_De_nghi_thanh_toan'!$D:$D,C12,'03_De_nghi_thanh_toan'!$B:$B,"&gt;="&amp;A12,'03_De_nghi_thanh_toan'!$B:$B,"&lt;="&amp;EOMONTH(A12,0))</x:f>
        <x:v>165911900</x:v>
      </x:c>
      <x:c r="F12" s="16" t="n">
        <x:f>SUMIFS('03_De_nghi_thanh_toan'!$I:$I,'03_De_nghi_thanh_toan'!$D:$D,C12,'03_De_nghi_thanh_toan'!$B:$B,"&gt;="&amp;A12,'03_De_nghi_thanh_toan'!$B:$B,"&lt;="&amp;EOMONTH(A12,0),'03_De_nghi_thanh_toan'!$K:$K,"Đã thanh toán")</x:f>
        <x:v>115336100</x:v>
      </x:c>
      <x:c r="G12" s="16" t="n">
        <x:f>D12-F12</x:f>
        <x:v>-55336100</x:v>
      </x:c>
      <x:c r="H12" s="20" t="n">
        <x:f>IFERROR(F12/D12,0)</x:f>
        <x:v>1.9222683333333332</x:v>
      </x:c>
      <x:c r="I12" s="12" t="str">
        <x:f>IF(H12&gt;1,"Vượt kế hoạch",IF(H12&gt;0.85,"Cần theo dõi","Trong kế hoạch"))</x:f>
        <x:v>Vượt kế hoạch</x:v>
      </x:c>
      <x:c r="J12" s="12" t="str"/>
    </x:row>
    <x:row r="13">
      <x:c r="A13" s="18" t="n">
        <x:v>46054</x:v>
      </x:c>
      <x:c r="B13" s="12" t="str">
        <x:v>Q1</x:v>
      </x:c>
      <x:c r="C13" s="12" t="str">
        <x:v>Student Clubs</x:v>
      </x:c>
      <x:c r="D13" s="16" t="n">
        <x:v>141000000</x:v>
      </x:c>
      <x:c r="E13" s="16" t="n">
        <x:f>SUMIFS('03_De_nghi_thanh_toan'!$I:$I,'03_De_nghi_thanh_toan'!$D:$D,C13,'03_De_nghi_thanh_toan'!$B:$B,"&gt;="&amp;A13,'03_De_nghi_thanh_toan'!$B:$B,"&lt;="&amp;EOMONTH(A13,0))</x:f>
        <x:v>366092100</x:v>
      </x:c>
      <x:c r="F13" s="16" t="n">
        <x:f>SUMIFS('03_De_nghi_thanh_toan'!$I:$I,'03_De_nghi_thanh_toan'!$D:$D,C13,'03_De_nghi_thanh_toan'!$B:$B,"&gt;="&amp;A13,'03_De_nghi_thanh_toan'!$B:$B,"&lt;="&amp;EOMONTH(A13,0),'03_De_nghi_thanh_toan'!$K:$K,"Đã thanh toán")</x:f>
        <x:v>0</x:v>
      </x:c>
      <x:c r="G13" s="16" t="n">
        <x:f>D13-F13</x:f>
        <x:v>141000000</x:v>
      </x:c>
      <x:c r="H13" s="20" t="n">
        <x:f>IFERROR(F13/D13,0)</x:f>
        <x:v>0</x:v>
      </x:c>
      <x:c r="I13" s="12" t="str">
        <x:f>IF(H13&gt;1,"Vượt kế hoạch",IF(H13&gt;0.85,"Cần theo dõi","Trong kế hoạch"))</x:f>
        <x:v>Trong kế hoạch</x:v>
      </x:c>
      <x:c r="J13" s="12" t="str"/>
    </x:row>
    <x:row r="14">
      <x:c r="A14" s="18" t="n">
        <x:v>46054</x:v>
      </x:c>
      <x:c r="B14" s="12" t="str">
        <x:v>Q1</x:v>
      </x:c>
      <x:c r="C14" s="12" t="str">
        <x:v>Scholarship Program</x:v>
      </x:c>
      <x:c r="D14" s="16" t="n">
        <x:v>48000000</x:v>
      </x:c>
      <x:c r="E14" s="16" t="n">
        <x:f>SUMIFS('03_De_nghi_thanh_toan'!$I:$I,'03_De_nghi_thanh_toan'!$D:$D,C14,'03_De_nghi_thanh_toan'!$B:$B,"&gt;="&amp;A14,'03_De_nghi_thanh_toan'!$B:$B,"&lt;="&amp;EOMONTH(A14,0))</x:f>
        <x:v>223102000</x:v>
      </x:c>
      <x:c r="F14" s="16" t="n">
        <x:f>SUMIFS('03_De_nghi_thanh_toan'!$I:$I,'03_De_nghi_thanh_toan'!$D:$D,C14,'03_De_nghi_thanh_toan'!$B:$B,"&gt;="&amp;A14,'03_De_nghi_thanh_toan'!$B:$B,"&lt;="&amp;EOMONTH(A14,0),'03_De_nghi_thanh_toan'!$K:$K,"Đã thanh toán")</x:f>
        <x:v>0</x:v>
      </x:c>
      <x:c r="G14" s="16" t="n">
        <x:f>D14-F14</x:f>
        <x:v>48000000</x:v>
      </x:c>
      <x:c r="H14" s="20" t="n">
        <x:f>IFERROR(F14/D14,0)</x:f>
        <x:v>0</x:v>
      </x:c>
      <x:c r="I14" s="12" t="str">
        <x:f>IF(H14&gt;1,"Vượt kế hoạch",IF(H14&gt;0.85,"Cần theo dõi","Trong kế hoạch"))</x:f>
        <x:v>Trong kế hoạch</x:v>
      </x:c>
      <x:c r="J14" s="12" t="str"/>
    </x:row>
    <x:row r="15">
      <x:c r="A15" s="18" t="n">
        <x:v>46054</x:v>
      </x:c>
      <x:c r="B15" s="12" t="str">
        <x:v>Q1</x:v>
      </x:c>
      <x:c r="C15" s="12" t="str">
        <x:v>Career Fair</x:v>
      </x:c>
      <x:c r="D15" s="16" t="n">
        <x:v>168000000</x:v>
      </x:c>
      <x:c r="E15" s="16" t="n">
        <x:f>SUMIFS('03_De_nghi_thanh_toan'!$I:$I,'03_De_nghi_thanh_toan'!$D:$D,C15,'03_De_nghi_thanh_toan'!$B:$B,"&gt;="&amp;A15,'03_De_nghi_thanh_toan'!$B:$B,"&lt;="&amp;EOMONTH(A15,0))</x:f>
        <x:v>328421500</x:v>
      </x:c>
      <x:c r="F15" s="16" t="n">
        <x:f>SUMIFS('03_De_nghi_thanh_toan'!$I:$I,'03_De_nghi_thanh_toan'!$D:$D,C15,'03_De_nghi_thanh_toan'!$B:$B,"&gt;="&amp;A15,'03_De_nghi_thanh_toan'!$B:$B,"&lt;="&amp;EOMONTH(A15,0),'03_De_nghi_thanh_toan'!$K:$K,"Đã thanh toán")</x:f>
        <x:v>124658600</x:v>
      </x:c>
      <x:c r="G15" s="16" t="n">
        <x:f>D15-F15</x:f>
        <x:v>43341400</x:v>
      </x:c>
      <x:c r="H15" s="20" t="n">
        <x:f>IFERROR(F15/D15,0)</x:f>
        <x:v>0.7420154761904761</x:v>
      </x:c>
      <x:c r="I15" s="12" t="str">
        <x:f>IF(H15&gt;1,"Vượt kế hoạch",IF(H15&gt;0.85,"Cần theo dõi","Trong kế hoạch"))</x:f>
        <x:v>Trong kế hoạch</x:v>
      </x:c>
      <x:c r="J15" s="12" t="str"/>
    </x:row>
    <x:row r="16">
      <x:c r="A16" s="18" t="n">
        <x:v>46054</x:v>
      </x:c>
      <x:c r="B16" s="12" t="str">
        <x:v>Q1</x:v>
      </x:c>
      <x:c r="C16" s="12" t="str">
        <x:v>Mental Health Program</x:v>
      </x:c>
      <x:c r="D16" s="16" t="n">
        <x:v>186000000</x:v>
      </x:c>
      <x:c r="E16" s="16" t="n">
        <x:f>SUMIFS('03_De_nghi_thanh_toan'!$I:$I,'03_De_nghi_thanh_toan'!$D:$D,C16,'03_De_nghi_thanh_toan'!$B:$B,"&gt;="&amp;A16,'03_De_nghi_thanh_toan'!$B:$B,"&lt;="&amp;EOMONTH(A16,0))</x:f>
        <x:v>0</x:v>
      </x:c>
      <x:c r="F16" s="16" t="n">
        <x:f>SUMIFS('03_De_nghi_thanh_toan'!$I:$I,'03_De_nghi_thanh_toan'!$D:$D,C16,'03_De_nghi_thanh_toan'!$B:$B,"&gt;="&amp;A16,'03_De_nghi_thanh_toan'!$B:$B,"&lt;="&amp;EOMONTH(A16,0),'03_De_nghi_thanh_toan'!$K:$K,"Đã thanh toán")</x:f>
        <x:v>0</x:v>
      </x:c>
      <x:c r="G16" s="16" t="n">
        <x:f>D16-F16</x:f>
        <x:v>186000000</x:v>
      </x:c>
      <x:c r="H16" s="20" t="n">
        <x:f>IFERROR(F16/D16,0)</x:f>
        <x:v>0</x:v>
      </x:c>
      <x:c r="I16" s="12" t="str">
        <x:f>IF(H16&gt;1,"Vượt kế hoạch",IF(H16&gt;0.85,"Cần theo dõi","Trong kế hoạch"))</x:f>
        <x:v>Trong kế hoạch</x:v>
      </x:c>
      <x:c r="J16" s="12" t="str"/>
    </x:row>
    <x:row r="17">
      <x:c r="A17" s="18" t="n">
        <x:v>46054</x:v>
      </x:c>
      <x:c r="B17" s="12" t="str">
        <x:v>Q1</x:v>
      </x:c>
      <x:c r="C17" s="12" t="str">
        <x:v>Student Leadership</x:v>
      </x:c>
      <x:c r="D17" s="16" t="n">
        <x:v>172000000</x:v>
      </x:c>
      <x:c r="E17" s="16" t="n">
        <x:f>SUMIFS('03_De_nghi_thanh_toan'!$I:$I,'03_De_nghi_thanh_toan'!$D:$D,C17,'03_De_nghi_thanh_toan'!$B:$B,"&gt;="&amp;A17,'03_De_nghi_thanh_toan'!$B:$B,"&lt;="&amp;EOMONTH(A17,0))</x:f>
        <x:v>187530200</x:v>
      </x:c>
      <x:c r="F17" s="16" t="n">
        <x:f>SUMIFS('03_De_nghi_thanh_toan'!$I:$I,'03_De_nghi_thanh_toan'!$D:$D,C17,'03_De_nghi_thanh_toan'!$B:$B,"&gt;="&amp;A17,'03_De_nghi_thanh_toan'!$B:$B,"&lt;="&amp;EOMONTH(A17,0),'03_De_nghi_thanh_toan'!$K:$K,"Đã thanh toán")</x:f>
        <x:v>9049700</x:v>
      </x:c>
      <x:c r="G17" s="16" t="n">
        <x:f>D17-F17</x:f>
        <x:v>162950300</x:v>
      </x:c>
      <x:c r="H17" s="20" t="n">
        <x:f>IFERROR(F17/D17,0)</x:f>
        <x:v>0.05261453488372093</x:v>
      </x:c>
      <x:c r="I17" s="12" t="str">
        <x:f>IF(H17&gt;1,"Vượt kế hoạch",IF(H17&gt;0.85,"Cần theo dõi","Trong kế hoạch"))</x:f>
        <x:v>Trong kế hoạch</x:v>
      </x:c>
      <x:c r="J17" s="12" t="str"/>
    </x:row>
    <x:row r="18">
      <x:c r="A18" s="18" t="n">
        <x:v>46054</x:v>
      </x:c>
      <x:c r="B18" s="12" t="str">
        <x:v>Q1</x:v>
      </x:c>
      <x:c r="C18" s="12" t="str">
        <x:v>Community Service</x:v>
      </x:c>
      <x:c r="D18" s="16" t="n">
        <x:v>186000000</x:v>
      </x:c>
      <x:c r="E18" s="16" t="n">
        <x:f>SUMIFS('03_De_nghi_thanh_toan'!$I:$I,'03_De_nghi_thanh_toan'!$D:$D,C18,'03_De_nghi_thanh_toan'!$B:$B,"&gt;="&amp;A18,'03_De_nghi_thanh_toan'!$B:$B,"&lt;="&amp;EOMONTH(A18,0))</x:f>
        <x:v>356728800</x:v>
      </x:c>
      <x:c r="F18" s="16" t="n">
        <x:f>SUMIFS('03_De_nghi_thanh_toan'!$I:$I,'03_De_nghi_thanh_toan'!$D:$D,C18,'03_De_nghi_thanh_toan'!$B:$B,"&gt;="&amp;A18,'03_De_nghi_thanh_toan'!$B:$B,"&lt;="&amp;EOMONTH(A18,0),'03_De_nghi_thanh_toan'!$K:$K,"Đã thanh toán")</x:f>
        <x:v>0</x:v>
      </x:c>
      <x:c r="G18" s="16" t="n">
        <x:f>D18-F18</x:f>
        <x:v>186000000</x:v>
      </x:c>
      <x:c r="H18" s="20" t="n">
        <x:f>IFERROR(F18/D18,0)</x:f>
        <x:v>0</x:v>
      </x:c>
      <x:c r="I18" s="12" t="str">
        <x:f>IF(H18&gt;1,"Vượt kế hoạch",IF(H18&gt;0.85,"Cần theo dõi","Trong kế hoạch"))</x:f>
        <x:v>Trong kế hoạch</x:v>
      </x:c>
      <x:c r="J18" s="12" t="str"/>
    </x:row>
    <x:row r="19">
      <x:c r="A19" s="18" t="n">
        <x:v>46054</x:v>
      </x:c>
      <x:c r="B19" s="12" t="str">
        <x:v>Q1</x:v>
      </x:c>
      <x:c r="C19" s="12" t="str">
        <x:v>Graduation Ceremony</x:v>
      </x:c>
      <x:c r="D19" s="16" t="n">
        <x:v>213000000</x:v>
      </x:c>
      <x:c r="E19" s="16" t="n">
        <x:f>SUMIFS('03_De_nghi_thanh_toan'!$I:$I,'03_De_nghi_thanh_toan'!$D:$D,C19,'03_De_nghi_thanh_toan'!$B:$B,"&gt;="&amp;A19,'03_De_nghi_thanh_toan'!$B:$B,"&lt;="&amp;EOMONTH(A19,0))</x:f>
        <x:v>111488300</x:v>
      </x:c>
      <x:c r="F19" s="16" t="n">
        <x:f>SUMIFS('03_De_nghi_thanh_toan'!$I:$I,'03_De_nghi_thanh_toan'!$D:$D,C19,'03_De_nghi_thanh_toan'!$B:$B,"&gt;="&amp;A19,'03_De_nghi_thanh_toan'!$B:$B,"&lt;="&amp;EOMONTH(A19,0),'03_De_nghi_thanh_toan'!$K:$K,"Đã thanh toán")</x:f>
        <x:v>0</x:v>
      </x:c>
      <x:c r="G19" s="16" t="n">
        <x:f>D19-F19</x:f>
        <x:v>213000000</x:v>
      </x:c>
      <x:c r="H19" s="20" t="n">
        <x:f>IFERROR(F19/D19,0)</x:f>
        <x:v>0</x:v>
      </x:c>
      <x:c r="I19" s="12" t="str">
        <x:f>IF(H19&gt;1,"Vượt kế hoạch",IF(H19&gt;0.85,"Cần theo dõi","Trong kế hoạch"))</x:f>
        <x:v>Trong kế hoạch</x:v>
      </x:c>
      <x:c r="J19" s="12" t="str"/>
    </x:row>
    <x:row r="20">
      <x:c r="A20" s="18" t="n">
        <x:v>46054</x:v>
      </x:c>
      <x:c r="B20" s="12" t="str">
        <x:v>Q1</x:v>
      </x:c>
      <x:c r="C20" s="12" t="str">
        <x:v>International Exchange</x:v>
      </x:c>
      <x:c r="D20" s="16" t="n">
        <x:v>198000000</x:v>
      </x:c>
      <x:c r="E20" s="16" t="n">
        <x:f>SUMIFS('03_De_nghi_thanh_toan'!$I:$I,'03_De_nghi_thanh_toan'!$D:$D,C20,'03_De_nghi_thanh_toan'!$B:$B,"&gt;="&amp;A20,'03_De_nghi_thanh_toan'!$B:$B,"&lt;="&amp;EOMONTH(A20,0))</x:f>
        <x:v>71572600</x:v>
      </x:c>
      <x:c r="F20" s="16" t="n">
        <x:f>SUMIFS('03_De_nghi_thanh_toan'!$I:$I,'03_De_nghi_thanh_toan'!$D:$D,C20,'03_De_nghi_thanh_toan'!$B:$B,"&gt;="&amp;A20,'03_De_nghi_thanh_toan'!$B:$B,"&lt;="&amp;EOMONTH(A20,0),'03_De_nghi_thanh_toan'!$K:$K,"Đã thanh toán")</x:f>
        <x:v>0</x:v>
      </x:c>
      <x:c r="G20" s="16" t="n">
        <x:f>D20-F20</x:f>
        <x:v>198000000</x:v>
      </x:c>
      <x:c r="H20" s="20" t="n">
        <x:f>IFERROR(F20/D20,0)</x:f>
        <x:v>0</x:v>
      </x:c>
      <x:c r="I20" s="12" t="str">
        <x:f>IF(H20&gt;1,"Vượt kế hoạch",IF(H20&gt;0.85,"Cần theo dõi","Trong kế hoạch"))</x:f>
        <x:v>Trong kế hoạch</x:v>
      </x:c>
      <x:c r="J20" s="12" t="str"/>
    </x:row>
    <x:row r="21">
      <x:c r="A21" s="18" t="n">
        <x:v>46054</x:v>
      </x:c>
      <x:c r="B21" s="12" t="str">
        <x:v>Q1</x:v>
      </x:c>
      <x:c r="C21" s="12" t="str">
        <x:v>Student Wellbeing</x:v>
      </x:c>
      <x:c r="D21" s="16" t="n">
        <x:v>77000000</x:v>
      </x:c>
      <x:c r="E21" s="16" t="n">
        <x:f>SUMIFS('03_De_nghi_thanh_toan'!$I:$I,'03_De_nghi_thanh_toan'!$D:$D,C21,'03_De_nghi_thanh_toan'!$B:$B,"&gt;="&amp;A21,'03_De_nghi_thanh_toan'!$B:$B,"&lt;="&amp;EOMONTH(A21,0))</x:f>
        <x:v>126717800</x:v>
      </x:c>
      <x:c r="F21" s="16" t="n">
        <x:f>SUMIFS('03_De_nghi_thanh_toan'!$I:$I,'03_De_nghi_thanh_toan'!$D:$D,C21,'03_De_nghi_thanh_toan'!$B:$B,"&gt;="&amp;A21,'03_De_nghi_thanh_toan'!$B:$B,"&lt;="&amp;EOMONTH(A21,0),'03_De_nghi_thanh_toan'!$K:$K,"Đã thanh toán")</x:f>
        <x:v>0</x:v>
      </x:c>
      <x:c r="G21" s="16" t="n">
        <x:f>D21-F21</x:f>
        <x:v>77000000</x:v>
      </x:c>
      <x:c r="H21" s="20" t="n">
        <x:f>IFERROR(F21/D21,0)</x:f>
        <x:v>0</x:v>
      </x:c>
      <x:c r="I21" s="12" t="str">
        <x:f>IF(H21&gt;1,"Vượt kế hoạch",IF(H21&gt;0.85,"Cần theo dõi","Trong kế hoạch"))</x:f>
        <x:v>Trong kế hoạch</x:v>
      </x:c>
      <x:c r="J21" s="12" t="str"/>
    </x:row>
    <x:row r="22">
      <x:c r="A22" s="18" t="n">
        <x:v>46082</x:v>
      </x:c>
      <x:c r="B22" s="12" t="str">
        <x:v>Q1</x:v>
      </x:c>
      <x:c r="C22" s="12" t="str">
        <x:v>Orientation Week</x:v>
      </x:c>
      <x:c r="D22" s="16" t="n">
        <x:v>70000000</x:v>
      </x:c>
      <x:c r="E22" s="16" t="n">
        <x:f>SUMIFS('03_De_nghi_thanh_toan'!$I:$I,'03_De_nghi_thanh_toan'!$D:$D,C22,'03_De_nghi_thanh_toan'!$B:$B,"&gt;="&amp;A22,'03_De_nghi_thanh_toan'!$B:$B,"&lt;="&amp;EOMONTH(A22,0))</x:f>
        <x:v>210281500</x:v>
      </x:c>
      <x:c r="F22" s="16" t="n">
        <x:f>SUMIFS('03_De_nghi_thanh_toan'!$I:$I,'03_De_nghi_thanh_toan'!$D:$D,C22,'03_De_nghi_thanh_toan'!$B:$B,"&gt;="&amp;A22,'03_De_nghi_thanh_toan'!$B:$B,"&lt;="&amp;EOMONTH(A22,0),'03_De_nghi_thanh_toan'!$K:$K,"Đã thanh toán")</x:f>
        <x:v>0</x:v>
      </x:c>
      <x:c r="G22" s="16" t="n">
        <x:f>D22-F22</x:f>
        <x:v>70000000</x:v>
      </x:c>
      <x:c r="H22" s="20" t="n">
        <x:f>IFERROR(F22/D22,0)</x:f>
        <x:v>0</x:v>
      </x:c>
      <x:c r="I22" s="12" t="str">
        <x:f>IF(H22&gt;1,"Vượt kế hoạch",IF(H22&gt;0.85,"Cần theo dõi","Trong kế hoạch"))</x:f>
        <x:v>Trong kế hoạch</x:v>
      </x:c>
      <x:c r="J22" s="12" t="str"/>
    </x:row>
    <x:row r="23">
      <x:c r="A23" s="18" t="n">
        <x:v>46082</x:v>
      </x:c>
      <x:c r="B23" s="12" t="str">
        <x:v>Q1</x:v>
      </x:c>
      <x:c r="C23" s="12" t="str">
        <x:v>Student Clubs</x:v>
      </x:c>
      <x:c r="D23" s="16" t="n">
        <x:v>154000000</x:v>
      </x:c>
      <x:c r="E23" s="16" t="n">
        <x:f>SUMIFS('03_De_nghi_thanh_toan'!$I:$I,'03_De_nghi_thanh_toan'!$D:$D,C23,'03_De_nghi_thanh_toan'!$B:$B,"&gt;="&amp;A23,'03_De_nghi_thanh_toan'!$B:$B,"&lt;="&amp;EOMONTH(A23,0))</x:f>
        <x:v>38945500</x:v>
      </x:c>
      <x:c r="F23" s="16" t="n">
        <x:f>SUMIFS('03_De_nghi_thanh_toan'!$I:$I,'03_De_nghi_thanh_toan'!$D:$D,C23,'03_De_nghi_thanh_toan'!$B:$B,"&gt;="&amp;A23,'03_De_nghi_thanh_toan'!$B:$B,"&lt;="&amp;EOMONTH(A23,0),'03_De_nghi_thanh_toan'!$K:$K,"Đã thanh toán")</x:f>
        <x:v>38945500</x:v>
      </x:c>
      <x:c r="G23" s="16" t="n">
        <x:f>D23-F23</x:f>
        <x:v>115054500</x:v>
      </x:c>
      <x:c r="H23" s="20" t="n">
        <x:f>IFERROR(F23/D23,0)</x:f>
        <x:v>0.25289285714285714</x:v>
      </x:c>
      <x:c r="I23" s="12" t="str">
        <x:f>IF(H23&gt;1,"Vượt kế hoạch",IF(H23&gt;0.85,"Cần theo dõi","Trong kế hoạch"))</x:f>
        <x:v>Trong kế hoạch</x:v>
      </x:c>
      <x:c r="J23" s="12" t="str"/>
    </x:row>
    <x:row r="24">
      <x:c r="A24" s="18" t="n">
        <x:v>46082</x:v>
      </x:c>
      <x:c r="B24" s="12" t="str">
        <x:v>Q1</x:v>
      </x:c>
      <x:c r="C24" s="12" t="str">
        <x:v>Scholarship Program</x:v>
      </x:c>
      <x:c r="D24" s="16" t="n">
        <x:v>84000000</x:v>
      </x:c>
      <x:c r="E24" s="16" t="n">
        <x:f>SUMIFS('03_De_nghi_thanh_toan'!$I:$I,'03_De_nghi_thanh_toan'!$D:$D,C24,'03_De_nghi_thanh_toan'!$B:$B,"&gt;="&amp;A24,'03_De_nghi_thanh_toan'!$B:$B,"&lt;="&amp;EOMONTH(A24,0))</x:f>
        <x:v>7481000</x:v>
      </x:c>
      <x:c r="F24" s="16" t="n">
        <x:f>SUMIFS('03_De_nghi_thanh_toan'!$I:$I,'03_De_nghi_thanh_toan'!$D:$D,C24,'03_De_nghi_thanh_toan'!$B:$B,"&gt;="&amp;A24,'03_De_nghi_thanh_toan'!$B:$B,"&lt;="&amp;EOMONTH(A24,0),'03_De_nghi_thanh_toan'!$K:$K,"Đã thanh toán")</x:f>
        <x:v>0</x:v>
      </x:c>
      <x:c r="G24" s="16" t="n">
        <x:f>D24-F24</x:f>
        <x:v>84000000</x:v>
      </x:c>
      <x:c r="H24" s="20" t="n">
        <x:f>IFERROR(F24/D24,0)</x:f>
        <x:v>0</x:v>
      </x:c>
      <x:c r="I24" s="12" t="str">
        <x:f>IF(H24&gt;1,"Vượt kế hoạch",IF(H24&gt;0.85,"Cần theo dõi","Trong kế hoạch"))</x:f>
        <x:v>Trong kế hoạch</x:v>
      </x:c>
      <x:c r="J24" s="12" t="str"/>
    </x:row>
    <x:row r="25">
      <x:c r="A25" s="18" t="n">
        <x:v>46082</x:v>
      </x:c>
      <x:c r="B25" s="12" t="str">
        <x:v>Q1</x:v>
      </x:c>
      <x:c r="C25" s="12" t="str">
        <x:v>Career Fair</x:v>
      </x:c>
      <x:c r="D25" s="16" t="n">
        <x:v>82000000</x:v>
      </x:c>
      <x:c r="E25" s="16" t="n">
        <x:f>SUMIFS('03_De_nghi_thanh_toan'!$I:$I,'03_De_nghi_thanh_toan'!$D:$D,C25,'03_De_nghi_thanh_toan'!$B:$B,"&gt;="&amp;A25,'03_De_nghi_thanh_toan'!$B:$B,"&lt;="&amp;EOMONTH(A25,0))</x:f>
        <x:v>269941100</x:v>
      </x:c>
      <x:c r="F25" s="16" t="n">
        <x:f>SUMIFS('03_De_nghi_thanh_toan'!$I:$I,'03_De_nghi_thanh_toan'!$D:$D,C25,'03_De_nghi_thanh_toan'!$B:$B,"&gt;="&amp;A25,'03_De_nghi_thanh_toan'!$B:$B,"&lt;="&amp;EOMONTH(A25,0),'03_De_nghi_thanh_toan'!$K:$K,"Đã thanh toán")</x:f>
        <x:v>131704100</x:v>
      </x:c>
      <x:c r="G25" s="16" t="n">
        <x:f>D25-F25</x:f>
        <x:v>-49704100</x:v>
      </x:c>
      <x:c r="H25" s="20" t="n">
        <x:f>IFERROR(F25/D25,0)</x:f>
        <x:v>1.6061475609756097</x:v>
      </x:c>
      <x:c r="I25" s="12" t="str">
        <x:f>IF(H25&gt;1,"Vượt kế hoạch",IF(H25&gt;0.85,"Cần theo dõi","Trong kế hoạch"))</x:f>
        <x:v>Vượt kế hoạch</x:v>
      </x:c>
      <x:c r="J25" s="12" t="str"/>
    </x:row>
    <x:row r="26">
      <x:c r="A26" s="18" t="n">
        <x:v>46082</x:v>
      </x:c>
      <x:c r="B26" s="12" t="str">
        <x:v>Q1</x:v>
      </x:c>
      <x:c r="C26" s="12" t="str">
        <x:v>Mental Health Program</x:v>
      </x:c>
      <x:c r="D26" s="16" t="n">
        <x:v>94000000</x:v>
      </x:c>
      <x:c r="E26" s="16" t="n">
        <x:f>SUMIFS('03_De_nghi_thanh_toan'!$I:$I,'03_De_nghi_thanh_toan'!$D:$D,C26,'03_De_nghi_thanh_toan'!$B:$B,"&gt;="&amp;A26,'03_De_nghi_thanh_toan'!$B:$B,"&lt;="&amp;EOMONTH(A26,0))</x:f>
        <x:v>331354200</x:v>
      </x:c>
      <x:c r="F26" s="16" t="n">
        <x:f>SUMIFS('03_De_nghi_thanh_toan'!$I:$I,'03_De_nghi_thanh_toan'!$D:$D,C26,'03_De_nghi_thanh_toan'!$B:$B,"&gt;="&amp;A26,'03_De_nghi_thanh_toan'!$B:$B,"&lt;="&amp;EOMONTH(A26,0),'03_De_nghi_thanh_toan'!$K:$K,"Đã thanh toán")</x:f>
        <x:v>105613200</x:v>
      </x:c>
      <x:c r="G26" s="16" t="n">
        <x:f>D26-F26</x:f>
        <x:v>-11613200</x:v>
      </x:c>
      <x:c r="H26" s="20" t="n">
        <x:f>IFERROR(F26/D26,0)</x:f>
        <x:v>1.1235446808510638</x:v>
      </x:c>
      <x:c r="I26" s="12" t="str">
        <x:f>IF(H26&gt;1,"Vượt kế hoạch",IF(H26&gt;0.85,"Cần theo dõi","Trong kế hoạch"))</x:f>
        <x:v>Vượt kế hoạch</x:v>
      </x:c>
      <x:c r="J26" s="12" t="str"/>
    </x:row>
    <x:row r="27">
      <x:c r="A27" s="18" t="n">
        <x:v>46082</x:v>
      </x:c>
      <x:c r="B27" s="12" t="str">
        <x:v>Q1</x:v>
      </x:c>
      <x:c r="C27" s="12" t="str">
        <x:v>Student Leadership</x:v>
      </x:c>
      <x:c r="D27" s="16" t="n">
        <x:v>89000000</x:v>
      </x:c>
      <x:c r="E27" s="16" t="n">
        <x:f>SUMIFS('03_De_nghi_thanh_toan'!$I:$I,'03_De_nghi_thanh_toan'!$D:$D,C27,'03_De_nghi_thanh_toan'!$B:$B,"&gt;="&amp;A27,'03_De_nghi_thanh_toan'!$B:$B,"&lt;="&amp;EOMONTH(A27,0))</x:f>
        <x:v>117240200</x:v>
      </x:c>
      <x:c r="F27" s="16" t="n">
        <x:f>SUMIFS('03_De_nghi_thanh_toan'!$I:$I,'03_De_nghi_thanh_toan'!$D:$D,C27,'03_De_nghi_thanh_toan'!$B:$B,"&gt;="&amp;A27,'03_De_nghi_thanh_toan'!$B:$B,"&lt;="&amp;EOMONTH(A27,0),'03_De_nghi_thanh_toan'!$K:$K,"Đã thanh toán")</x:f>
        <x:v>117240200</x:v>
      </x:c>
      <x:c r="G27" s="16" t="n">
        <x:f>D27-F27</x:f>
        <x:v>-28240200</x:v>
      </x:c>
      <x:c r="H27" s="20" t="n">
        <x:f>IFERROR(F27/D27,0)</x:f>
        <x:v>1.317305617977528</x:v>
      </x:c>
      <x:c r="I27" s="12" t="str">
        <x:f>IF(H27&gt;1,"Vượt kế hoạch",IF(H27&gt;0.85,"Cần theo dõi","Trong kế hoạch"))</x:f>
        <x:v>Vượt kế hoạch</x:v>
      </x:c>
      <x:c r="J27" s="12" t="str"/>
    </x:row>
    <x:row r="28">
      <x:c r="A28" s="18" t="n">
        <x:v>46082</x:v>
      </x:c>
      <x:c r="B28" s="12" t="str">
        <x:v>Q1</x:v>
      </x:c>
      <x:c r="C28" s="12" t="str">
        <x:v>Community Service</x:v>
      </x:c>
      <x:c r="D28" s="16" t="n">
        <x:v>72000000</x:v>
      </x:c>
      <x:c r="E28" s="16" t="n">
        <x:f>SUMIFS('03_De_nghi_thanh_toan'!$I:$I,'03_De_nghi_thanh_toan'!$D:$D,C28,'03_De_nghi_thanh_toan'!$B:$B,"&gt;="&amp;A28,'03_De_nghi_thanh_toan'!$B:$B,"&lt;="&amp;EOMONTH(A28,0))</x:f>
        <x:v>74453500</x:v>
      </x:c>
      <x:c r="F28" s="16" t="n">
        <x:f>SUMIFS('03_De_nghi_thanh_toan'!$I:$I,'03_De_nghi_thanh_toan'!$D:$D,C28,'03_De_nghi_thanh_toan'!$B:$B,"&gt;="&amp;A28,'03_De_nghi_thanh_toan'!$B:$B,"&lt;="&amp;EOMONTH(A28,0),'03_De_nghi_thanh_toan'!$K:$K,"Đã thanh toán")</x:f>
        <x:v>0</x:v>
      </x:c>
      <x:c r="G28" s="16" t="n">
        <x:f>D28-F28</x:f>
        <x:v>72000000</x:v>
      </x:c>
      <x:c r="H28" s="20" t="n">
        <x:f>IFERROR(F28/D28,0)</x:f>
        <x:v>0</x:v>
      </x:c>
      <x:c r="I28" s="12" t="str">
        <x:f>IF(H28&gt;1,"Vượt kế hoạch",IF(H28&gt;0.85,"Cần theo dõi","Trong kế hoạch"))</x:f>
        <x:v>Trong kế hoạch</x:v>
      </x:c>
      <x:c r="J28" s="12" t="str"/>
    </x:row>
    <x:row r="29">
      <x:c r="A29" s="18" t="n">
        <x:v>46082</x:v>
      </x:c>
      <x:c r="B29" s="12" t="str">
        <x:v>Q1</x:v>
      </x:c>
      <x:c r="C29" s="12" t="str">
        <x:v>Graduation Ceremony</x:v>
      </x:c>
      <x:c r="D29" s="16" t="n">
        <x:v>50000000</x:v>
      </x:c>
      <x:c r="E29" s="16" t="n">
        <x:f>SUMIFS('03_De_nghi_thanh_toan'!$I:$I,'03_De_nghi_thanh_toan'!$D:$D,C29,'03_De_nghi_thanh_toan'!$B:$B,"&gt;="&amp;A29,'03_De_nghi_thanh_toan'!$B:$B,"&lt;="&amp;EOMONTH(A29,0))</x:f>
        <x:v>129261000</x:v>
      </x:c>
      <x:c r="F29" s="16" t="n">
        <x:f>SUMIFS('03_De_nghi_thanh_toan'!$I:$I,'03_De_nghi_thanh_toan'!$D:$D,C29,'03_De_nghi_thanh_toan'!$B:$B,"&gt;="&amp;A29,'03_De_nghi_thanh_toan'!$B:$B,"&lt;="&amp;EOMONTH(A29,0),'03_De_nghi_thanh_toan'!$K:$K,"Đã thanh toán")</x:f>
        <x:v>0</x:v>
      </x:c>
      <x:c r="G29" s="16" t="n">
        <x:f>D29-F29</x:f>
        <x:v>50000000</x:v>
      </x:c>
      <x:c r="H29" s="20" t="n">
        <x:f>IFERROR(F29/D29,0)</x:f>
        <x:v>0</x:v>
      </x:c>
      <x:c r="I29" s="12" t="str">
        <x:f>IF(H29&gt;1,"Vượt kế hoạch",IF(H29&gt;0.85,"Cần theo dõi","Trong kế hoạch"))</x:f>
        <x:v>Trong kế hoạch</x:v>
      </x:c>
      <x:c r="J29" s="12" t="str"/>
    </x:row>
    <x:row r="30">
      <x:c r="A30" s="18" t="n">
        <x:v>46082</x:v>
      </x:c>
      <x:c r="B30" s="12" t="str">
        <x:v>Q1</x:v>
      </x:c>
      <x:c r="C30" s="12" t="str">
        <x:v>International Exchange</x:v>
      </x:c>
      <x:c r="D30" s="16" t="n">
        <x:v>148000000</x:v>
      </x:c>
      <x:c r="E30" s="16" t="n">
        <x:f>SUMIFS('03_De_nghi_thanh_toan'!$I:$I,'03_De_nghi_thanh_toan'!$D:$D,C30,'03_De_nghi_thanh_toan'!$B:$B,"&gt;="&amp;A30,'03_De_nghi_thanh_toan'!$B:$B,"&lt;="&amp;EOMONTH(A30,0))</x:f>
        <x:v>111899700</x:v>
      </x:c>
      <x:c r="F30" s="16" t="n">
        <x:f>SUMIFS('03_De_nghi_thanh_toan'!$I:$I,'03_De_nghi_thanh_toan'!$D:$D,C30,'03_De_nghi_thanh_toan'!$B:$B,"&gt;="&amp;A30,'03_De_nghi_thanh_toan'!$B:$B,"&lt;="&amp;EOMONTH(A30,0),'03_De_nghi_thanh_toan'!$K:$K,"Đã thanh toán")</x:f>
        <x:v>0</x:v>
      </x:c>
      <x:c r="G30" s="16" t="n">
        <x:f>D30-F30</x:f>
        <x:v>148000000</x:v>
      </x:c>
      <x:c r="H30" s="20" t="n">
        <x:f>IFERROR(F30/D30,0)</x:f>
        <x:v>0</x:v>
      </x:c>
      <x:c r="I30" s="12" t="str">
        <x:f>IF(H30&gt;1,"Vượt kế hoạch",IF(H30&gt;0.85,"Cần theo dõi","Trong kế hoạch"))</x:f>
        <x:v>Trong kế hoạch</x:v>
      </x:c>
      <x:c r="J30" s="12" t="str"/>
    </x:row>
    <x:row r="31">
      <x:c r="A31" s="18" t="n">
        <x:v>46082</x:v>
      </x:c>
      <x:c r="B31" s="12" t="str">
        <x:v>Q1</x:v>
      </x:c>
      <x:c r="C31" s="12" t="str">
        <x:v>Student Wellbeing</x:v>
      </x:c>
      <x:c r="D31" s="16" t="n">
        <x:v>60000000</x:v>
      </x:c>
      <x:c r="E31" s="16" t="n">
        <x:f>SUMIFS('03_De_nghi_thanh_toan'!$I:$I,'03_De_nghi_thanh_toan'!$D:$D,C31,'03_De_nghi_thanh_toan'!$B:$B,"&gt;="&amp;A31,'03_De_nghi_thanh_toan'!$B:$B,"&lt;="&amp;EOMONTH(A31,0))</x:f>
        <x:v>147626600</x:v>
      </x:c>
      <x:c r="F31" s="16" t="n">
        <x:f>SUMIFS('03_De_nghi_thanh_toan'!$I:$I,'03_De_nghi_thanh_toan'!$D:$D,C31,'03_De_nghi_thanh_toan'!$B:$B,"&gt;="&amp;A31,'03_De_nghi_thanh_toan'!$B:$B,"&lt;="&amp;EOMONTH(A31,0),'03_De_nghi_thanh_toan'!$K:$K,"Đã thanh toán")</x:f>
        <x:v>147626600</x:v>
      </x:c>
      <x:c r="G31" s="16" t="n">
        <x:f>D31-F31</x:f>
        <x:v>-87626600</x:v>
      </x:c>
      <x:c r="H31" s="20" t="n">
        <x:f>IFERROR(F31/D31,0)</x:f>
        <x:v>2.4604433333333335</x:v>
      </x:c>
      <x:c r="I31" s="12" t="str">
        <x:f>IF(H31&gt;1,"Vượt kế hoạch",IF(H31&gt;0.85,"Cần theo dõi","Trong kế hoạch"))</x:f>
        <x:v>Vượt kế hoạch</x:v>
      </x:c>
      <x:c r="J31" s="12" t="str"/>
    </x:row>
    <x:row r="32">
      <x:c r="A32" s="18" t="n">
        <x:v>46113</x:v>
      </x:c>
      <x:c r="B32" s="12" t="str">
        <x:v>Q2</x:v>
      </x:c>
      <x:c r="C32" s="12" t="str">
        <x:v>Orientation Week</x:v>
      </x:c>
      <x:c r="D32" s="16" t="n">
        <x:v>214000000</x:v>
      </x:c>
      <x:c r="E32" s="16" t="n">
        <x:f>SUMIFS('03_De_nghi_thanh_toan'!$I:$I,'03_De_nghi_thanh_toan'!$D:$D,C32,'03_De_nghi_thanh_toan'!$B:$B,"&gt;="&amp;A32,'03_De_nghi_thanh_toan'!$B:$B,"&lt;="&amp;EOMONTH(A32,0))</x:f>
        <x:v>100557600</x:v>
      </x:c>
      <x:c r="F32" s="16" t="n">
        <x:f>SUMIFS('03_De_nghi_thanh_toan'!$I:$I,'03_De_nghi_thanh_toan'!$D:$D,C32,'03_De_nghi_thanh_toan'!$B:$B,"&gt;="&amp;A32,'03_De_nghi_thanh_toan'!$B:$B,"&lt;="&amp;EOMONTH(A32,0),'03_De_nghi_thanh_toan'!$K:$K,"Đã thanh toán")</x:f>
        <x:v>56331000</x:v>
      </x:c>
      <x:c r="G32" s="16" t="n">
        <x:f>D32-F32</x:f>
        <x:v>157669000</x:v>
      </x:c>
      <x:c r="H32" s="20" t="n">
        <x:f>IFERROR(F32/D32,0)</x:f>
        <x:v>0.2632289719626168</x:v>
      </x:c>
      <x:c r="I32" s="12" t="str">
        <x:f>IF(H32&gt;1,"Vượt kế hoạch",IF(H32&gt;0.85,"Cần theo dõi","Trong kế hoạch"))</x:f>
        <x:v>Trong kế hoạch</x:v>
      </x:c>
      <x:c r="J32" s="12" t="str"/>
    </x:row>
    <x:row r="33">
      <x:c r="A33" s="18" t="n">
        <x:v>46113</x:v>
      </x:c>
      <x:c r="B33" s="12" t="str">
        <x:v>Q2</x:v>
      </x:c>
      <x:c r="C33" s="12" t="str">
        <x:v>Student Clubs</x:v>
      </x:c>
      <x:c r="D33" s="16" t="n">
        <x:v>151000000</x:v>
      </x:c>
      <x:c r="E33" s="16" t="n">
        <x:f>SUMIFS('03_De_nghi_thanh_toan'!$I:$I,'03_De_nghi_thanh_toan'!$D:$D,C33,'03_De_nghi_thanh_toan'!$B:$B,"&gt;="&amp;A33,'03_De_nghi_thanh_toan'!$B:$B,"&lt;="&amp;EOMONTH(A33,0))</x:f>
        <x:v>0</x:v>
      </x:c>
      <x:c r="F33" s="16" t="n">
        <x:f>SUMIFS('03_De_nghi_thanh_toan'!$I:$I,'03_De_nghi_thanh_toan'!$D:$D,C33,'03_De_nghi_thanh_toan'!$B:$B,"&gt;="&amp;A33,'03_De_nghi_thanh_toan'!$B:$B,"&lt;="&amp;EOMONTH(A33,0),'03_De_nghi_thanh_toan'!$K:$K,"Đã thanh toán")</x:f>
        <x:v>0</x:v>
      </x:c>
      <x:c r="G33" s="16" t="n">
        <x:f>D33-F33</x:f>
        <x:v>151000000</x:v>
      </x:c>
      <x:c r="H33" s="20" t="n">
        <x:f>IFERROR(F33/D33,0)</x:f>
        <x:v>0</x:v>
      </x:c>
      <x:c r="I33" s="12" t="str">
        <x:f>IF(H33&gt;1,"Vượt kế hoạch",IF(H33&gt;0.85,"Cần theo dõi","Trong kế hoạch"))</x:f>
        <x:v>Trong kế hoạch</x:v>
      </x:c>
      <x:c r="J33" s="12" t="str"/>
    </x:row>
    <x:row r="34">
      <x:c r="A34" s="18" t="n">
        <x:v>46113</x:v>
      </x:c>
      <x:c r="B34" s="12" t="str">
        <x:v>Q2</x:v>
      </x:c>
      <x:c r="C34" s="12" t="str">
        <x:v>Scholarship Program</x:v>
      </x:c>
      <x:c r="D34" s="16" t="n">
        <x:v>91000000</x:v>
      </x:c>
      <x:c r="E34" s="16" t="n">
        <x:f>SUMIFS('03_De_nghi_thanh_toan'!$I:$I,'03_De_nghi_thanh_toan'!$D:$D,C34,'03_De_nghi_thanh_toan'!$B:$B,"&gt;="&amp;A34,'03_De_nghi_thanh_toan'!$B:$B,"&lt;="&amp;EOMONTH(A34,0))</x:f>
        <x:v>166516000</x:v>
      </x:c>
      <x:c r="F34" s="16" t="n">
        <x:f>SUMIFS('03_De_nghi_thanh_toan'!$I:$I,'03_De_nghi_thanh_toan'!$D:$D,C34,'03_De_nghi_thanh_toan'!$B:$B,"&gt;="&amp;A34,'03_De_nghi_thanh_toan'!$B:$B,"&lt;="&amp;EOMONTH(A34,0),'03_De_nghi_thanh_toan'!$K:$K,"Đã thanh toán")</x:f>
        <x:v>66428000</x:v>
      </x:c>
      <x:c r="G34" s="16" t="n">
        <x:f>D34-F34</x:f>
        <x:v>24572000</x:v>
      </x:c>
      <x:c r="H34" s="20" t="n">
        <x:f>IFERROR(F34/D34,0)</x:f>
        <x:v>0.729978021978022</x:v>
      </x:c>
      <x:c r="I34" s="12" t="str">
        <x:f>IF(H34&gt;1,"Vượt kế hoạch",IF(H34&gt;0.85,"Cần theo dõi","Trong kế hoạch"))</x:f>
        <x:v>Trong kế hoạch</x:v>
      </x:c>
      <x:c r="J34" s="12" t="str"/>
    </x:row>
    <x:row r="35">
      <x:c r="A35" s="18" t="n">
        <x:v>46113</x:v>
      </x:c>
      <x:c r="B35" s="12" t="str">
        <x:v>Q2</x:v>
      </x:c>
      <x:c r="C35" s="12" t="str">
        <x:v>Career Fair</x:v>
      </x:c>
      <x:c r="D35" s="16" t="n">
        <x:v>200000000</x:v>
      </x:c>
      <x:c r="E35" s="16" t="n">
        <x:f>SUMIFS('03_De_nghi_thanh_toan'!$I:$I,'03_De_nghi_thanh_toan'!$D:$D,C35,'03_De_nghi_thanh_toan'!$B:$B,"&gt;="&amp;A35,'03_De_nghi_thanh_toan'!$B:$B,"&lt;="&amp;EOMONTH(A35,0))</x:f>
        <x:v>158182400</x:v>
      </x:c>
      <x:c r="F35" s="16" t="n">
        <x:f>SUMIFS('03_De_nghi_thanh_toan'!$I:$I,'03_De_nghi_thanh_toan'!$D:$D,C35,'03_De_nghi_thanh_toan'!$B:$B,"&gt;="&amp;A35,'03_De_nghi_thanh_toan'!$B:$B,"&lt;="&amp;EOMONTH(A35,0),'03_De_nghi_thanh_toan'!$K:$K,"Đã thanh toán")</x:f>
        <x:v>14804000</x:v>
      </x:c>
      <x:c r="G35" s="16" t="n">
        <x:f>D35-F35</x:f>
        <x:v>185196000</x:v>
      </x:c>
      <x:c r="H35" s="20" t="n">
        <x:f>IFERROR(F35/D35,0)</x:f>
        <x:v>0.07402</x:v>
      </x:c>
      <x:c r="I35" s="12" t="str">
        <x:f>IF(H35&gt;1,"Vượt kế hoạch",IF(H35&gt;0.85,"Cần theo dõi","Trong kế hoạch"))</x:f>
        <x:v>Trong kế hoạch</x:v>
      </x:c>
      <x:c r="J35" s="12" t="str"/>
    </x:row>
    <x:row r="36">
      <x:c r="A36" s="18" t="n">
        <x:v>46113</x:v>
      </x:c>
      <x:c r="B36" s="12" t="str">
        <x:v>Q2</x:v>
      </x:c>
      <x:c r="C36" s="12" t="str">
        <x:v>Mental Health Program</x:v>
      </x:c>
      <x:c r="D36" s="16" t="n">
        <x:v>77000000</x:v>
      </x:c>
      <x:c r="E36" s="16" t="n">
        <x:f>SUMIFS('03_De_nghi_thanh_toan'!$I:$I,'03_De_nghi_thanh_toan'!$D:$D,C36,'03_De_nghi_thanh_toan'!$B:$B,"&gt;="&amp;A36,'03_De_nghi_thanh_toan'!$B:$B,"&lt;="&amp;EOMONTH(A36,0))</x:f>
        <x:v>76667800</x:v>
      </x:c>
      <x:c r="F36" s="16" t="n">
        <x:f>SUMIFS('03_De_nghi_thanh_toan'!$I:$I,'03_De_nghi_thanh_toan'!$D:$D,C36,'03_De_nghi_thanh_toan'!$B:$B,"&gt;="&amp;A36,'03_De_nghi_thanh_toan'!$B:$B,"&lt;="&amp;EOMONTH(A36,0),'03_De_nghi_thanh_toan'!$K:$K,"Đã thanh toán")</x:f>
        <x:v>0</x:v>
      </x:c>
      <x:c r="G36" s="16" t="n">
        <x:f>D36-F36</x:f>
        <x:v>77000000</x:v>
      </x:c>
      <x:c r="H36" s="20" t="n">
        <x:f>IFERROR(F36/D36,0)</x:f>
        <x:v>0</x:v>
      </x:c>
      <x:c r="I36" s="12" t="str">
        <x:f>IF(H36&gt;1,"Vượt kế hoạch",IF(H36&gt;0.85,"Cần theo dõi","Trong kế hoạch"))</x:f>
        <x:v>Trong kế hoạch</x:v>
      </x:c>
      <x:c r="J36" s="12" t="str"/>
    </x:row>
    <x:row r="37">
      <x:c r="A37" s="18" t="n">
        <x:v>46113</x:v>
      </x:c>
      <x:c r="B37" s="12" t="str">
        <x:v>Q2</x:v>
      </x:c>
      <x:c r="C37" s="12" t="str">
        <x:v>Student Leadership</x:v>
      </x:c>
      <x:c r="D37" s="16" t="n">
        <x:v>192000000</x:v>
      </x:c>
      <x:c r="E37" s="16" t="n">
        <x:f>SUMIFS('03_De_nghi_thanh_toan'!$I:$I,'03_De_nghi_thanh_toan'!$D:$D,C37,'03_De_nghi_thanh_toan'!$B:$B,"&gt;="&amp;A37,'03_De_nghi_thanh_toan'!$B:$B,"&lt;="&amp;EOMONTH(A37,0))</x:f>
        <x:v>78707200</x:v>
      </x:c>
      <x:c r="F37" s="16" t="n">
        <x:f>SUMIFS('03_De_nghi_thanh_toan'!$I:$I,'03_De_nghi_thanh_toan'!$D:$D,C37,'03_De_nghi_thanh_toan'!$B:$B,"&gt;="&amp;A37,'03_De_nghi_thanh_toan'!$B:$B,"&lt;="&amp;EOMONTH(A37,0),'03_De_nghi_thanh_toan'!$K:$K,"Đã thanh toán")</x:f>
        <x:v>0</x:v>
      </x:c>
      <x:c r="G37" s="16" t="n">
        <x:f>D37-F37</x:f>
        <x:v>192000000</x:v>
      </x:c>
      <x:c r="H37" s="20" t="n">
        <x:f>IFERROR(F37/D37,0)</x:f>
        <x:v>0</x:v>
      </x:c>
      <x:c r="I37" s="12" t="str">
        <x:f>IF(H37&gt;1,"Vượt kế hoạch",IF(H37&gt;0.85,"Cần theo dõi","Trong kế hoạch"))</x:f>
        <x:v>Trong kế hoạch</x:v>
      </x:c>
      <x:c r="J37" s="12" t="str"/>
    </x:row>
    <x:row r="38">
      <x:c r="A38" s="18" t="n">
        <x:v>46113</x:v>
      </x:c>
      <x:c r="B38" s="12" t="str">
        <x:v>Q2</x:v>
      </x:c>
      <x:c r="C38" s="12" t="str">
        <x:v>Community Service</x:v>
      </x:c>
      <x:c r="D38" s="16" t="n">
        <x:v>106000000</x:v>
      </x:c>
      <x:c r="E38" s="16" t="n">
        <x:f>SUMIFS('03_De_nghi_thanh_toan'!$I:$I,'03_De_nghi_thanh_toan'!$D:$D,C38,'03_De_nghi_thanh_toan'!$B:$B,"&gt;="&amp;A38,'03_De_nghi_thanh_toan'!$B:$B,"&lt;="&amp;EOMONTH(A38,0))</x:f>
        <x:v>335069900</x:v>
      </x:c>
      <x:c r="F38" s="16" t="n">
        <x:f>SUMIFS('03_De_nghi_thanh_toan'!$I:$I,'03_De_nghi_thanh_toan'!$D:$D,C38,'03_De_nghi_thanh_toan'!$B:$B,"&gt;="&amp;A38,'03_De_nghi_thanh_toan'!$B:$B,"&lt;="&amp;EOMONTH(A38,0),'03_De_nghi_thanh_toan'!$K:$K,"Đã thanh toán")</x:f>
        <x:v>137626500</x:v>
      </x:c>
      <x:c r="G38" s="16" t="n">
        <x:f>D38-F38</x:f>
        <x:v>-31626500</x:v>
      </x:c>
      <x:c r="H38" s="20" t="n">
        <x:f>IFERROR(F38/D38,0)</x:f>
        <x:v>1.2983632075471698</x:v>
      </x:c>
      <x:c r="I38" s="12" t="str">
        <x:f>IF(H38&gt;1,"Vượt kế hoạch",IF(H38&gt;0.85,"Cần theo dõi","Trong kế hoạch"))</x:f>
        <x:v>Vượt kế hoạch</x:v>
      </x:c>
      <x:c r="J38" s="12" t="str"/>
    </x:row>
    <x:row r="39">
      <x:c r="A39" s="18" t="n">
        <x:v>46113</x:v>
      </x:c>
      <x:c r="B39" s="12" t="str">
        <x:v>Q2</x:v>
      </x:c>
      <x:c r="C39" s="12" t="str">
        <x:v>Graduation Ceremony</x:v>
      </x:c>
      <x:c r="D39" s="16" t="n">
        <x:v>121000000</x:v>
      </x:c>
      <x:c r="E39" s="16" t="n">
        <x:f>SUMIFS('03_De_nghi_thanh_toan'!$I:$I,'03_De_nghi_thanh_toan'!$D:$D,C39,'03_De_nghi_thanh_toan'!$B:$B,"&gt;="&amp;A39,'03_De_nghi_thanh_toan'!$B:$B,"&lt;="&amp;EOMONTH(A39,0))</x:f>
        <x:v>91381400</x:v>
      </x:c>
      <x:c r="F39" s="16" t="n">
        <x:f>SUMIFS('03_De_nghi_thanh_toan'!$I:$I,'03_De_nghi_thanh_toan'!$D:$D,C39,'03_De_nghi_thanh_toan'!$B:$B,"&gt;="&amp;A39,'03_De_nghi_thanh_toan'!$B:$B,"&lt;="&amp;EOMONTH(A39,0),'03_De_nghi_thanh_toan'!$K:$K,"Đã thanh toán")</x:f>
        <x:v>91381400</x:v>
      </x:c>
      <x:c r="G39" s="16" t="n">
        <x:f>D39-F39</x:f>
        <x:v>29618600</x:v>
      </x:c>
      <x:c r="H39" s="20" t="n">
        <x:f>IFERROR(F39/D39,0)</x:f>
        <x:v>0.7552181818181818</x:v>
      </x:c>
      <x:c r="I39" s="12" t="str">
        <x:f>IF(H39&gt;1,"Vượt kế hoạch",IF(H39&gt;0.85,"Cần theo dõi","Trong kế hoạch"))</x:f>
        <x:v>Trong kế hoạch</x:v>
      </x:c>
      <x:c r="J39" s="12" t="str"/>
    </x:row>
    <x:row r="40">
      <x:c r="A40" s="18" t="n">
        <x:v>46113</x:v>
      </x:c>
      <x:c r="B40" s="12" t="str">
        <x:v>Q2</x:v>
      </x:c>
      <x:c r="C40" s="12" t="str">
        <x:v>International Exchange</x:v>
      </x:c>
      <x:c r="D40" s="16" t="n">
        <x:v>57000000</x:v>
      </x:c>
      <x:c r="E40" s="16" t="n">
        <x:f>SUMIFS('03_De_nghi_thanh_toan'!$I:$I,'03_De_nghi_thanh_toan'!$D:$D,C40,'03_De_nghi_thanh_toan'!$B:$B,"&gt;="&amp;A40,'03_De_nghi_thanh_toan'!$B:$B,"&lt;="&amp;EOMONTH(A40,0))</x:f>
        <x:v>16480200</x:v>
      </x:c>
      <x:c r="F40" s="16" t="n">
        <x:f>SUMIFS('03_De_nghi_thanh_toan'!$I:$I,'03_De_nghi_thanh_toan'!$D:$D,C40,'03_De_nghi_thanh_toan'!$B:$B,"&gt;="&amp;A40,'03_De_nghi_thanh_toan'!$B:$B,"&lt;="&amp;EOMONTH(A40,0),'03_De_nghi_thanh_toan'!$K:$K,"Đã thanh toán")</x:f>
        <x:v>0</x:v>
      </x:c>
      <x:c r="G40" s="16" t="n">
        <x:f>D40-F40</x:f>
        <x:v>57000000</x:v>
      </x:c>
      <x:c r="H40" s="20" t="n">
        <x:f>IFERROR(F40/D40,0)</x:f>
        <x:v>0</x:v>
      </x:c>
      <x:c r="I40" s="12" t="str">
        <x:f>IF(H40&gt;1,"Vượt kế hoạch",IF(H40&gt;0.85,"Cần theo dõi","Trong kế hoạch"))</x:f>
        <x:v>Trong kế hoạch</x:v>
      </x:c>
      <x:c r="J40" s="12" t="str"/>
    </x:row>
    <x:row r="41">
      <x:c r="A41" s="18" t="n">
        <x:v>46113</x:v>
      </x:c>
      <x:c r="B41" s="12" t="str">
        <x:v>Q2</x:v>
      </x:c>
      <x:c r="C41" s="12" t="str">
        <x:v>Student Wellbeing</x:v>
      </x:c>
      <x:c r="D41" s="16" t="n">
        <x:v>62000000</x:v>
      </x:c>
      <x:c r="E41" s="16" t="n">
        <x:f>SUMIFS('03_De_nghi_thanh_toan'!$I:$I,'03_De_nghi_thanh_toan'!$D:$D,C41,'03_De_nghi_thanh_toan'!$B:$B,"&gt;="&amp;A41,'03_De_nghi_thanh_toan'!$B:$B,"&lt;="&amp;EOMONTH(A41,0))</x:f>
        <x:v>0</x:v>
      </x:c>
      <x:c r="F41" s="16" t="n">
        <x:f>SUMIFS('03_De_nghi_thanh_toan'!$I:$I,'03_De_nghi_thanh_toan'!$D:$D,C41,'03_De_nghi_thanh_toan'!$B:$B,"&gt;="&amp;A41,'03_De_nghi_thanh_toan'!$B:$B,"&lt;="&amp;EOMONTH(A41,0),'03_De_nghi_thanh_toan'!$K:$K,"Đã thanh toán")</x:f>
        <x:v>0</x:v>
      </x:c>
      <x:c r="G41" s="16" t="n">
        <x:f>D41-F41</x:f>
        <x:v>62000000</x:v>
      </x:c>
      <x:c r="H41" s="20" t="n">
        <x:f>IFERROR(F41/D41,0)</x:f>
        <x:v>0</x:v>
      </x:c>
      <x:c r="I41" s="12" t="str">
        <x:f>IF(H41&gt;1,"Vượt kế hoạch",IF(H41&gt;0.85,"Cần theo dõi","Trong kế hoạch"))</x:f>
        <x:v>Trong kế hoạch</x:v>
      </x:c>
      <x:c r="J41" s="12" t="str"/>
    </x:row>
    <x:row r="42">
      <x:c r="A42" s="18" t="n">
        <x:v>46143</x:v>
      </x:c>
      <x:c r="B42" s="12" t="str">
        <x:v>Q2</x:v>
      </x:c>
      <x:c r="C42" s="12" t="str">
        <x:v>Orientation Week</x:v>
      </x:c>
      <x:c r="D42" s="16" t="n">
        <x:v>139000000</x:v>
      </x:c>
      <x:c r="E42" s="16" t="n">
        <x:f>SUMIFS('03_De_nghi_thanh_toan'!$I:$I,'03_De_nghi_thanh_toan'!$D:$D,C42,'03_De_nghi_thanh_toan'!$B:$B,"&gt;="&amp;A42,'03_De_nghi_thanh_toan'!$B:$B,"&lt;="&amp;EOMONTH(A42,0))</x:f>
        <x:v>130158600</x:v>
      </x:c>
      <x:c r="F42" s="16" t="n">
        <x:f>SUMIFS('03_De_nghi_thanh_toan'!$I:$I,'03_De_nghi_thanh_toan'!$D:$D,C42,'03_De_nghi_thanh_toan'!$B:$B,"&gt;="&amp;A42,'03_De_nghi_thanh_toan'!$B:$B,"&lt;="&amp;EOMONTH(A42,0),'03_De_nghi_thanh_toan'!$K:$K,"Đã thanh toán")</x:f>
        <x:v>130158600</x:v>
      </x:c>
      <x:c r="G42" s="16" t="n">
        <x:f>D42-F42</x:f>
        <x:v>8841400</x:v>
      </x:c>
      <x:c r="H42" s="20" t="n">
        <x:f>IFERROR(F42/D42,0)</x:f>
        <x:v>0.9363928057553956</x:v>
      </x:c>
      <x:c r="I42" s="12" t="str">
        <x:f>IF(H42&gt;1,"Vượt kế hoạch",IF(H42&gt;0.85,"Cần theo dõi","Trong kế hoạch"))</x:f>
        <x:v>Cần theo dõi</x:v>
      </x:c>
      <x:c r="J42" s="12" t="str"/>
    </x:row>
    <x:row r="43">
      <x:c r="A43" s="18" t="n">
        <x:v>46143</x:v>
      </x:c>
      <x:c r="B43" s="12" t="str">
        <x:v>Q2</x:v>
      </x:c>
      <x:c r="C43" s="12" t="str">
        <x:v>Student Clubs</x:v>
      </x:c>
      <x:c r="D43" s="16" t="n">
        <x:v>182000000</x:v>
      </x:c>
      <x:c r="E43" s="16" t="n">
        <x:f>SUMIFS('03_De_nghi_thanh_toan'!$I:$I,'03_De_nghi_thanh_toan'!$D:$D,C43,'03_De_nghi_thanh_toan'!$B:$B,"&gt;="&amp;A43,'03_De_nghi_thanh_toan'!$B:$B,"&lt;="&amp;EOMONTH(A43,0))</x:f>
        <x:v>372522900</x:v>
      </x:c>
      <x:c r="F43" s="16" t="n">
        <x:f>SUMIFS('03_De_nghi_thanh_toan'!$I:$I,'03_De_nghi_thanh_toan'!$D:$D,C43,'03_De_nghi_thanh_toan'!$B:$B,"&gt;="&amp;A43,'03_De_nghi_thanh_toan'!$B:$B,"&lt;="&amp;EOMONTH(A43,0),'03_De_nghi_thanh_toan'!$K:$K,"Đã thanh toán")</x:f>
        <x:v>0</x:v>
      </x:c>
      <x:c r="G43" s="16" t="n">
        <x:f>D43-F43</x:f>
        <x:v>182000000</x:v>
      </x:c>
      <x:c r="H43" s="20" t="n">
        <x:f>IFERROR(F43/D43,0)</x:f>
        <x:v>0</x:v>
      </x:c>
      <x:c r="I43" s="12" t="str">
        <x:f>IF(H43&gt;1,"Vượt kế hoạch",IF(H43&gt;0.85,"Cần theo dõi","Trong kế hoạch"))</x:f>
        <x:v>Trong kế hoạch</x:v>
      </x:c>
      <x:c r="J43" s="12" t="str"/>
    </x:row>
    <x:row r="44">
      <x:c r="A44" s="18" t="n">
        <x:v>46143</x:v>
      </x:c>
      <x:c r="B44" s="12" t="str">
        <x:v>Q2</x:v>
      </x:c>
      <x:c r="C44" s="12" t="str">
        <x:v>Scholarship Program</x:v>
      </x:c>
      <x:c r="D44" s="16" t="n">
        <x:v>141000000</x:v>
      </x:c>
      <x:c r="E44" s="16" t="n">
        <x:f>SUMIFS('03_De_nghi_thanh_toan'!$I:$I,'03_De_nghi_thanh_toan'!$D:$D,C44,'03_De_nghi_thanh_toan'!$B:$B,"&gt;="&amp;A44,'03_De_nghi_thanh_toan'!$B:$B,"&lt;="&amp;EOMONTH(A44,0))</x:f>
        <x:v>153881000</x:v>
      </x:c>
      <x:c r="F44" s="16" t="n">
        <x:f>SUMIFS('03_De_nghi_thanh_toan'!$I:$I,'03_De_nghi_thanh_toan'!$D:$D,C44,'03_De_nghi_thanh_toan'!$B:$B,"&gt;="&amp;A44,'03_De_nghi_thanh_toan'!$B:$B,"&lt;="&amp;EOMONTH(A44,0),'03_De_nghi_thanh_toan'!$K:$K,"Đã thanh toán")</x:f>
        <x:v>0</x:v>
      </x:c>
      <x:c r="G44" s="16" t="n">
        <x:f>D44-F44</x:f>
        <x:v>141000000</x:v>
      </x:c>
      <x:c r="H44" s="20" t="n">
        <x:f>IFERROR(F44/D44,0)</x:f>
        <x:v>0</x:v>
      </x:c>
      <x:c r="I44" s="12" t="str">
        <x:f>IF(H44&gt;1,"Vượt kế hoạch",IF(H44&gt;0.85,"Cần theo dõi","Trong kế hoạch"))</x:f>
        <x:v>Trong kế hoạch</x:v>
      </x:c>
      <x:c r="J44" s="12" t="str"/>
    </x:row>
    <x:row r="45">
      <x:c r="A45" s="18" t="n">
        <x:v>46143</x:v>
      </x:c>
      <x:c r="B45" s="12" t="str">
        <x:v>Q2</x:v>
      </x:c>
      <x:c r="C45" s="12" t="str">
        <x:v>Career Fair</x:v>
      </x:c>
      <x:c r="D45" s="16" t="n">
        <x:v>181000000</x:v>
      </x:c>
      <x:c r="E45" s="16" t="n">
        <x:f>SUMIFS('03_De_nghi_thanh_toan'!$I:$I,'03_De_nghi_thanh_toan'!$D:$D,C45,'03_De_nghi_thanh_toan'!$B:$B,"&gt;="&amp;A45,'03_De_nghi_thanh_toan'!$B:$B,"&lt;="&amp;EOMONTH(A45,0))</x:f>
        <x:v>520922900</x:v>
      </x:c>
      <x:c r="F45" s="16" t="n">
        <x:f>SUMIFS('03_De_nghi_thanh_toan'!$I:$I,'03_De_nghi_thanh_toan'!$D:$D,C45,'03_De_nghi_thanh_toan'!$B:$B,"&gt;="&amp;A45,'03_De_nghi_thanh_toan'!$B:$B,"&lt;="&amp;EOMONTH(A45,0),'03_De_nghi_thanh_toan'!$K:$K,"Đã thanh toán")</x:f>
        <x:v>85818700</x:v>
      </x:c>
      <x:c r="G45" s="16" t="n">
        <x:f>D45-F45</x:f>
        <x:v>95181300</x:v>
      </x:c>
      <x:c r="H45" s="20" t="n">
        <x:f>IFERROR(F45/D45,0)</x:f>
        <x:v>0.47413646408839777</x:v>
      </x:c>
      <x:c r="I45" s="12" t="str">
        <x:f>IF(H45&gt;1,"Vượt kế hoạch",IF(H45&gt;0.85,"Cần theo dõi","Trong kế hoạch"))</x:f>
        <x:v>Trong kế hoạch</x:v>
      </x:c>
      <x:c r="J45" s="12" t="str"/>
    </x:row>
    <x:row r="46">
      <x:c r="A46" s="18" t="n">
        <x:v>46143</x:v>
      </x:c>
      <x:c r="B46" s="12" t="str">
        <x:v>Q2</x:v>
      </x:c>
      <x:c r="C46" s="12" t="str">
        <x:v>Mental Health Program</x:v>
      </x:c>
      <x:c r="D46" s="16" t="n">
        <x:v>123000000</x:v>
      </x:c>
      <x:c r="E46" s="16" t="n">
        <x:f>SUMIFS('03_De_nghi_thanh_toan'!$I:$I,'03_De_nghi_thanh_toan'!$D:$D,C46,'03_De_nghi_thanh_toan'!$B:$B,"&gt;="&amp;A46,'03_De_nghi_thanh_toan'!$B:$B,"&lt;="&amp;EOMONTH(A46,0))</x:f>
        <x:v>106360000</x:v>
      </x:c>
      <x:c r="F46" s="16" t="n">
        <x:f>SUMIFS('03_De_nghi_thanh_toan'!$I:$I,'03_De_nghi_thanh_toan'!$D:$D,C46,'03_De_nghi_thanh_toan'!$B:$B,"&gt;="&amp;A46,'03_De_nghi_thanh_toan'!$B:$B,"&lt;="&amp;EOMONTH(A46,0),'03_De_nghi_thanh_toan'!$K:$K,"Đã thanh toán")</x:f>
        <x:v>0</x:v>
      </x:c>
      <x:c r="G46" s="16" t="n">
        <x:f>D46-F46</x:f>
        <x:v>123000000</x:v>
      </x:c>
      <x:c r="H46" s="20" t="n">
        <x:f>IFERROR(F46/D46,0)</x:f>
        <x:v>0</x:v>
      </x:c>
      <x:c r="I46" s="12" t="str">
        <x:f>IF(H46&gt;1,"Vượt kế hoạch",IF(H46&gt;0.85,"Cần theo dõi","Trong kế hoạch"))</x:f>
        <x:v>Trong kế hoạch</x:v>
      </x:c>
      <x:c r="J46" s="12" t="str"/>
    </x:row>
    <x:row r="47">
      <x:c r="A47" s="18" t="n">
        <x:v>46143</x:v>
      </x:c>
      <x:c r="B47" s="12" t="str">
        <x:v>Q2</x:v>
      </x:c>
      <x:c r="C47" s="12" t="str">
        <x:v>Student Leadership</x:v>
      </x:c>
      <x:c r="D47" s="16" t="n">
        <x:v>110000000</x:v>
      </x:c>
      <x:c r="E47" s="16" t="n">
        <x:f>SUMIFS('03_De_nghi_thanh_toan'!$I:$I,'03_De_nghi_thanh_toan'!$D:$D,C47,'03_De_nghi_thanh_toan'!$B:$B,"&gt;="&amp;A47,'03_De_nghi_thanh_toan'!$B:$B,"&lt;="&amp;EOMONTH(A47,0))</x:f>
        <x:v>259271700</x:v>
      </x:c>
      <x:c r="F47" s="16" t="n">
        <x:f>SUMIFS('03_De_nghi_thanh_toan'!$I:$I,'03_De_nghi_thanh_toan'!$D:$D,C47,'03_De_nghi_thanh_toan'!$B:$B,"&gt;="&amp;A47,'03_De_nghi_thanh_toan'!$B:$B,"&lt;="&amp;EOMONTH(A47,0),'03_De_nghi_thanh_toan'!$K:$K,"Đã thanh toán")</x:f>
        <x:v>83660000</x:v>
      </x:c>
      <x:c r="G47" s="16" t="n">
        <x:f>D47-F47</x:f>
        <x:v>26340000</x:v>
      </x:c>
      <x:c r="H47" s="20" t="n">
        <x:f>IFERROR(F47/D47,0)</x:f>
        <x:v>0.7605454545454545</x:v>
      </x:c>
      <x:c r="I47" s="12" t="str">
        <x:f>IF(H47&gt;1,"Vượt kế hoạch",IF(H47&gt;0.85,"Cần theo dõi","Trong kế hoạch"))</x:f>
        <x:v>Trong kế hoạch</x:v>
      </x:c>
      <x:c r="J47" s="12" t="str"/>
    </x:row>
    <x:row r="48">
      <x:c r="A48" s="18" t="n">
        <x:v>46143</x:v>
      </x:c>
      <x:c r="B48" s="12" t="str">
        <x:v>Q2</x:v>
      </x:c>
      <x:c r="C48" s="12" t="str">
        <x:v>Community Service</x:v>
      </x:c>
      <x:c r="D48" s="16" t="n">
        <x:v>173000000</x:v>
      </x:c>
      <x:c r="E48" s="16" t="n">
        <x:f>SUMIFS('03_De_nghi_thanh_toan'!$I:$I,'03_De_nghi_thanh_toan'!$D:$D,C48,'03_De_nghi_thanh_toan'!$B:$B,"&gt;="&amp;A48,'03_De_nghi_thanh_toan'!$B:$B,"&lt;="&amp;EOMONTH(A48,0))</x:f>
        <x:v>87544600</x:v>
      </x:c>
      <x:c r="F48" s="16" t="n">
        <x:f>SUMIFS('03_De_nghi_thanh_toan'!$I:$I,'03_De_nghi_thanh_toan'!$D:$D,C48,'03_De_nghi_thanh_toan'!$B:$B,"&gt;="&amp;A48,'03_De_nghi_thanh_toan'!$B:$B,"&lt;="&amp;EOMONTH(A48,0),'03_De_nghi_thanh_toan'!$K:$K,"Đã thanh toán")</x:f>
        <x:v>0</x:v>
      </x:c>
      <x:c r="G48" s="16" t="n">
        <x:f>D48-F48</x:f>
        <x:v>173000000</x:v>
      </x:c>
      <x:c r="H48" s="20" t="n">
        <x:f>IFERROR(F48/D48,0)</x:f>
        <x:v>0</x:v>
      </x:c>
      <x:c r="I48" s="12" t="str">
        <x:f>IF(H48&gt;1,"Vượt kế hoạch",IF(H48&gt;0.85,"Cần theo dõi","Trong kế hoạch"))</x:f>
        <x:v>Trong kế hoạch</x:v>
      </x:c>
      <x:c r="J48" s="12" t="str"/>
    </x:row>
    <x:row r="49">
      <x:c r="A49" s="18" t="n">
        <x:v>46143</x:v>
      </x:c>
      <x:c r="B49" s="12" t="str">
        <x:v>Q2</x:v>
      </x:c>
      <x:c r="C49" s="12" t="str">
        <x:v>Graduation Ceremony</x:v>
      </x:c>
      <x:c r="D49" s="16" t="n">
        <x:v>157000000</x:v>
      </x:c>
      <x:c r="E49" s="16" t="n">
        <x:f>SUMIFS('03_De_nghi_thanh_toan'!$I:$I,'03_De_nghi_thanh_toan'!$D:$D,C49,'03_De_nghi_thanh_toan'!$B:$B,"&gt;="&amp;A49,'03_De_nghi_thanh_toan'!$B:$B,"&lt;="&amp;EOMONTH(A49,0))</x:f>
        <x:v>0</x:v>
      </x:c>
      <x:c r="F49" s="16" t="n">
        <x:f>SUMIFS('03_De_nghi_thanh_toan'!$I:$I,'03_De_nghi_thanh_toan'!$D:$D,C49,'03_De_nghi_thanh_toan'!$B:$B,"&gt;="&amp;A49,'03_De_nghi_thanh_toan'!$B:$B,"&lt;="&amp;EOMONTH(A49,0),'03_De_nghi_thanh_toan'!$K:$K,"Đã thanh toán")</x:f>
        <x:v>0</x:v>
      </x:c>
      <x:c r="G49" s="16" t="n">
        <x:f>D49-F49</x:f>
        <x:v>157000000</x:v>
      </x:c>
      <x:c r="H49" s="20" t="n">
        <x:f>IFERROR(F49/D49,0)</x:f>
        <x:v>0</x:v>
      </x:c>
      <x:c r="I49" s="12" t="str">
        <x:f>IF(H49&gt;1,"Vượt kế hoạch",IF(H49&gt;0.85,"Cần theo dõi","Trong kế hoạch"))</x:f>
        <x:v>Trong kế hoạch</x:v>
      </x:c>
      <x:c r="J49" s="12" t="str"/>
    </x:row>
    <x:row r="50">
      <x:c r="A50" s="18" t="n">
        <x:v>46143</x:v>
      </x:c>
      <x:c r="B50" s="12" t="str">
        <x:v>Q2</x:v>
      </x:c>
      <x:c r="C50" s="12" t="str">
        <x:v>International Exchange</x:v>
      </x:c>
      <x:c r="D50" s="16" t="n">
        <x:v>43000000</x:v>
      </x:c>
      <x:c r="E50" s="16" t="n">
        <x:f>SUMIFS('03_De_nghi_thanh_toan'!$I:$I,'03_De_nghi_thanh_toan'!$D:$D,C50,'03_De_nghi_thanh_toan'!$B:$B,"&gt;="&amp;A50,'03_De_nghi_thanh_toan'!$B:$B,"&lt;="&amp;EOMONTH(A50,0))</x:f>
        <x:v>155094500</x:v>
      </x:c>
      <x:c r="F50" s="16" t="n">
        <x:f>SUMIFS('03_De_nghi_thanh_toan'!$I:$I,'03_De_nghi_thanh_toan'!$D:$D,C50,'03_De_nghi_thanh_toan'!$B:$B,"&gt;="&amp;A50,'03_De_nghi_thanh_toan'!$B:$B,"&lt;="&amp;EOMONTH(A50,0),'03_De_nghi_thanh_toan'!$K:$K,"Đã thanh toán")</x:f>
        <x:v>61900300</x:v>
      </x:c>
      <x:c r="G50" s="16" t="n">
        <x:f>D50-F50</x:f>
        <x:v>-18900300</x:v>
      </x:c>
      <x:c r="H50" s="20" t="n">
        <x:f>IFERROR(F50/D50,0)</x:f>
        <x:v>1.4395418604651162</x:v>
      </x:c>
      <x:c r="I50" s="12" t="str">
        <x:f>IF(H50&gt;1,"Vượt kế hoạch",IF(H50&gt;0.85,"Cần theo dõi","Trong kế hoạch"))</x:f>
        <x:v>Vượt kế hoạch</x:v>
      </x:c>
      <x:c r="J50" s="12" t="str"/>
    </x:row>
    <x:row r="51">
      <x:c r="A51" s="18" t="n">
        <x:v>46143</x:v>
      </x:c>
      <x:c r="B51" s="12" t="str">
        <x:v>Q2</x:v>
      </x:c>
      <x:c r="C51" s="12" t="str">
        <x:v>Student Wellbeing</x:v>
      </x:c>
      <x:c r="D51" s="16" t="n">
        <x:v>219000000</x:v>
      </x:c>
      <x:c r="E51" s="16" t="n">
        <x:f>SUMIFS('03_De_nghi_thanh_toan'!$I:$I,'03_De_nghi_thanh_toan'!$D:$D,C51,'03_De_nghi_thanh_toan'!$B:$B,"&gt;="&amp;A51,'03_De_nghi_thanh_toan'!$B:$B,"&lt;="&amp;EOMONTH(A51,0))</x:f>
        <x:v>244843500</x:v>
      </x:c>
      <x:c r="F51" s="16" t="n">
        <x:f>SUMIFS('03_De_nghi_thanh_toan'!$I:$I,'03_De_nghi_thanh_toan'!$D:$D,C51,'03_De_nghi_thanh_toan'!$B:$B,"&gt;="&amp;A51,'03_De_nghi_thanh_toan'!$B:$B,"&lt;="&amp;EOMONTH(A51,0),'03_De_nghi_thanh_toan'!$K:$K,"Đã thanh toán")</x:f>
        <x:v>244843500</x:v>
      </x:c>
      <x:c r="G51" s="16" t="n">
        <x:f>D51-F51</x:f>
        <x:v>-25843500</x:v>
      </x:c>
      <x:c r="H51" s="20" t="n">
        <x:f>IFERROR(F51/D51,0)</x:f>
        <x:v>1.1180068493150686</x:v>
      </x:c>
      <x:c r="I51" s="12" t="str">
        <x:f>IF(H51&gt;1,"Vượt kế hoạch",IF(H51&gt;0.85,"Cần theo dõi","Trong kế hoạch"))</x:f>
        <x:v>Vượt kế hoạch</x:v>
      </x:c>
      <x:c r="J51" s="12" t="str"/>
    </x:row>
    <x:row r="52">
      <x:c r="A52" s="18" t="n">
        <x:v>46174</x:v>
      </x:c>
      <x:c r="B52" s="12" t="str">
        <x:v>Q2</x:v>
      </x:c>
      <x:c r="C52" s="12" t="str">
        <x:v>Orientation Week</x:v>
      </x:c>
      <x:c r="D52" s="16" t="n">
        <x:v>199000000</x:v>
      </x:c>
      <x:c r="E52" s="16" t="n">
        <x:f>SUMIFS('03_De_nghi_thanh_toan'!$I:$I,'03_De_nghi_thanh_toan'!$D:$D,C52,'03_De_nghi_thanh_toan'!$B:$B,"&gt;="&amp;A52,'03_De_nghi_thanh_toan'!$B:$B,"&lt;="&amp;EOMONTH(A52,0))</x:f>
        <x:v>377070600</x:v>
      </x:c>
      <x:c r="F52" s="16" t="n">
        <x:f>SUMIFS('03_De_nghi_thanh_toan'!$I:$I,'03_De_nghi_thanh_toan'!$D:$D,C52,'03_De_nghi_thanh_toan'!$B:$B,"&gt;="&amp;A52,'03_De_nghi_thanh_toan'!$B:$B,"&lt;="&amp;EOMONTH(A52,0),'03_De_nghi_thanh_toan'!$K:$K,"Đã thanh toán")</x:f>
        <x:v>67599400</x:v>
      </x:c>
      <x:c r="G52" s="16" t="n">
        <x:f>D52-F52</x:f>
        <x:v>131400600</x:v>
      </x:c>
      <x:c r="H52" s="20" t="n">
        <x:f>IFERROR(F52/D52,0)</x:f>
        <x:v>0.3396954773869347</x:v>
      </x:c>
      <x:c r="I52" s="12" t="str">
        <x:f>IF(H52&gt;1,"Vượt kế hoạch",IF(H52&gt;0.85,"Cần theo dõi","Trong kế hoạch"))</x:f>
        <x:v>Trong kế hoạch</x:v>
      </x:c>
      <x:c r="J52" s="12" t="str"/>
    </x:row>
    <x:row r="53">
      <x:c r="A53" s="18" t="n">
        <x:v>46174</x:v>
      </x:c>
      <x:c r="B53" s="12" t="str">
        <x:v>Q2</x:v>
      </x:c>
      <x:c r="C53" s="12" t="str">
        <x:v>Student Clubs</x:v>
      </x:c>
      <x:c r="D53" s="16" t="n">
        <x:v>190000000</x:v>
      </x:c>
      <x:c r="E53" s="16" t="n">
        <x:f>SUMIFS('03_De_nghi_thanh_toan'!$I:$I,'03_De_nghi_thanh_toan'!$D:$D,C53,'03_De_nghi_thanh_toan'!$B:$B,"&gt;="&amp;A53,'03_De_nghi_thanh_toan'!$B:$B,"&lt;="&amp;EOMONTH(A53,0))</x:f>
        <x:v>283259900</x:v>
      </x:c>
      <x:c r="F53" s="16" t="n">
        <x:f>SUMIFS('03_De_nghi_thanh_toan'!$I:$I,'03_De_nghi_thanh_toan'!$D:$D,C53,'03_De_nghi_thanh_toan'!$B:$B,"&gt;="&amp;A53,'03_De_nghi_thanh_toan'!$B:$B,"&lt;="&amp;EOMONTH(A53,0),'03_De_nghi_thanh_toan'!$K:$K,"Đã thanh toán")</x:f>
        <x:v>0</x:v>
      </x:c>
      <x:c r="G53" s="16" t="n">
        <x:f>D53-F53</x:f>
        <x:v>190000000</x:v>
      </x:c>
      <x:c r="H53" s="20" t="n">
        <x:f>IFERROR(F53/D53,0)</x:f>
        <x:v>0</x:v>
      </x:c>
      <x:c r="I53" s="12" t="str">
        <x:f>IF(H53&gt;1,"Vượt kế hoạch",IF(H53&gt;0.85,"Cần theo dõi","Trong kế hoạch"))</x:f>
        <x:v>Trong kế hoạch</x:v>
      </x:c>
      <x:c r="J53" s="12" t="str"/>
    </x:row>
    <x:row r="54">
      <x:c r="A54" s="18" t="n">
        <x:v>46174</x:v>
      </x:c>
      <x:c r="B54" s="12" t="str">
        <x:v>Q2</x:v>
      </x:c>
      <x:c r="C54" s="12" t="str">
        <x:v>Scholarship Program</x:v>
      </x:c>
      <x:c r="D54" s="16" t="n">
        <x:v>173000000</x:v>
      </x:c>
      <x:c r="E54" s="16" t="n">
        <x:f>SUMIFS('03_De_nghi_thanh_toan'!$I:$I,'03_De_nghi_thanh_toan'!$D:$D,C54,'03_De_nghi_thanh_toan'!$B:$B,"&gt;="&amp;A54,'03_De_nghi_thanh_toan'!$B:$B,"&lt;="&amp;EOMONTH(A54,0))</x:f>
        <x:v>0</x:v>
      </x:c>
      <x:c r="F54" s="16" t="n">
        <x:f>SUMIFS('03_De_nghi_thanh_toan'!$I:$I,'03_De_nghi_thanh_toan'!$D:$D,C54,'03_De_nghi_thanh_toan'!$B:$B,"&gt;="&amp;A54,'03_De_nghi_thanh_toan'!$B:$B,"&lt;="&amp;EOMONTH(A54,0),'03_De_nghi_thanh_toan'!$K:$K,"Đã thanh toán")</x:f>
        <x:v>0</x:v>
      </x:c>
      <x:c r="G54" s="16" t="n">
        <x:f>D54-F54</x:f>
        <x:v>173000000</x:v>
      </x:c>
      <x:c r="H54" s="20" t="n">
        <x:f>IFERROR(F54/D54,0)</x:f>
        <x:v>0</x:v>
      </x:c>
      <x:c r="I54" s="12" t="str">
        <x:f>IF(H54&gt;1,"Vượt kế hoạch",IF(H54&gt;0.85,"Cần theo dõi","Trong kế hoạch"))</x:f>
        <x:v>Trong kế hoạch</x:v>
      </x:c>
      <x:c r="J54" s="12" t="str"/>
    </x:row>
    <x:row r="55">
      <x:c r="A55" s="18" t="n">
        <x:v>46174</x:v>
      </x:c>
      <x:c r="B55" s="12" t="str">
        <x:v>Q2</x:v>
      </x:c>
      <x:c r="C55" s="12" t="str">
        <x:v>Career Fair</x:v>
      </x:c>
      <x:c r="D55" s="16" t="n">
        <x:v>147000000</x:v>
      </x:c>
      <x:c r="E55" s="16" t="n">
        <x:f>SUMIFS('03_De_nghi_thanh_toan'!$I:$I,'03_De_nghi_thanh_toan'!$D:$D,C55,'03_De_nghi_thanh_toan'!$B:$B,"&gt;="&amp;A55,'03_De_nghi_thanh_toan'!$B:$B,"&lt;="&amp;EOMONTH(A55,0))</x:f>
        <x:v>198544500</x:v>
      </x:c>
      <x:c r="F55" s="16" t="n">
        <x:f>SUMIFS('03_De_nghi_thanh_toan'!$I:$I,'03_De_nghi_thanh_toan'!$D:$D,C55,'03_De_nghi_thanh_toan'!$B:$B,"&gt;="&amp;A55,'03_De_nghi_thanh_toan'!$B:$B,"&lt;="&amp;EOMONTH(A55,0),'03_De_nghi_thanh_toan'!$K:$K,"Đã thanh toán")</x:f>
        <x:v>198544500</x:v>
      </x:c>
      <x:c r="G55" s="16" t="n">
        <x:f>D55-F55</x:f>
        <x:v>-51544500</x:v>
      </x:c>
      <x:c r="H55" s="20" t="n">
        <x:f>IFERROR(F55/D55,0)</x:f>
        <x:v>1.350642857142857</x:v>
      </x:c>
      <x:c r="I55" s="12" t="str">
        <x:f>IF(H55&gt;1,"Vượt kế hoạch",IF(H55&gt;0.85,"Cần theo dõi","Trong kế hoạch"))</x:f>
        <x:v>Vượt kế hoạch</x:v>
      </x:c>
      <x:c r="J55" s="12" t="str"/>
    </x:row>
    <x:row r="56">
      <x:c r="A56" s="18" t="n">
        <x:v>46174</x:v>
      </x:c>
      <x:c r="B56" s="12" t="str">
        <x:v>Q2</x:v>
      </x:c>
      <x:c r="C56" s="12" t="str">
        <x:v>Mental Health Program</x:v>
      </x:c>
      <x:c r="D56" s="16" t="n">
        <x:v>68000000</x:v>
      </x:c>
      <x:c r="E56" s="16" t="n">
        <x:f>SUMIFS('03_De_nghi_thanh_toan'!$I:$I,'03_De_nghi_thanh_toan'!$D:$D,C56,'03_De_nghi_thanh_toan'!$B:$B,"&gt;="&amp;A56,'03_De_nghi_thanh_toan'!$B:$B,"&lt;="&amp;EOMONTH(A56,0))</x:f>
        <x:v>91952000</x:v>
      </x:c>
      <x:c r="F56" s="16" t="n">
        <x:f>SUMIFS('03_De_nghi_thanh_toan'!$I:$I,'03_De_nghi_thanh_toan'!$D:$D,C56,'03_De_nghi_thanh_toan'!$B:$B,"&gt;="&amp;A56,'03_De_nghi_thanh_toan'!$B:$B,"&lt;="&amp;EOMONTH(A56,0),'03_De_nghi_thanh_toan'!$K:$K,"Đã thanh toán")</x:f>
        <x:v>34818000</x:v>
      </x:c>
      <x:c r="G56" s="16" t="n">
        <x:f>D56-F56</x:f>
        <x:v>33182000</x:v>
      </x:c>
      <x:c r="H56" s="20" t="n">
        <x:f>IFERROR(F56/D56,0)</x:f>
        <x:v>0.5120294117647058</x:v>
      </x:c>
      <x:c r="I56" s="12" t="str">
        <x:f>IF(H56&gt;1,"Vượt kế hoạch",IF(H56&gt;0.85,"Cần theo dõi","Trong kế hoạch"))</x:f>
        <x:v>Trong kế hoạch</x:v>
      </x:c>
      <x:c r="J56" s="12" t="str"/>
    </x:row>
    <x:row r="57">
      <x:c r="A57" s="18" t="n">
        <x:v>46174</x:v>
      </x:c>
      <x:c r="B57" s="12" t="str">
        <x:v>Q2</x:v>
      </x:c>
      <x:c r="C57" s="12" t="str">
        <x:v>Student Leadership</x:v>
      </x:c>
      <x:c r="D57" s="16" t="n">
        <x:v>146000000</x:v>
      </x:c>
      <x:c r="E57" s="16" t="n">
        <x:f>SUMIFS('03_De_nghi_thanh_toan'!$I:$I,'03_De_nghi_thanh_toan'!$D:$D,C57,'03_De_nghi_thanh_toan'!$B:$B,"&gt;="&amp;A57,'03_De_nghi_thanh_toan'!$B:$B,"&lt;="&amp;EOMONTH(A57,0))</x:f>
        <x:v>13174700</x:v>
      </x:c>
      <x:c r="F57" s="16" t="n">
        <x:f>SUMIFS('03_De_nghi_thanh_toan'!$I:$I,'03_De_nghi_thanh_toan'!$D:$D,C57,'03_De_nghi_thanh_toan'!$B:$B,"&gt;="&amp;A57,'03_De_nghi_thanh_toan'!$B:$B,"&lt;="&amp;EOMONTH(A57,0),'03_De_nghi_thanh_toan'!$K:$K,"Đã thanh toán")</x:f>
        <x:v>13174700</x:v>
      </x:c>
      <x:c r="G57" s="16" t="n">
        <x:f>D57-F57</x:f>
        <x:v>132825300</x:v>
      </x:c>
      <x:c r="H57" s="20" t="n">
        <x:f>IFERROR(F57/D57,0)</x:f>
        <x:v>0.09023767123287671</x:v>
      </x:c>
      <x:c r="I57" s="12" t="str">
        <x:f>IF(H57&gt;1,"Vượt kế hoạch",IF(H57&gt;0.85,"Cần theo dõi","Trong kế hoạch"))</x:f>
        <x:v>Trong kế hoạch</x:v>
      </x:c>
      <x:c r="J57" s="12" t="str"/>
    </x:row>
    <x:row r="58">
      <x:c r="A58" s="18" t="n">
        <x:v>46174</x:v>
      </x:c>
      <x:c r="B58" s="12" t="str">
        <x:v>Q2</x:v>
      </x:c>
      <x:c r="C58" s="12" t="str">
        <x:v>Community Service</x:v>
      </x:c>
      <x:c r="D58" s="16" t="n">
        <x:v>78000000</x:v>
      </x:c>
      <x:c r="E58" s="16" t="n">
        <x:f>SUMIFS('03_De_nghi_thanh_toan'!$I:$I,'03_De_nghi_thanh_toan'!$D:$D,C58,'03_De_nghi_thanh_toan'!$B:$B,"&gt;="&amp;A58,'03_De_nghi_thanh_toan'!$B:$B,"&lt;="&amp;EOMONTH(A58,0))</x:f>
        <x:v>26499000</x:v>
      </x:c>
      <x:c r="F58" s="16" t="n">
        <x:f>SUMIFS('03_De_nghi_thanh_toan'!$I:$I,'03_De_nghi_thanh_toan'!$D:$D,C58,'03_De_nghi_thanh_toan'!$B:$B,"&gt;="&amp;A58,'03_De_nghi_thanh_toan'!$B:$B,"&lt;="&amp;EOMONTH(A58,0),'03_De_nghi_thanh_toan'!$K:$K,"Đã thanh toán")</x:f>
        <x:v>0</x:v>
      </x:c>
      <x:c r="G58" s="16" t="n">
        <x:f>D58-F58</x:f>
        <x:v>78000000</x:v>
      </x:c>
      <x:c r="H58" s="20" t="n">
        <x:f>IFERROR(F58/D58,0)</x:f>
        <x:v>0</x:v>
      </x:c>
      <x:c r="I58" s="12" t="str">
        <x:f>IF(H58&gt;1,"Vượt kế hoạch",IF(H58&gt;0.85,"Cần theo dõi","Trong kế hoạch"))</x:f>
        <x:v>Trong kế hoạch</x:v>
      </x:c>
      <x:c r="J58" s="12" t="str"/>
    </x:row>
    <x:row r="59">
      <x:c r="A59" s="18" t="n">
        <x:v>46174</x:v>
      </x:c>
      <x:c r="B59" s="12" t="str">
        <x:v>Q2</x:v>
      </x:c>
      <x:c r="C59" s="12" t="str">
        <x:v>Graduation Ceremony</x:v>
      </x:c>
      <x:c r="D59" s="16" t="n">
        <x:v>77000000</x:v>
      </x:c>
      <x:c r="E59" s="16" t="n">
        <x:f>SUMIFS('03_De_nghi_thanh_toan'!$I:$I,'03_De_nghi_thanh_toan'!$D:$D,C59,'03_De_nghi_thanh_toan'!$B:$B,"&gt;="&amp;A59,'03_De_nghi_thanh_toan'!$B:$B,"&lt;="&amp;EOMONTH(A59,0))</x:f>
        <x:v>44396000</x:v>
      </x:c>
      <x:c r="F59" s="16" t="n">
        <x:f>SUMIFS('03_De_nghi_thanh_toan'!$I:$I,'03_De_nghi_thanh_toan'!$D:$D,C59,'03_De_nghi_thanh_toan'!$B:$B,"&gt;="&amp;A59,'03_De_nghi_thanh_toan'!$B:$B,"&lt;="&amp;EOMONTH(A59,0),'03_De_nghi_thanh_toan'!$K:$K,"Đã thanh toán")</x:f>
        <x:v>0</x:v>
      </x:c>
      <x:c r="G59" s="16" t="n">
        <x:f>D59-F59</x:f>
        <x:v>77000000</x:v>
      </x:c>
      <x:c r="H59" s="20" t="n">
        <x:f>IFERROR(F59/D59,0)</x:f>
        <x:v>0</x:v>
      </x:c>
      <x:c r="I59" s="12" t="str">
        <x:f>IF(H59&gt;1,"Vượt kế hoạch",IF(H59&gt;0.85,"Cần theo dõi","Trong kế hoạch"))</x:f>
        <x:v>Trong kế hoạch</x:v>
      </x:c>
      <x:c r="J59" s="12" t="str"/>
    </x:row>
    <x:row r="60">
      <x:c r="A60" s="18" t="n">
        <x:v>46174</x:v>
      </x:c>
      <x:c r="B60" s="12" t="str">
        <x:v>Q2</x:v>
      </x:c>
      <x:c r="C60" s="12" t="str">
        <x:v>International Exchange</x:v>
      </x:c>
      <x:c r="D60" s="16" t="n">
        <x:v>185000000</x:v>
      </x:c>
      <x:c r="E60" s="16" t="n">
        <x:f>SUMIFS('03_De_nghi_thanh_toan'!$I:$I,'03_De_nghi_thanh_toan'!$D:$D,C60,'03_De_nghi_thanh_toan'!$B:$B,"&gt;="&amp;A60,'03_De_nghi_thanh_toan'!$B:$B,"&lt;="&amp;EOMONTH(A60,0))</x:f>
        <x:v>182901400</x:v>
      </x:c>
      <x:c r="F60" s="16" t="n">
        <x:f>SUMIFS('03_De_nghi_thanh_toan'!$I:$I,'03_De_nghi_thanh_toan'!$D:$D,C60,'03_De_nghi_thanh_toan'!$B:$B,"&gt;="&amp;A60,'03_De_nghi_thanh_toan'!$B:$B,"&lt;="&amp;EOMONTH(A60,0),'03_De_nghi_thanh_toan'!$K:$K,"Đã thanh toán")</x:f>
        <x:v>0</x:v>
      </x:c>
      <x:c r="G60" s="16" t="n">
        <x:f>D60-F60</x:f>
        <x:v>185000000</x:v>
      </x:c>
      <x:c r="H60" s="20" t="n">
        <x:f>IFERROR(F60/D60,0)</x:f>
        <x:v>0</x:v>
      </x:c>
      <x:c r="I60" s="12" t="str">
        <x:f>IF(H60&gt;1,"Vượt kế hoạch",IF(H60&gt;0.85,"Cần theo dõi","Trong kế hoạch"))</x:f>
        <x:v>Trong kế hoạch</x:v>
      </x:c>
      <x:c r="J60" s="12" t="str"/>
    </x:row>
    <x:row r="61">
      <x:c r="A61" s="18" t="n">
        <x:v>46174</x:v>
      </x:c>
      <x:c r="B61" s="12" t="str">
        <x:v>Q2</x:v>
      </x:c>
      <x:c r="C61" s="12" t="str">
        <x:v>Student Wellbeing</x:v>
      </x:c>
      <x:c r="D61" s="16" t="n">
        <x:v>190000000</x:v>
      </x:c>
      <x:c r="E61" s="16" t="n">
        <x:f>SUMIFS('03_De_nghi_thanh_toan'!$I:$I,'03_De_nghi_thanh_toan'!$D:$D,C61,'03_De_nghi_thanh_toan'!$B:$B,"&gt;="&amp;A61,'03_De_nghi_thanh_toan'!$B:$B,"&lt;="&amp;EOMONTH(A61,0))</x:f>
        <x:v>106854000</x:v>
      </x:c>
      <x:c r="F61" s="16" t="n">
        <x:f>SUMIFS('03_De_nghi_thanh_toan'!$I:$I,'03_De_nghi_thanh_toan'!$D:$D,C61,'03_De_nghi_thanh_toan'!$B:$B,"&gt;="&amp;A61,'03_De_nghi_thanh_toan'!$B:$B,"&lt;="&amp;EOMONTH(A61,0),'03_De_nghi_thanh_toan'!$K:$K,"Đã thanh toán")</x:f>
        <x:v>0</x:v>
      </x:c>
      <x:c r="G61" s="16" t="n">
        <x:f>D61-F61</x:f>
        <x:v>190000000</x:v>
      </x:c>
      <x:c r="H61" s="20" t="n">
        <x:f>IFERROR(F61/D61,0)</x:f>
        <x:v>0</x:v>
      </x:c>
      <x:c r="I61" s="12" t="str">
        <x:f>IF(H61&gt;1,"Vượt kế hoạch",IF(H61&gt;0.85,"Cần theo dõi","Trong kế hoạch"))</x:f>
        <x:v>Trong kế hoạch</x:v>
      </x:c>
      <x:c r="J61" s="12" t="str"/>
    </x:row>
    <x:row r="62">
      <x:c r="A62" s="18" t="n">
        <x:v>46204</x:v>
      </x:c>
      <x:c r="B62" s="12" t="str">
        <x:v>Q3</x:v>
      </x:c>
      <x:c r="C62" s="12" t="str">
        <x:v>Orientation Week</x:v>
      </x:c>
      <x:c r="D62" s="16" t="n">
        <x:v>189000000</x:v>
      </x:c>
      <x:c r="E62" s="16" t="n">
        <x:f>SUMIFS('03_De_nghi_thanh_toan'!$I:$I,'03_De_nghi_thanh_toan'!$D:$D,C62,'03_De_nghi_thanh_toan'!$B:$B,"&gt;="&amp;A62,'03_De_nghi_thanh_toan'!$B:$B,"&lt;="&amp;EOMONTH(A62,0))</x:f>
        <x:v>0</x:v>
      </x:c>
      <x:c r="F62" s="16" t="n">
        <x:f>SUMIFS('03_De_nghi_thanh_toan'!$I:$I,'03_De_nghi_thanh_toan'!$D:$D,C62,'03_De_nghi_thanh_toan'!$B:$B,"&gt;="&amp;A62,'03_De_nghi_thanh_toan'!$B:$B,"&lt;="&amp;EOMONTH(A62,0),'03_De_nghi_thanh_toan'!$K:$K,"Đã thanh toán")</x:f>
        <x:v>0</x:v>
      </x:c>
      <x:c r="G62" s="16" t="n">
        <x:f>D62-F62</x:f>
        <x:v>189000000</x:v>
      </x:c>
      <x:c r="H62" s="20" t="n">
        <x:f>IFERROR(F62/D62,0)</x:f>
        <x:v>0</x:v>
      </x:c>
      <x:c r="I62" s="12" t="str">
        <x:f>IF(H62&gt;1,"Vượt kế hoạch",IF(H62&gt;0.85,"Cần theo dõi","Trong kế hoạch"))</x:f>
        <x:v>Trong kế hoạch</x:v>
      </x:c>
      <x:c r="J62" s="12" t="str"/>
    </x:row>
    <x:row r="63">
      <x:c r="A63" s="18" t="n">
        <x:v>46204</x:v>
      </x:c>
      <x:c r="B63" s="12" t="str">
        <x:v>Q3</x:v>
      </x:c>
      <x:c r="C63" s="12" t="str">
        <x:v>Student Clubs</x:v>
      </x:c>
      <x:c r="D63" s="16" t="n">
        <x:v>65000000</x:v>
      </x:c>
      <x:c r="E63" s="16" t="n">
        <x:f>SUMIFS('03_De_nghi_thanh_toan'!$I:$I,'03_De_nghi_thanh_toan'!$D:$D,C63,'03_De_nghi_thanh_toan'!$B:$B,"&gt;="&amp;A63,'03_De_nghi_thanh_toan'!$B:$B,"&lt;="&amp;EOMONTH(A63,0))</x:f>
        <x:v>64561200</x:v>
      </x:c>
      <x:c r="F63" s="16" t="n">
        <x:f>SUMIFS('03_De_nghi_thanh_toan'!$I:$I,'03_De_nghi_thanh_toan'!$D:$D,C63,'03_De_nghi_thanh_toan'!$B:$B,"&gt;="&amp;A63,'03_De_nghi_thanh_toan'!$B:$B,"&lt;="&amp;EOMONTH(A63,0),'03_De_nghi_thanh_toan'!$K:$K,"Đã thanh toán")</x:f>
        <x:v>0</x:v>
      </x:c>
      <x:c r="G63" s="16" t="n">
        <x:f>D63-F63</x:f>
        <x:v>65000000</x:v>
      </x:c>
      <x:c r="H63" s="20" t="n">
        <x:f>IFERROR(F63/D63,0)</x:f>
        <x:v>0</x:v>
      </x:c>
      <x:c r="I63" s="12" t="str">
        <x:f>IF(H63&gt;1,"Vượt kế hoạch",IF(H63&gt;0.85,"Cần theo dõi","Trong kế hoạch"))</x:f>
        <x:v>Trong kế hoạch</x:v>
      </x:c>
      <x:c r="J63" s="12" t="str"/>
    </x:row>
    <x:row r="64">
      <x:c r="A64" s="18" t="n">
        <x:v>46204</x:v>
      </x:c>
      <x:c r="B64" s="12" t="str">
        <x:v>Q3</x:v>
      </x:c>
      <x:c r="C64" s="12" t="str">
        <x:v>Scholarship Program</x:v>
      </x:c>
      <x:c r="D64" s="16" t="n">
        <x:v>67000000</x:v>
      </x:c>
      <x:c r="E64" s="16" t="n">
        <x:f>SUMIFS('03_De_nghi_thanh_toan'!$I:$I,'03_De_nghi_thanh_toan'!$D:$D,C64,'03_De_nghi_thanh_toan'!$B:$B,"&gt;="&amp;A64,'03_De_nghi_thanh_toan'!$B:$B,"&lt;="&amp;EOMONTH(A64,0))</x:f>
        <x:v>0</x:v>
      </x:c>
      <x:c r="F64" s="16" t="n">
        <x:f>SUMIFS('03_De_nghi_thanh_toan'!$I:$I,'03_De_nghi_thanh_toan'!$D:$D,C64,'03_De_nghi_thanh_toan'!$B:$B,"&gt;="&amp;A64,'03_De_nghi_thanh_toan'!$B:$B,"&lt;="&amp;EOMONTH(A64,0),'03_De_nghi_thanh_toan'!$K:$K,"Đã thanh toán")</x:f>
        <x:v>0</x:v>
      </x:c>
      <x:c r="G64" s="16" t="n">
        <x:f>D64-F64</x:f>
        <x:v>67000000</x:v>
      </x:c>
      <x:c r="H64" s="20" t="n">
        <x:f>IFERROR(F64/D64,0)</x:f>
        <x:v>0</x:v>
      </x:c>
      <x:c r="I64" s="12" t="str">
        <x:f>IF(H64&gt;1,"Vượt kế hoạch",IF(H64&gt;0.85,"Cần theo dõi","Trong kế hoạch"))</x:f>
        <x:v>Trong kế hoạch</x:v>
      </x:c>
      <x:c r="J64" s="12" t="str"/>
    </x:row>
    <x:row r="65">
      <x:c r="A65" s="18" t="n">
        <x:v>46204</x:v>
      </x:c>
      <x:c r="B65" s="12" t="str">
        <x:v>Q3</x:v>
      </x:c>
      <x:c r="C65" s="12" t="str">
        <x:v>Career Fair</x:v>
      </x:c>
      <x:c r="D65" s="16" t="n">
        <x:v>184000000</x:v>
      </x:c>
      <x:c r="E65" s="16" t="n">
        <x:f>SUMIFS('03_De_nghi_thanh_toan'!$I:$I,'03_De_nghi_thanh_toan'!$D:$D,C65,'03_De_nghi_thanh_toan'!$B:$B,"&gt;="&amp;A65,'03_De_nghi_thanh_toan'!$B:$B,"&lt;="&amp;EOMONTH(A65,0))</x:f>
        <x:v>207902200</x:v>
      </x:c>
      <x:c r="F65" s="16" t="n">
        <x:f>SUMIFS('03_De_nghi_thanh_toan'!$I:$I,'03_De_nghi_thanh_toan'!$D:$D,C65,'03_De_nghi_thanh_toan'!$B:$B,"&gt;="&amp;A65,'03_De_nghi_thanh_toan'!$B:$B,"&lt;="&amp;EOMONTH(A65,0),'03_De_nghi_thanh_toan'!$K:$K,"Đã thanh toán")</x:f>
        <x:v>0</x:v>
      </x:c>
      <x:c r="G65" s="16" t="n">
        <x:f>D65-F65</x:f>
        <x:v>184000000</x:v>
      </x:c>
      <x:c r="H65" s="20" t="n">
        <x:f>IFERROR(F65/D65,0)</x:f>
        <x:v>0</x:v>
      </x:c>
      <x:c r="I65" s="12" t="str">
        <x:f>IF(H65&gt;1,"Vượt kế hoạch",IF(H65&gt;0.85,"Cần theo dõi","Trong kế hoạch"))</x:f>
        <x:v>Trong kế hoạch</x:v>
      </x:c>
      <x:c r="J65" s="12" t="str"/>
    </x:row>
    <x:row r="66">
      <x:c r="A66" s="18" t="n">
        <x:v>46204</x:v>
      </x:c>
      <x:c r="B66" s="12" t="str">
        <x:v>Q3</x:v>
      </x:c>
      <x:c r="C66" s="12" t="str">
        <x:v>Mental Health Program</x:v>
      </x:c>
      <x:c r="D66" s="16" t="n">
        <x:v>65000000</x:v>
      </x:c>
      <x:c r="E66" s="16" t="n">
        <x:f>SUMIFS('03_De_nghi_thanh_toan'!$I:$I,'03_De_nghi_thanh_toan'!$D:$D,C66,'03_De_nghi_thanh_toan'!$B:$B,"&gt;="&amp;A66,'03_De_nghi_thanh_toan'!$B:$B,"&lt;="&amp;EOMONTH(A66,0))</x:f>
        <x:v>13018500</x:v>
      </x:c>
      <x:c r="F66" s="16" t="n">
        <x:f>SUMIFS('03_De_nghi_thanh_toan'!$I:$I,'03_De_nghi_thanh_toan'!$D:$D,C66,'03_De_nghi_thanh_toan'!$B:$B,"&gt;="&amp;A66,'03_De_nghi_thanh_toan'!$B:$B,"&lt;="&amp;EOMONTH(A66,0),'03_De_nghi_thanh_toan'!$K:$K,"Đã thanh toán")</x:f>
        <x:v>0</x:v>
      </x:c>
      <x:c r="G66" s="16" t="n">
        <x:f>D66-F66</x:f>
        <x:v>65000000</x:v>
      </x:c>
      <x:c r="H66" s="20" t="n">
        <x:f>IFERROR(F66/D66,0)</x:f>
        <x:v>0</x:v>
      </x:c>
      <x:c r="I66" s="12" t="str">
        <x:f>IF(H66&gt;1,"Vượt kế hoạch",IF(H66&gt;0.85,"Cần theo dõi","Trong kế hoạch"))</x:f>
        <x:v>Trong kế hoạch</x:v>
      </x:c>
      <x:c r="J66" s="12" t="str"/>
    </x:row>
    <x:row r="67">
      <x:c r="A67" s="18" t="n">
        <x:v>46204</x:v>
      </x:c>
      <x:c r="B67" s="12" t="str">
        <x:v>Q3</x:v>
      </x:c>
      <x:c r="C67" s="12" t="str">
        <x:v>Student Leadership</x:v>
      </x:c>
      <x:c r="D67" s="16" t="n">
        <x:v>113000000</x:v>
      </x:c>
      <x:c r="E67" s="16" t="n">
        <x:f>SUMIFS('03_De_nghi_thanh_toan'!$I:$I,'03_De_nghi_thanh_toan'!$D:$D,C67,'03_De_nghi_thanh_toan'!$B:$B,"&gt;="&amp;A67,'03_De_nghi_thanh_toan'!$B:$B,"&lt;="&amp;EOMONTH(A67,0))</x:f>
        <x:v>212490300</x:v>
      </x:c>
      <x:c r="F67" s="16" t="n">
        <x:f>SUMIFS('03_De_nghi_thanh_toan'!$I:$I,'03_De_nghi_thanh_toan'!$D:$D,C67,'03_De_nghi_thanh_toan'!$B:$B,"&gt;="&amp;A67,'03_De_nghi_thanh_toan'!$B:$B,"&lt;="&amp;EOMONTH(A67,0),'03_De_nghi_thanh_toan'!$K:$K,"Đã thanh toán")</x:f>
        <x:v>68500300</x:v>
      </x:c>
      <x:c r="G67" s="16" t="n">
        <x:f>D67-F67</x:f>
        <x:v>44499700</x:v>
      </x:c>
      <x:c r="H67" s="20" t="n">
        <x:f>IFERROR(F67/D67,0)</x:f>
        <x:v>0.6061973451327434</x:v>
      </x:c>
      <x:c r="I67" s="12" t="str">
        <x:f>IF(H67&gt;1,"Vượt kế hoạch",IF(H67&gt;0.85,"Cần theo dõi","Trong kế hoạch"))</x:f>
        <x:v>Trong kế hoạch</x:v>
      </x:c>
      <x:c r="J67" s="12" t="str"/>
    </x:row>
    <x:row r="68">
      <x:c r="A68" s="18" t="n">
        <x:v>46204</x:v>
      </x:c>
      <x:c r="B68" s="12" t="str">
        <x:v>Q3</x:v>
      </x:c>
      <x:c r="C68" s="12" t="str">
        <x:v>Community Service</x:v>
      </x:c>
      <x:c r="D68" s="16" t="n">
        <x:v>177000000</x:v>
      </x:c>
      <x:c r="E68" s="16" t="n">
        <x:f>SUMIFS('03_De_nghi_thanh_toan'!$I:$I,'03_De_nghi_thanh_toan'!$D:$D,C68,'03_De_nghi_thanh_toan'!$B:$B,"&gt;="&amp;A68,'03_De_nghi_thanh_toan'!$B:$B,"&lt;="&amp;EOMONTH(A68,0))</x:f>
        <x:v>129233500</x:v>
      </x:c>
      <x:c r="F68" s="16" t="n">
        <x:f>SUMIFS('03_De_nghi_thanh_toan'!$I:$I,'03_De_nghi_thanh_toan'!$D:$D,C68,'03_De_nghi_thanh_toan'!$B:$B,"&gt;="&amp;A68,'03_De_nghi_thanh_toan'!$B:$B,"&lt;="&amp;EOMONTH(A68,0),'03_De_nghi_thanh_toan'!$K:$K,"Đã thanh toán")</x:f>
        <x:v>129233500</x:v>
      </x:c>
      <x:c r="G68" s="16" t="n">
        <x:f>D68-F68</x:f>
        <x:v>47766500</x:v>
      </x:c>
      <x:c r="H68" s="20" t="n">
        <x:f>IFERROR(F68/D68,0)</x:f>
        <x:v>0.7301327683615819</x:v>
      </x:c>
      <x:c r="I68" s="12" t="str">
        <x:f>IF(H68&gt;1,"Vượt kế hoạch",IF(H68&gt;0.85,"Cần theo dõi","Trong kế hoạch"))</x:f>
        <x:v>Trong kế hoạch</x:v>
      </x:c>
      <x:c r="J68" s="12" t="str"/>
    </x:row>
    <x:row r="69">
      <x:c r="A69" s="18" t="n">
        <x:v>46204</x:v>
      </x:c>
      <x:c r="B69" s="12" t="str">
        <x:v>Q3</x:v>
      </x:c>
      <x:c r="C69" s="12" t="str">
        <x:v>Graduation Ceremony</x:v>
      </x:c>
      <x:c r="D69" s="16" t="n">
        <x:v>128000000</x:v>
      </x:c>
      <x:c r="E69" s="16" t="n">
        <x:f>SUMIFS('03_De_nghi_thanh_toan'!$I:$I,'03_De_nghi_thanh_toan'!$D:$D,C69,'03_De_nghi_thanh_toan'!$B:$B,"&gt;="&amp;A69,'03_De_nghi_thanh_toan'!$B:$B,"&lt;="&amp;EOMONTH(A69,0))</x:f>
        <x:v>0</x:v>
      </x:c>
      <x:c r="F69" s="16" t="n">
        <x:f>SUMIFS('03_De_nghi_thanh_toan'!$I:$I,'03_De_nghi_thanh_toan'!$D:$D,C69,'03_De_nghi_thanh_toan'!$B:$B,"&gt;="&amp;A69,'03_De_nghi_thanh_toan'!$B:$B,"&lt;="&amp;EOMONTH(A69,0),'03_De_nghi_thanh_toan'!$K:$K,"Đã thanh toán")</x:f>
        <x:v>0</x:v>
      </x:c>
      <x:c r="G69" s="16" t="n">
        <x:f>D69-F69</x:f>
        <x:v>128000000</x:v>
      </x:c>
      <x:c r="H69" s="20" t="n">
        <x:f>IFERROR(F69/D69,0)</x:f>
        <x:v>0</x:v>
      </x:c>
      <x:c r="I69" s="12" t="str">
        <x:f>IF(H69&gt;1,"Vượt kế hoạch",IF(H69&gt;0.85,"Cần theo dõi","Trong kế hoạch"))</x:f>
        <x:v>Trong kế hoạch</x:v>
      </x:c>
      <x:c r="J69" s="12" t="str"/>
    </x:row>
    <x:row r="70">
      <x:c r="A70" s="18" t="n">
        <x:v>46204</x:v>
      </x:c>
      <x:c r="B70" s="12" t="str">
        <x:v>Q3</x:v>
      </x:c>
      <x:c r="C70" s="12" t="str">
        <x:v>International Exchange</x:v>
      </x:c>
      <x:c r="D70" s="16" t="n">
        <x:v>145000000</x:v>
      </x:c>
      <x:c r="E70" s="16" t="n">
        <x:f>SUMIFS('03_De_nghi_thanh_toan'!$I:$I,'03_De_nghi_thanh_toan'!$D:$D,C70,'03_De_nghi_thanh_toan'!$B:$B,"&gt;="&amp;A70,'03_De_nghi_thanh_toan'!$B:$B,"&lt;="&amp;EOMONTH(A70,0))</x:f>
        <x:v>0</x:v>
      </x:c>
      <x:c r="F70" s="16" t="n">
        <x:f>SUMIFS('03_De_nghi_thanh_toan'!$I:$I,'03_De_nghi_thanh_toan'!$D:$D,C70,'03_De_nghi_thanh_toan'!$B:$B,"&gt;="&amp;A70,'03_De_nghi_thanh_toan'!$B:$B,"&lt;="&amp;EOMONTH(A70,0),'03_De_nghi_thanh_toan'!$K:$K,"Đã thanh toán")</x:f>
        <x:v>0</x:v>
      </x:c>
      <x:c r="G70" s="16" t="n">
        <x:f>D70-F70</x:f>
        <x:v>145000000</x:v>
      </x:c>
      <x:c r="H70" s="20" t="n">
        <x:f>IFERROR(F70/D70,0)</x:f>
        <x:v>0</x:v>
      </x:c>
      <x:c r="I70" s="12" t="str">
        <x:f>IF(H70&gt;1,"Vượt kế hoạch",IF(H70&gt;0.85,"Cần theo dõi","Trong kế hoạch"))</x:f>
        <x:v>Trong kế hoạch</x:v>
      </x:c>
      <x:c r="J70" s="12" t="str"/>
    </x:row>
    <x:row r="71">
      <x:c r="A71" s="18" t="n">
        <x:v>46204</x:v>
      </x:c>
      <x:c r="B71" s="12" t="str">
        <x:v>Q3</x:v>
      </x:c>
      <x:c r="C71" s="12" t="str">
        <x:v>Student Wellbeing</x:v>
      </x:c>
      <x:c r="D71" s="16" t="n">
        <x:v>107000000</x:v>
      </x:c>
      <x:c r="E71" s="16" t="n">
        <x:f>SUMIFS('03_De_nghi_thanh_toan'!$I:$I,'03_De_nghi_thanh_toan'!$D:$D,C71,'03_De_nghi_thanh_toan'!$B:$B,"&gt;="&amp;A71,'03_De_nghi_thanh_toan'!$B:$B,"&lt;="&amp;EOMONTH(A71,0))</x:f>
        <x:v>64251000</x:v>
      </x:c>
      <x:c r="F71" s="16" t="n">
        <x:f>SUMIFS('03_De_nghi_thanh_toan'!$I:$I,'03_De_nghi_thanh_toan'!$D:$D,C71,'03_De_nghi_thanh_toan'!$B:$B,"&gt;="&amp;A71,'03_De_nghi_thanh_toan'!$B:$B,"&lt;="&amp;EOMONTH(A71,0),'03_De_nghi_thanh_toan'!$K:$K,"Đã thanh toán")</x:f>
        <x:v>0</x:v>
      </x:c>
      <x:c r="G71" s="16" t="n">
        <x:f>D71-F71</x:f>
        <x:v>107000000</x:v>
      </x:c>
      <x:c r="H71" s="20" t="n">
        <x:f>IFERROR(F71/D71,0)</x:f>
        <x:v>0</x:v>
      </x:c>
      <x:c r="I71" s="12" t="str">
        <x:f>IF(H71&gt;1,"Vượt kế hoạch",IF(H71&gt;0.85,"Cần theo dõi","Trong kế hoạch"))</x:f>
        <x:v>Trong kế hoạch</x:v>
      </x:c>
      <x:c r="J71" s="12" t="str"/>
    </x:row>
    <x:row r="72">
      <x:c r="A72" s="18" t="n">
        <x:v>46235</x:v>
      </x:c>
      <x:c r="B72" s="12" t="str">
        <x:v>Q3</x:v>
      </x:c>
      <x:c r="C72" s="12" t="str">
        <x:v>Orientation Week</x:v>
      </x:c>
      <x:c r="D72" s="16" t="n">
        <x:v>138000000</x:v>
      </x:c>
      <x:c r="E72" s="16" t="n">
        <x:f>SUMIFS('03_De_nghi_thanh_toan'!$I:$I,'03_De_nghi_thanh_toan'!$D:$D,C72,'03_De_nghi_thanh_toan'!$B:$B,"&gt;="&amp;A72,'03_De_nghi_thanh_toan'!$B:$B,"&lt;="&amp;EOMONTH(A72,0))</x:f>
        <x:v>0</x:v>
      </x:c>
      <x:c r="F72" s="16" t="n">
        <x:f>SUMIFS('03_De_nghi_thanh_toan'!$I:$I,'03_De_nghi_thanh_toan'!$D:$D,C72,'03_De_nghi_thanh_toan'!$B:$B,"&gt;="&amp;A72,'03_De_nghi_thanh_toan'!$B:$B,"&lt;="&amp;EOMONTH(A72,0),'03_De_nghi_thanh_toan'!$K:$K,"Đã thanh toán")</x:f>
        <x:v>0</x:v>
      </x:c>
      <x:c r="G72" s="16" t="n">
        <x:f>D72-F72</x:f>
        <x:v>138000000</x:v>
      </x:c>
      <x:c r="H72" s="20" t="n">
        <x:f>IFERROR(F72/D72,0)</x:f>
        <x:v>0</x:v>
      </x:c>
      <x:c r="I72" s="12" t="str">
        <x:f>IF(H72&gt;1,"Vượt kế hoạch",IF(H72&gt;0.85,"Cần theo dõi","Trong kế hoạch"))</x:f>
        <x:v>Trong kế hoạch</x:v>
      </x:c>
      <x:c r="J72" s="12" t="str"/>
    </x:row>
    <x:row r="73">
      <x:c r="A73" s="18" t="n">
        <x:v>46235</x:v>
      </x:c>
      <x:c r="B73" s="12" t="str">
        <x:v>Q3</x:v>
      </x:c>
      <x:c r="C73" s="12" t="str">
        <x:v>Student Clubs</x:v>
      </x:c>
      <x:c r="D73" s="16" t="n">
        <x:v>207000000</x:v>
      </x:c>
      <x:c r="E73" s="16" t="n">
        <x:f>SUMIFS('03_De_nghi_thanh_toan'!$I:$I,'03_De_nghi_thanh_toan'!$D:$D,C73,'03_De_nghi_thanh_toan'!$B:$B,"&gt;="&amp;A73,'03_De_nghi_thanh_toan'!$B:$B,"&lt;="&amp;EOMONTH(A73,0))</x:f>
        <x:v>45679700</x:v>
      </x:c>
      <x:c r="F73" s="16" t="n">
        <x:f>SUMIFS('03_De_nghi_thanh_toan'!$I:$I,'03_De_nghi_thanh_toan'!$D:$D,C73,'03_De_nghi_thanh_toan'!$B:$B,"&gt;="&amp;A73,'03_De_nghi_thanh_toan'!$B:$B,"&lt;="&amp;EOMONTH(A73,0),'03_De_nghi_thanh_toan'!$K:$K,"Đã thanh toán")</x:f>
        <x:v>34600500</x:v>
      </x:c>
      <x:c r="G73" s="16" t="n">
        <x:f>D73-F73</x:f>
        <x:v>172399500</x:v>
      </x:c>
      <x:c r="H73" s="20" t="n">
        <x:f>IFERROR(F73/D73,0)</x:f>
        <x:v>0.1671521739130435</x:v>
      </x:c>
      <x:c r="I73" s="12" t="str">
        <x:f>IF(H73&gt;1,"Vượt kế hoạch",IF(H73&gt;0.85,"Cần theo dõi","Trong kế hoạch"))</x:f>
        <x:v>Trong kế hoạch</x:v>
      </x:c>
      <x:c r="J73" s="12" t="str"/>
    </x:row>
    <x:row r="74">
      <x:c r="A74" s="18" t="n">
        <x:v>46235</x:v>
      </x:c>
      <x:c r="B74" s="12" t="str">
        <x:v>Q3</x:v>
      </x:c>
      <x:c r="C74" s="12" t="str">
        <x:v>Scholarship Program</x:v>
      </x:c>
      <x:c r="D74" s="16" t="n">
        <x:v>164000000</x:v>
      </x:c>
      <x:c r="E74" s="16" t="n">
        <x:f>SUMIFS('03_De_nghi_thanh_toan'!$I:$I,'03_De_nghi_thanh_toan'!$D:$D,C74,'03_De_nghi_thanh_toan'!$B:$B,"&gt;="&amp;A74,'03_De_nghi_thanh_toan'!$B:$B,"&lt;="&amp;EOMONTH(A74,0))</x:f>
        <x:v>0</x:v>
      </x:c>
      <x:c r="F74" s="16" t="n">
        <x:f>SUMIFS('03_De_nghi_thanh_toan'!$I:$I,'03_De_nghi_thanh_toan'!$D:$D,C74,'03_De_nghi_thanh_toan'!$B:$B,"&gt;="&amp;A74,'03_De_nghi_thanh_toan'!$B:$B,"&lt;="&amp;EOMONTH(A74,0),'03_De_nghi_thanh_toan'!$K:$K,"Đã thanh toán")</x:f>
        <x:v>0</x:v>
      </x:c>
      <x:c r="G74" s="16" t="n">
        <x:f>D74-F74</x:f>
        <x:v>164000000</x:v>
      </x:c>
      <x:c r="H74" s="20" t="n">
        <x:f>IFERROR(F74/D74,0)</x:f>
        <x:v>0</x:v>
      </x:c>
      <x:c r="I74" s="12" t="str">
        <x:f>IF(H74&gt;1,"Vượt kế hoạch",IF(H74&gt;0.85,"Cần theo dõi","Trong kế hoạch"))</x:f>
        <x:v>Trong kế hoạch</x:v>
      </x:c>
      <x:c r="J74" s="12" t="str"/>
    </x:row>
    <x:row r="75">
      <x:c r="A75" s="18" t="n">
        <x:v>46235</x:v>
      </x:c>
      <x:c r="B75" s="12" t="str">
        <x:v>Q3</x:v>
      </x:c>
      <x:c r="C75" s="12" t="str">
        <x:v>Career Fair</x:v>
      </x:c>
      <x:c r="D75" s="16" t="n">
        <x:v>186000000</x:v>
      </x:c>
      <x:c r="E75" s="16" t="n">
        <x:f>SUMIFS('03_De_nghi_thanh_toan'!$I:$I,'03_De_nghi_thanh_toan'!$D:$D,C75,'03_De_nghi_thanh_toan'!$B:$B,"&gt;="&amp;A75,'03_De_nghi_thanh_toan'!$B:$B,"&lt;="&amp;EOMONTH(A75,0))</x:f>
        <x:v>456329500</x:v>
      </x:c>
      <x:c r="F75" s="16" t="n">
        <x:f>SUMIFS('03_De_nghi_thanh_toan'!$I:$I,'03_De_nghi_thanh_toan'!$D:$D,C75,'03_De_nghi_thanh_toan'!$B:$B,"&gt;="&amp;A75,'03_De_nghi_thanh_toan'!$B:$B,"&lt;="&amp;EOMONTH(A75,0),'03_De_nghi_thanh_toan'!$K:$K,"Đã thanh toán")</x:f>
        <x:v>21718400</x:v>
      </x:c>
      <x:c r="G75" s="16" t="n">
        <x:f>D75-F75</x:f>
        <x:v>164281600</x:v>
      </x:c>
      <x:c r="H75" s="20" t="n">
        <x:f>IFERROR(F75/D75,0)</x:f>
        <x:v>0.11676559139784946</x:v>
      </x:c>
      <x:c r="I75" s="12" t="str">
        <x:f>IF(H75&gt;1,"Vượt kế hoạch",IF(H75&gt;0.85,"Cần theo dõi","Trong kế hoạch"))</x:f>
        <x:v>Trong kế hoạch</x:v>
      </x:c>
      <x:c r="J75" s="12" t="str"/>
    </x:row>
    <x:row r="76">
      <x:c r="A76" s="18" t="n">
        <x:v>46235</x:v>
      </x:c>
      <x:c r="B76" s="12" t="str">
        <x:v>Q3</x:v>
      </x:c>
      <x:c r="C76" s="12" t="str">
        <x:v>Mental Health Program</x:v>
      </x:c>
      <x:c r="D76" s="16" t="n">
        <x:v>195000000</x:v>
      </x:c>
      <x:c r="E76" s="16" t="n">
        <x:f>SUMIFS('03_De_nghi_thanh_toan'!$I:$I,'03_De_nghi_thanh_toan'!$D:$D,C76,'03_De_nghi_thanh_toan'!$B:$B,"&gt;="&amp;A76,'03_De_nghi_thanh_toan'!$B:$B,"&lt;="&amp;EOMONTH(A76,0))</x:f>
        <x:v>104395500</x:v>
      </x:c>
      <x:c r="F76" s="16" t="n">
        <x:f>SUMIFS('03_De_nghi_thanh_toan'!$I:$I,'03_De_nghi_thanh_toan'!$D:$D,C76,'03_De_nghi_thanh_toan'!$B:$B,"&gt;="&amp;A76,'03_De_nghi_thanh_toan'!$B:$B,"&lt;="&amp;EOMONTH(A76,0),'03_De_nghi_thanh_toan'!$K:$K,"Đã thanh toán")</x:f>
        <x:v>0</x:v>
      </x:c>
      <x:c r="G76" s="16" t="n">
        <x:f>D76-F76</x:f>
        <x:v>195000000</x:v>
      </x:c>
      <x:c r="H76" s="20" t="n">
        <x:f>IFERROR(F76/D76,0)</x:f>
        <x:v>0</x:v>
      </x:c>
      <x:c r="I76" s="12" t="str">
        <x:f>IF(H76&gt;1,"Vượt kế hoạch",IF(H76&gt;0.85,"Cần theo dõi","Trong kế hoạch"))</x:f>
        <x:v>Trong kế hoạch</x:v>
      </x:c>
      <x:c r="J76" s="12" t="str"/>
    </x:row>
    <x:row r="77">
      <x:c r="A77" s="18" t="n">
        <x:v>46235</x:v>
      </x:c>
      <x:c r="B77" s="12" t="str">
        <x:v>Q3</x:v>
      </x:c>
      <x:c r="C77" s="12" t="str">
        <x:v>Student Leadership</x:v>
      </x:c>
      <x:c r="D77" s="16" t="n">
        <x:v>161000000</x:v>
      </x:c>
      <x:c r="E77" s="16" t="n">
        <x:f>SUMIFS('03_De_nghi_thanh_toan'!$I:$I,'03_De_nghi_thanh_toan'!$D:$D,C77,'03_De_nghi_thanh_toan'!$B:$B,"&gt;="&amp;A77,'03_De_nghi_thanh_toan'!$B:$B,"&lt;="&amp;EOMONTH(A77,0))</x:f>
        <x:v>270194100</x:v>
      </x:c>
      <x:c r="F77" s="16" t="n">
        <x:f>SUMIFS('03_De_nghi_thanh_toan'!$I:$I,'03_De_nghi_thanh_toan'!$D:$D,C77,'03_De_nghi_thanh_toan'!$B:$B,"&gt;="&amp;A77,'03_De_nghi_thanh_toan'!$B:$B,"&lt;="&amp;EOMONTH(A77,0),'03_De_nghi_thanh_toan'!$K:$K,"Đã thanh toán")</x:f>
        <x:v>75434700</x:v>
      </x:c>
      <x:c r="G77" s="16" t="n">
        <x:f>D77-F77</x:f>
        <x:v>85565300</x:v>
      </x:c>
      <x:c r="H77" s="20" t="n">
        <x:f>IFERROR(F77/D77,0)</x:f>
        <x:v>0.4685385093167702</x:v>
      </x:c>
      <x:c r="I77" s="12" t="str">
        <x:f>IF(H77&gt;1,"Vượt kế hoạch",IF(H77&gt;0.85,"Cần theo dõi","Trong kế hoạch"))</x:f>
        <x:v>Trong kế hoạch</x:v>
      </x:c>
      <x:c r="J77" s="12" t="str"/>
    </x:row>
    <x:row r="78">
      <x:c r="A78" s="18" t="n">
        <x:v>46235</x:v>
      </x:c>
      <x:c r="B78" s="12" t="str">
        <x:v>Q3</x:v>
      </x:c>
      <x:c r="C78" s="12" t="str">
        <x:v>Community Service</x:v>
      </x:c>
      <x:c r="D78" s="16" t="n">
        <x:v>49000000</x:v>
      </x:c>
      <x:c r="E78" s="16" t="n">
        <x:f>SUMIFS('03_De_nghi_thanh_toan'!$I:$I,'03_De_nghi_thanh_toan'!$D:$D,C78,'03_De_nghi_thanh_toan'!$B:$B,"&gt;="&amp;A78,'03_De_nghi_thanh_toan'!$B:$B,"&lt;="&amp;EOMONTH(A78,0))</x:f>
        <x:v>180327400</x:v>
      </x:c>
      <x:c r="F78" s="16" t="n">
        <x:f>SUMIFS('03_De_nghi_thanh_toan'!$I:$I,'03_De_nghi_thanh_toan'!$D:$D,C78,'03_De_nghi_thanh_toan'!$B:$B,"&gt;="&amp;A78,'03_De_nghi_thanh_toan'!$B:$B,"&lt;="&amp;EOMONTH(A78,0),'03_De_nghi_thanh_toan'!$K:$K,"Đã thanh toán")</x:f>
        <x:v>0</x:v>
      </x:c>
      <x:c r="G78" s="16" t="n">
        <x:f>D78-F78</x:f>
        <x:v>49000000</x:v>
      </x:c>
      <x:c r="H78" s="20" t="n">
        <x:f>IFERROR(F78/D78,0)</x:f>
        <x:v>0</x:v>
      </x:c>
      <x:c r="I78" s="12" t="str">
        <x:f>IF(H78&gt;1,"Vượt kế hoạch",IF(H78&gt;0.85,"Cần theo dõi","Trong kế hoạch"))</x:f>
        <x:v>Trong kế hoạch</x:v>
      </x:c>
      <x:c r="J78" s="12" t="str"/>
    </x:row>
    <x:row r="79">
      <x:c r="A79" s="18" t="n">
        <x:v>46235</x:v>
      </x:c>
      <x:c r="B79" s="12" t="str">
        <x:v>Q3</x:v>
      </x:c>
      <x:c r="C79" s="12" t="str">
        <x:v>Graduation Ceremony</x:v>
      </x:c>
      <x:c r="D79" s="16" t="n">
        <x:v>84000000</x:v>
      </x:c>
      <x:c r="E79" s="16" t="n">
        <x:f>SUMIFS('03_De_nghi_thanh_toan'!$I:$I,'03_De_nghi_thanh_toan'!$D:$D,C79,'03_De_nghi_thanh_toan'!$B:$B,"&gt;="&amp;A79,'03_De_nghi_thanh_toan'!$B:$B,"&lt;="&amp;EOMONTH(A79,0))</x:f>
        <x:v>88597300</x:v>
      </x:c>
      <x:c r="F79" s="16" t="n">
        <x:f>SUMIFS('03_De_nghi_thanh_toan'!$I:$I,'03_De_nghi_thanh_toan'!$D:$D,C79,'03_De_nghi_thanh_toan'!$B:$B,"&gt;="&amp;A79,'03_De_nghi_thanh_toan'!$B:$B,"&lt;="&amp;EOMONTH(A79,0),'03_De_nghi_thanh_toan'!$K:$K,"Đã thanh toán")</x:f>
        <x:v>0</x:v>
      </x:c>
      <x:c r="G79" s="16" t="n">
        <x:f>D79-F79</x:f>
        <x:v>84000000</x:v>
      </x:c>
      <x:c r="H79" s="20" t="n">
        <x:f>IFERROR(F79/D79,0)</x:f>
        <x:v>0</x:v>
      </x:c>
      <x:c r="I79" s="12" t="str">
        <x:f>IF(H79&gt;1,"Vượt kế hoạch",IF(H79&gt;0.85,"Cần theo dõi","Trong kế hoạch"))</x:f>
        <x:v>Trong kế hoạch</x:v>
      </x:c>
      <x:c r="J79" s="12" t="str"/>
    </x:row>
    <x:row r="80">
      <x:c r="A80" s="18" t="n">
        <x:v>46235</x:v>
      </x:c>
      <x:c r="B80" s="12" t="str">
        <x:v>Q3</x:v>
      </x:c>
      <x:c r="C80" s="12" t="str">
        <x:v>International Exchange</x:v>
      </x:c>
      <x:c r="D80" s="16" t="n">
        <x:v>110000000</x:v>
      </x:c>
      <x:c r="E80" s="16" t="n">
        <x:f>SUMIFS('03_De_nghi_thanh_toan'!$I:$I,'03_De_nghi_thanh_toan'!$D:$D,C80,'03_De_nghi_thanh_toan'!$B:$B,"&gt;="&amp;A80,'03_De_nghi_thanh_toan'!$B:$B,"&lt;="&amp;EOMONTH(A80,0))</x:f>
        <x:v>117712100</x:v>
      </x:c>
      <x:c r="F80" s="16" t="n">
        <x:f>SUMIFS('03_De_nghi_thanh_toan'!$I:$I,'03_De_nghi_thanh_toan'!$D:$D,C80,'03_De_nghi_thanh_toan'!$B:$B,"&gt;="&amp;A80,'03_De_nghi_thanh_toan'!$B:$B,"&lt;="&amp;EOMONTH(A80,0),'03_De_nghi_thanh_toan'!$K:$K,"Đã thanh toán")</x:f>
        <x:v>0</x:v>
      </x:c>
      <x:c r="G80" s="16" t="n">
        <x:f>D80-F80</x:f>
        <x:v>110000000</x:v>
      </x:c>
      <x:c r="H80" s="20" t="n">
        <x:f>IFERROR(F80/D80,0)</x:f>
        <x:v>0</x:v>
      </x:c>
      <x:c r="I80" s="12" t="str">
        <x:f>IF(H80&gt;1,"Vượt kế hoạch",IF(H80&gt;0.85,"Cần theo dõi","Trong kế hoạch"))</x:f>
        <x:v>Trong kế hoạch</x:v>
      </x:c>
      <x:c r="J80" s="12" t="str"/>
    </x:row>
    <x:row r="81">
      <x:c r="A81" s="18" t="n">
        <x:v>46235</x:v>
      </x:c>
      <x:c r="B81" s="12" t="str">
        <x:v>Q3</x:v>
      </x:c>
      <x:c r="C81" s="12" t="str">
        <x:v>Student Wellbeing</x:v>
      </x:c>
      <x:c r="D81" s="16" t="n">
        <x:v>143000000</x:v>
      </x:c>
      <x:c r="E81" s="16" t="n">
        <x:f>SUMIFS('03_De_nghi_thanh_toan'!$I:$I,'03_De_nghi_thanh_toan'!$D:$D,C81,'03_De_nghi_thanh_toan'!$B:$B,"&gt;="&amp;A81,'03_De_nghi_thanh_toan'!$B:$B,"&lt;="&amp;EOMONTH(A81,0))</x:f>
        <x:v>116856300</x:v>
      </x:c>
      <x:c r="F81" s="16" t="n">
        <x:f>SUMIFS('03_De_nghi_thanh_toan'!$I:$I,'03_De_nghi_thanh_toan'!$D:$D,C81,'03_De_nghi_thanh_toan'!$B:$B,"&gt;="&amp;A81,'03_De_nghi_thanh_toan'!$B:$B,"&lt;="&amp;EOMONTH(A81,0),'03_De_nghi_thanh_toan'!$K:$K,"Đã thanh toán")</x:f>
        <x:v>116856300</x:v>
      </x:c>
      <x:c r="G81" s="16" t="n">
        <x:f>D81-F81</x:f>
        <x:v>26143700</x:v>
      </x:c>
      <x:c r="H81" s="20" t="n">
        <x:f>IFERROR(F81/D81,0)</x:f>
        <x:v>0.817176923076923</x:v>
      </x:c>
      <x:c r="I81" s="12" t="str">
        <x:f>IF(H81&gt;1,"Vượt kế hoạch",IF(H81&gt;0.85,"Cần theo dõi","Trong kế hoạch"))</x:f>
        <x:v>Trong kế hoạch</x:v>
      </x:c>
      <x:c r="J81" s="12" t="str"/>
    </x:row>
    <x:row r="82">
      <x:c r="A82" s="18" t="n">
        <x:v>46266</x:v>
      </x:c>
      <x:c r="B82" s="12" t="str">
        <x:v>Q3</x:v>
      </x:c>
      <x:c r="C82" s="12" t="str">
        <x:v>Orientation Week</x:v>
      </x:c>
      <x:c r="D82" s="16" t="n">
        <x:v>76000000</x:v>
      </x:c>
      <x:c r="E82" s="16" t="n">
        <x:f>SUMIFS('03_De_nghi_thanh_toan'!$I:$I,'03_De_nghi_thanh_toan'!$D:$D,C82,'03_De_nghi_thanh_toan'!$B:$B,"&gt;="&amp;A82,'03_De_nghi_thanh_toan'!$B:$B,"&lt;="&amp;EOMONTH(A82,0))</x:f>
        <x:v>268859800</x:v>
      </x:c>
      <x:c r="F82" s="16" t="n">
        <x:f>SUMIFS('03_De_nghi_thanh_toan'!$I:$I,'03_De_nghi_thanh_toan'!$D:$D,C82,'03_De_nghi_thanh_toan'!$B:$B,"&gt;="&amp;A82,'03_De_nghi_thanh_toan'!$B:$B,"&lt;="&amp;EOMONTH(A82,0),'03_De_nghi_thanh_toan'!$K:$K,"Đã thanh toán")</x:f>
        <x:v>25535400</x:v>
      </x:c>
      <x:c r="G82" s="16" t="n">
        <x:f>D82-F82</x:f>
        <x:v>50464600</x:v>
      </x:c>
      <x:c r="H82" s="20" t="n">
        <x:f>IFERROR(F82/D82,0)</x:f>
        <x:v>0.33599210526315787</x:v>
      </x:c>
      <x:c r="I82" s="12" t="str">
        <x:f>IF(H82&gt;1,"Vượt kế hoạch",IF(H82&gt;0.85,"Cần theo dõi","Trong kế hoạch"))</x:f>
        <x:v>Trong kế hoạch</x:v>
      </x:c>
      <x:c r="J82" s="12" t="str"/>
    </x:row>
    <x:row r="83">
      <x:c r="A83" s="18" t="n">
        <x:v>46266</x:v>
      </x:c>
      <x:c r="B83" s="12" t="str">
        <x:v>Q3</x:v>
      </x:c>
      <x:c r="C83" s="12" t="str">
        <x:v>Student Clubs</x:v>
      </x:c>
      <x:c r="D83" s="16" t="n">
        <x:v>198000000</x:v>
      </x:c>
      <x:c r="E83" s="16" t="n">
        <x:f>SUMIFS('03_De_nghi_thanh_toan'!$I:$I,'03_De_nghi_thanh_toan'!$D:$D,C83,'03_De_nghi_thanh_toan'!$B:$B,"&gt;="&amp;A83,'03_De_nghi_thanh_toan'!$B:$B,"&lt;="&amp;EOMONTH(A83,0))</x:f>
        <x:v>0</x:v>
      </x:c>
      <x:c r="F83" s="16" t="n">
        <x:f>SUMIFS('03_De_nghi_thanh_toan'!$I:$I,'03_De_nghi_thanh_toan'!$D:$D,C83,'03_De_nghi_thanh_toan'!$B:$B,"&gt;="&amp;A83,'03_De_nghi_thanh_toan'!$B:$B,"&lt;="&amp;EOMONTH(A83,0),'03_De_nghi_thanh_toan'!$K:$K,"Đã thanh toán")</x:f>
        <x:v>0</x:v>
      </x:c>
      <x:c r="G83" s="16" t="n">
        <x:f>D83-F83</x:f>
        <x:v>198000000</x:v>
      </x:c>
      <x:c r="H83" s="20" t="n">
        <x:f>IFERROR(F83/D83,0)</x:f>
        <x:v>0</x:v>
      </x:c>
      <x:c r="I83" s="12" t="str">
        <x:f>IF(H83&gt;1,"Vượt kế hoạch",IF(H83&gt;0.85,"Cần theo dõi","Trong kế hoạch"))</x:f>
        <x:v>Trong kế hoạch</x:v>
      </x:c>
      <x:c r="J83" s="12" t="str"/>
    </x:row>
    <x:row r="84">
      <x:c r="A84" s="18" t="n">
        <x:v>46266</x:v>
      </x:c>
      <x:c r="B84" s="12" t="str">
        <x:v>Q3</x:v>
      </x:c>
      <x:c r="C84" s="12" t="str">
        <x:v>Scholarship Program</x:v>
      </x:c>
      <x:c r="D84" s="16" t="n">
        <x:v>195000000</x:v>
      </x:c>
      <x:c r="E84" s="16" t="n">
        <x:f>SUMIFS('03_De_nghi_thanh_toan'!$I:$I,'03_De_nghi_thanh_toan'!$D:$D,C84,'03_De_nghi_thanh_toan'!$B:$B,"&gt;="&amp;A84,'03_De_nghi_thanh_toan'!$B:$B,"&lt;="&amp;EOMONTH(A84,0))</x:f>
        <x:v>29309000</x:v>
      </x:c>
      <x:c r="F84" s="16" t="n">
        <x:f>SUMIFS('03_De_nghi_thanh_toan'!$I:$I,'03_De_nghi_thanh_toan'!$D:$D,C84,'03_De_nghi_thanh_toan'!$B:$B,"&gt;="&amp;A84,'03_De_nghi_thanh_toan'!$B:$B,"&lt;="&amp;EOMONTH(A84,0),'03_De_nghi_thanh_toan'!$K:$K,"Đã thanh toán")</x:f>
        <x:v>0</x:v>
      </x:c>
      <x:c r="G84" s="16" t="n">
        <x:f>D84-F84</x:f>
        <x:v>195000000</x:v>
      </x:c>
      <x:c r="H84" s="20" t="n">
        <x:f>IFERROR(F84/D84,0)</x:f>
        <x:v>0</x:v>
      </x:c>
      <x:c r="I84" s="12" t="str">
        <x:f>IF(H84&gt;1,"Vượt kế hoạch",IF(H84&gt;0.85,"Cần theo dõi","Trong kế hoạch"))</x:f>
        <x:v>Trong kế hoạch</x:v>
      </x:c>
      <x:c r="J84" s="12" t="str"/>
    </x:row>
    <x:row r="85">
      <x:c r="A85" s="18" t="n">
        <x:v>46266</x:v>
      </x:c>
      <x:c r="B85" s="12" t="str">
        <x:v>Q3</x:v>
      </x:c>
      <x:c r="C85" s="12" t="str">
        <x:v>Career Fair</x:v>
      </x:c>
      <x:c r="D85" s="16" t="n">
        <x:v>214000000</x:v>
      </x:c>
      <x:c r="E85" s="16" t="n">
        <x:f>SUMIFS('03_De_nghi_thanh_toan'!$I:$I,'03_De_nghi_thanh_toan'!$D:$D,C85,'03_De_nghi_thanh_toan'!$B:$B,"&gt;="&amp;A85,'03_De_nghi_thanh_toan'!$B:$B,"&lt;="&amp;EOMONTH(A85,0))</x:f>
        <x:v>421386100</x:v>
      </x:c>
      <x:c r="F85" s="16" t="n">
        <x:f>SUMIFS('03_De_nghi_thanh_toan'!$I:$I,'03_De_nghi_thanh_toan'!$D:$D,C85,'03_De_nghi_thanh_toan'!$B:$B,"&gt;="&amp;A85,'03_De_nghi_thanh_toan'!$B:$B,"&lt;="&amp;EOMONTH(A85,0),'03_De_nghi_thanh_toan'!$K:$K,"Đã thanh toán")</x:f>
        <x:v>97325000</x:v>
      </x:c>
      <x:c r="G85" s="16" t="n">
        <x:f>D85-F85</x:f>
        <x:v>116675000</x:v>
      </x:c>
      <x:c r="H85" s="20" t="n">
        <x:f>IFERROR(F85/D85,0)</x:f>
        <x:v>0.4547897196261682</x:v>
      </x:c>
      <x:c r="I85" s="12" t="str">
        <x:f>IF(H85&gt;1,"Vượt kế hoạch",IF(H85&gt;0.85,"Cần theo dõi","Trong kế hoạch"))</x:f>
        <x:v>Trong kế hoạch</x:v>
      </x:c>
      <x:c r="J85" s="12" t="str"/>
    </x:row>
    <x:row r="86">
      <x:c r="A86" s="18" t="n">
        <x:v>46266</x:v>
      </x:c>
      <x:c r="B86" s="12" t="str">
        <x:v>Q3</x:v>
      </x:c>
      <x:c r="C86" s="12" t="str">
        <x:v>Mental Health Program</x:v>
      </x:c>
      <x:c r="D86" s="16" t="n">
        <x:v>217000000</x:v>
      </x:c>
      <x:c r="E86" s="16" t="n">
        <x:f>SUMIFS('03_De_nghi_thanh_toan'!$I:$I,'03_De_nghi_thanh_toan'!$D:$D,C86,'03_De_nghi_thanh_toan'!$B:$B,"&gt;="&amp;A86,'03_De_nghi_thanh_toan'!$B:$B,"&lt;="&amp;EOMONTH(A86,0))</x:f>
        <x:v>281180900</x:v>
      </x:c>
      <x:c r="F86" s="16" t="n">
        <x:f>SUMIFS('03_De_nghi_thanh_toan'!$I:$I,'03_De_nghi_thanh_toan'!$D:$D,C86,'03_De_nghi_thanh_toan'!$B:$B,"&gt;="&amp;A86,'03_De_nghi_thanh_toan'!$B:$B,"&lt;="&amp;EOMONTH(A86,0),'03_De_nghi_thanh_toan'!$K:$K,"Đã thanh toán")</x:f>
        <x:v>0</x:v>
      </x:c>
      <x:c r="G86" s="16" t="n">
        <x:f>D86-F86</x:f>
        <x:v>217000000</x:v>
      </x:c>
      <x:c r="H86" s="20" t="n">
        <x:f>IFERROR(F86/D86,0)</x:f>
        <x:v>0</x:v>
      </x:c>
      <x:c r="I86" s="12" t="str">
        <x:f>IF(H86&gt;1,"Vượt kế hoạch",IF(H86&gt;0.85,"Cần theo dõi","Trong kế hoạch"))</x:f>
        <x:v>Trong kế hoạch</x:v>
      </x:c>
      <x:c r="J86" s="12" t="str"/>
    </x:row>
    <x:row r="87">
      <x:c r="A87" s="18" t="n">
        <x:v>46266</x:v>
      </x:c>
      <x:c r="B87" s="12" t="str">
        <x:v>Q3</x:v>
      </x:c>
      <x:c r="C87" s="12" t="str">
        <x:v>Student Leadership</x:v>
      </x:c>
      <x:c r="D87" s="16" t="n">
        <x:v>142000000</x:v>
      </x:c>
      <x:c r="E87" s="16" t="n">
        <x:f>SUMIFS('03_De_nghi_thanh_toan'!$I:$I,'03_De_nghi_thanh_toan'!$D:$D,C87,'03_De_nghi_thanh_toan'!$B:$B,"&gt;="&amp;A87,'03_De_nghi_thanh_toan'!$B:$B,"&lt;="&amp;EOMONTH(A87,0))</x:f>
        <x:v>0</x:v>
      </x:c>
      <x:c r="F87" s="16" t="n">
        <x:f>SUMIFS('03_De_nghi_thanh_toan'!$I:$I,'03_De_nghi_thanh_toan'!$D:$D,C87,'03_De_nghi_thanh_toan'!$B:$B,"&gt;="&amp;A87,'03_De_nghi_thanh_toan'!$B:$B,"&lt;="&amp;EOMONTH(A87,0),'03_De_nghi_thanh_toan'!$K:$K,"Đã thanh toán")</x:f>
        <x:v>0</x:v>
      </x:c>
      <x:c r="G87" s="16" t="n">
        <x:f>D87-F87</x:f>
        <x:v>142000000</x:v>
      </x:c>
      <x:c r="H87" s="20" t="n">
        <x:f>IFERROR(F87/D87,0)</x:f>
        <x:v>0</x:v>
      </x:c>
      <x:c r="I87" s="12" t="str">
        <x:f>IF(H87&gt;1,"Vượt kế hoạch",IF(H87&gt;0.85,"Cần theo dõi","Trong kế hoạch"))</x:f>
        <x:v>Trong kế hoạch</x:v>
      </x:c>
      <x:c r="J87" s="12" t="str"/>
    </x:row>
    <x:row r="88">
      <x:c r="A88" s="18" t="n">
        <x:v>46266</x:v>
      </x:c>
      <x:c r="B88" s="12" t="str">
        <x:v>Q3</x:v>
      </x:c>
      <x:c r="C88" s="12" t="str">
        <x:v>Community Service</x:v>
      </x:c>
      <x:c r="D88" s="16" t="n">
        <x:v>49000000</x:v>
      </x:c>
      <x:c r="E88" s="16" t="n">
        <x:f>SUMIFS('03_De_nghi_thanh_toan'!$I:$I,'03_De_nghi_thanh_toan'!$D:$D,C88,'03_De_nghi_thanh_toan'!$B:$B,"&gt;="&amp;A88,'03_De_nghi_thanh_toan'!$B:$B,"&lt;="&amp;EOMONTH(A88,0))</x:f>
        <x:v>385060100</x:v>
      </x:c>
      <x:c r="F88" s="16" t="n">
        <x:f>SUMIFS('03_De_nghi_thanh_toan'!$I:$I,'03_De_nghi_thanh_toan'!$D:$D,C88,'03_De_nghi_thanh_toan'!$B:$B,"&gt;="&amp;A88,'03_De_nghi_thanh_toan'!$B:$B,"&lt;="&amp;EOMONTH(A88,0),'03_De_nghi_thanh_toan'!$K:$K,"Đã thanh toán")</x:f>
        <x:v>246438100</x:v>
      </x:c>
      <x:c r="G88" s="16" t="n">
        <x:f>D88-F88</x:f>
        <x:v>-197438100</x:v>
      </x:c>
      <x:c r="H88" s="20" t="n">
        <x:f>IFERROR(F88/D88,0)</x:f>
        <x:v>5.029348979591837</x:v>
      </x:c>
      <x:c r="I88" s="12" t="str">
        <x:f>IF(H88&gt;1,"Vượt kế hoạch",IF(H88&gt;0.85,"Cần theo dõi","Trong kế hoạch"))</x:f>
        <x:v>Vượt kế hoạch</x:v>
      </x:c>
      <x:c r="J88" s="12" t="str"/>
    </x:row>
    <x:row r="89">
      <x:c r="A89" s="18" t="n">
        <x:v>46266</x:v>
      </x:c>
      <x:c r="B89" s="12" t="str">
        <x:v>Q3</x:v>
      </x:c>
      <x:c r="C89" s="12" t="str">
        <x:v>Graduation Ceremony</x:v>
      </x:c>
      <x:c r="D89" s="16" t="n">
        <x:v>141000000</x:v>
      </x:c>
      <x:c r="E89" s="16" t="n">
        <x:f>SUMIFS('03_De_nghi_thanh_toan'!$I:$I,'03_De_nghi_thanh_toan'!$D:$D,C89,'03_De_nghi_thanh_toan'!$B:$B,"&gt;="&amp;A89,'03_De_nghi_thanh_toan'!$B:$B,"&lt;="&amp;EOMONTH(A89,0))</x:f>
        <x:v>172430500</x:v>
      </x:c>
      <x:c r="F89" s="16" t="n">
        <x:f>SUMIFS('03_De_nghi_thanh_toan'!$I:$I,'03_De_nghi_thanh_toan'!$D:$D,C89,'03_De_nghi_thanh_toan'!$B:$B,"&gt;="&amp;A89,'03_De_nghi_thanh_toan'!$B:$B,"&lt;="&amp;EOMONTH(A89,0),'03_De_nghi_thanh_toan'!$K:$K,"Đã thanh toán")</x:f>
        <x:v>119891200</x:v>
      </x:c>
      <x:c r="G89" s="16" t="n">
        <x:f>D89-F89</x:f>
        <x:v>21108800</x:v>
      </x:c>
      <x:c r="H89" s="20" t="n">
        <x:f>IFERROR(F89/D89,0)</x:f>
        <x:v>0.8502921985815602</x:v>
      </x:c>
      <x:c r="I89" s="12" t="str">
        <x:f>IF(H89&gt;1,"Vượt kế hoạch",IF(H89&gt;0.85,"Cần theo dõi","Trong kế hoạch"))</x:f>
        <x:v>Cần theo dõi</x:v>
      </x:c>
      <x:c r="J89" s="12" t="str"/>
    </x:row>
    <x:row r="90">
      <x:c r="A90" s="18" t="n">
        <x:v>46266</x:v>
      </x:c>
      <x:c r="B90" s="12" t="str">
        <x:v>Q3</x:v>
      </x:c>
      <x:c r="C90" s="12" t="str">
        <x:v>International Exchange</x:v>
      </x:c>
      <x:c r="D90" s="16" t="n">
        <x:v>124000000</x:v>
      </x:c>
      <x:c r="E90" s="16" t="n">
        <x:f>SUMIFS('03_De_nghi_thanh_toan'!$I:$I,'03_De_nghi_thanh_toan'!$D:$D,C90,'03_De_nghi_thanh_toan'!$B:$B,"&gt;="&amp;A90,'03_De_nghi_thanh_toan'!$B:$B,"&lt;="&amp;EOMONTH(A90,0))</x:f>
        <x:v>146258200</x:v>
      </x:c>
      <x:c r="F90" s="16" t="n">
        <x:f>SUMIFS('03_De_nghi_thanh_toan'!$I:$I,'03_De_nghi_thanh_toan'!$D:$D,C90,'03_De_nghi_thanh_toan'!$B:$B,"&gt;="&amp;A90,'03_De_nghi_thanh_toan'!$B:$B,"&lt;="&amp;EOMONTH(A90,0),'03_De_nghi_thanh_toan'!$K:$K,"Đã thanh toán")</x:f>
        <x:v>146258200</x:v>
      </x:c>
      <x:c r="G90" s="16" t="n">
        <x:f>D90-F90</x:f>
        <x:v>-22258200</x:v>
      </x:c>
      <x:c r="H90" s="20" t="n">
        <x:f>IFERROR(F90/D90,0)</x:f>
        <x:v>1.1795016129032259</x:v>
      </x:c>
      <x:c r="I90" s="12" t="str">
        <x:f>IF(H90&gt;1,"Vượt kế hoạch",IF(H90&gt;0.85,"Cần theo dõi","Trong kế hoạch"))</x:f>
        <x:v>Vượt kế hoạch</x:v>
      </x:c>
      <x:c r="J90" s="12" t="str"/>
    </x:row>
    <x:row r="91">
      <x:c r="A91" s="18" t="n">
        <x:v>46266</x:v>
      </x:c>
      <x:c r="B91" s="12" t="str">
        <x:v>Q3</x:v>
      </x:c>
      <x:c r="C91" s="12" t="str">
        <x:v>Student Wellbeing</x:v>
      </x:c>
      <x:c r="D91" s="16" t="n">
        <x:v>216000000</x:v>
      </x:c>
      <x:c r="E91" s="16" t="n">
        <x:f>SUMIFS('03_De_nghi_thanh_toan'!$I:$I,'03_De_nghi_thanh_toan'!$D:$D,C91,'03_De_nghi_thanh_toan'!$B:$B,"&gt;="&amp;A91,'03_De_nghi_thanh_toan'!$B:$B,"&lt;="&amp;EOMONTH(A91,0))</x:f>
        <x:v>308885500</x:v>
      </x:c>
      <x:c r="F91" s="16" t="n">
        <x:f>SUMIFS('03_De_nghi_thanh_toan'!$I:$I,'03_De_nghi_thanh_toan'!$D:$D,C91,'03_De_nghi_thanh_toan'!$B:$B,"&gt;="&amp;A91,'03_De_nghi_thanh_toan'!$B:$B,"&lt;="&amp;EOMONTH(A91,0),'03_De_nghi_thanh_toan'!$K:$K,"Đã thanh toán")</x:f>
        <x:v>93498900</x:v>
      </x:c>
      <x:c r="G91" s="16" t="n">
        <x:f>D91-F91</x:f>
        <x:v>122501100</x:v>
      </x:c>
      <x:c r="H91" s="20" t="n">
        <x:f>IFERROR(F91/D91,0)</x:f>
        <x:v>0.4328652777777778</x:v>
      </x:c>
      <x:c r="I91" s="12" t="str">
        <x:f>IF(H91&gt;1,"Vượt kế hoạch",IF(H91&gt;0.85,"Cần theo dõi","Trong kế hoạch"))</x:f>
        <x:v>Trong kế hoạch</x:v>
      </x:c>
      <x:c r="J91" s="12" t="str"/>
    </x:row>
    <x:row r="92">
      <x:c r="A92" s="18" t="n">
        <x:v>46296</x:v>
      </x:c>
      <x:c r="B92" s="12" t="str">
        <x:v>Q4</x:v>
      </x:c>
      <x:c r="C92" s="12" t="str">
        <x:v>Orientation Week</x:v>
      </x:c>
      <x:c r="D92" s="16" t="n">
        <x:v>100000000</x:v>
      </x:c>
      <x:c r="E92" s="16" t="n">
        <x:f>SUMIFS('03_De_nghi_thanh_toan'!$I:$I,'03_De_nghi_thanh_toan'!$D:$D,C92,'03_De_nghi_thanh_toan'!$B:$B,"&gt;="&amp;A92,'03_De_nghi_thanh_toan'!$B:$B,"&lt;="&amp;EOMONTH(A92,0))</x:f>
        <x:v>174610700</x:v>
      </x:c>
      <x:c r="F92" s="16" t="n">
        <x:f>SUMIFS('03_De_nghi_thanh_toan'!$I:$I,'03_De_nghi_thanh_toan'!$D:$D,C92,'03_De_nghi_thanh_toan'!$B:$B,"&gt;="&amp;A92,'03_De_nghi_thanh_toan'!$B:$B,"&lt;="&amp;EOMONTH(A92,0),'03_De_nghi_thanh_toan'!$K:$K,"Đã thanh toán")</x:f>
        <x:v>38985100</x:v>
      </x:c>
      <x:c r="G92" s="16" t="n">
        <x:f>D92-F92</x:f>
        <x:v>61014900</x:v>
      </x:c>
      <x:c r="H92" s="20" t="n">
        <x:f>IFERROR(F92/D92,0)</x:f>
        <x:v>0.389851</x:v>
      </x:c>
      <x:c r="I92" s="12" t="str">
        <x:f>IF(H92&gt;1,"Vượt kế hoạch",IF(H92&gt;0.85,"Cần theo dõi","Trong kế hoạch"))</x:f>
        <x:v>Trong kế hoạch</x:v>
      </x:c>
      <x:c r="J92" s="12" t="str"/>
    </x:row>
    <x:row r="93">
      <x:c r="A93" s="18" t="n">
        <x:v>46296</x:v>
      </x:c>
      <x:c r="B93" s="12" t="str">
        <x:v>Q4</x:v>
      </x:c>
      <x:c r="C93" s="12" t="str">
        <x:v>Student Clubs</x:v>
      </x:c>
      <x:c r="D93" s="16" t="n">
        <x:v>52000000</x:v>
      </x:c>
      <x:c r="E93" s="16" t="n">
        <x:f>SUMIFS('03_De_nghi_thanh_toan'!$I:$I,'03_De_nghi_thanh_toan'!$D:$D,C93,'03_De_nghi_thanh_toan'!$B:$B,"&gt;="&amp;A93,'03_De_nghi_thanh_toan'!$B:$B,"&lt;="&amp;EOMONTH(A93,0))</x:f>
        <x:v>77095700</x:v>
      </x:c>
      <x:c r="F93" s="16" t="n">
        <x:f>SUMIFS('03_De_nghi_thanh_toan'!$I:$I,'03_De_nghi_thanh_toan'!$D:$D,C93,'03_De_nghi_thanh_toan'!$B:$B,"&gt;="&amp;A93,'03_De_nghi_thanh_toan'!$B:$B,"&lt;="&amp;EOMONTH(A93,0),'03_De_nghi_thanh_toan'!$K:$K,"Đã thanh toán")</x:f>
        <x:v>0</x:v>
      </x:c>
      <x:c r="G93" s="16" t="n">
        <x:f>D93-F93</x:f>
        <x:v>52000000</x:v>
      </x:c>
      <x:c r="H93" s="20" t="n">
        <x:f>IFERROR(F93/D93,0)</x:f>
        <x:v>0</x:v>
      </x:c>
      <x:c r="I93" s="12" t="str">
        <x:f>IF(H93&gt;1,"Vượt kế hoạch",IF(H93&gt;0.85,"Cần theo dõi","Trong kế hoạch"))</x:f>
        <x:v>Trong kế hoạch</x:v>
      </x:c>
      <x:c r="J93" s="12" t="str"/>
    </x:row>
    <x:row r="94">
      <x:c r="A94" s="18" t="n">
        <x:v>46296</x:v>
      </x:c>
      <x:c r="B94" s="12" t="str">
        <x:v>Q4</x:v>
      </x:c>
      <x:c r="C94" s="12" t="str">
        <x:v>Scholarship Program</x:v>
      </x:c>
      <x:c r="D94" s="16" t="n">
        <x:v>161000000</x:v>
      </x:c>
      <x:c r="E94" s="16" t="n">
        <x:f>SUMIFS('03_De_nghi_thanh_toan'!$I:$I,'03_De_nghi_thanh_toan'!$D:$D,C94,'03_De_nghi_thanh_toan'!$B:$B,"&gt;="&amp;A94,'03_De_nghi_thanh_toan'!$B:$B,"&lt;="&amp;EOMONTH(A94,0))</x:f>
        <x:v>62355000</x:v>
      </x:c>
      <x:c r="F94" s="16" t="n">
        <x:f>SUMIFS('03_De_nghi_thanh_toan'!$I:$I,'03_De_nghi_thanh_toan'!$D:$D,C94,'03_De_nghi_thanh_toan'!$B:$B,"&gt;="&amp;A94,'03_De_nghi_thanh_toan'!$B:$B,"&lt;="&amp;EOMONTH(A94,0),'03_De_nghi_thanh_toan'!$K:$K,"Đã thanh toán")</x:f>
        <x:v>0</x:v>
      </x:c>
      <x:c r="G94" s="16" t="n">
        <x:f>D94-F94</x:f>
        <x:v>161000000</x:v>
      </x:c>
      <x:c r="H94" s="20" t="n">
        <x:f>IFERROR(F94/D94,0)</x:f>
        <x:v>0</x:v>
      </x:c>
      <x:c r="I94" s="12" t="str">
        <x:f>IF(H94&gt;1,"Vượt kế hoạch",IF(H94&gt;0.85,"Cần theo dõi","Trong kế hoạch"))</x:f>
        <x:v>Trong kế hoạch</x:v>
      </x:c>
      <x:c r="J94" s="12" t="str"/>
    </x:row>
    <x:row r="95">
      <x:c r="A95" s="18" t="n">
        <x:v>46296</x:v>
      </x:c>
      <x:c r="B95" s="12" t="str">
        <x:v>Q4</x:v>
      </x:c>
      <x:c r="C95" s="12" t="str">
        <x:v>Career Fair</x:v>
      </x:c>
      <x:c r="D95" s="16" t="n">
        <x:v>108000000</x:v>
      </x:c>
      <x:c r="E95" s="16" t="n">
        <x:f>SUMIFS('03_De_nghi_thanh_toan'!$I:$I,'03_De_nghi_thanh_toan'!$D:$D,C95,'03_De_nghi_thanh_toan'!$B:$B,"&gt;="&amp;A95,'03_De_nghi_thanh_toan'!$B:$B,"&lt;="&amp;EOMONTH(A95,0))</x:f>
        <x:v>321504700</x:v>
      </x:c>
      <x:c r="F95" s="16" t="n">
        <x:f>SUMIFS('03_De_nghi_thanh_toan'!$I:$I,'03_De_nghi_thanh_toan'!$D:$D,C95,'03_De_nghi_thanh_toan'!$B:$B,"&gt;="&amp;A95,'03_De_nghi_thanh_toan'!$B:$B,"&lt;="&amp;EOMONTH(A95,0),'03_De_nghi_thanh_toan'!$K:$K,"Đã thanh toán")</x:f>
        <x:v>0</x:v>
      </x:c>
      <x:c r="G95" s="16" t="n">
        <x:f>D95-F95</x:f>
        <x:v>108000000</x:v>
      </x:c>
      <x:c r="H95" s="20" t="n">
        <x:f>IFERROR(F95/D95,0)</x:f>
        <x:v>0</x:v>
      </x:c>
      <x:c r="I95" s="12" t="str">
        <x:f>IF(H95&gt;1,"Vượt kế hoạch",IF(H95&gt;0.85,"Cần theo dõi","Trong kế hoạch"))</x:f>
        <x:v>Trong kế hoạch</x:v>
      </x:c>
      <x:c r="J95" s="12" t="str"/>
    </x:row>
    <x:row r="96">
      <x:c r="A96" s="18" t="n">
        <x:v>46296</x:v>
      </x:c>
      <x:c r="B96" s="12" t="str">
        <x:v>Q4</x:v>
      </x:c>
      <x:c r="C96" s="12" t="str">
        <x:v>Mental Health Program</x:v>
      </x:c>
      <x:c r="D96" s="16" t="n">
        <x:v>135000000</x:v>
      </x:c>
      <x:c r="E96" s="16" t="n">
        <x:f>SUMIFS('03_De_nghi_thanh_toan'!$I:$I,'03_De_nghi_thanh_toan'!$D:$D,C96,'03_De_nghi_thanh_toan'!$B:$B,"&gt;="&amp;A96,'03_De_nghi_thanh_toan'!$B:$B,"&lt;="&amp;EOMONTH(A96,0))</x:f>
        <x:v>118067300</x:v>
      </x:c>
      <x:c r="F96" s="16" t="n">
        <x:f>SUMIFS('03_De_nghi_thanh_toan'!$I:$I,'03_De_nghi_thanh_toan'!$D:$D,C96,'03_De_nghi_thanh_toan'!$B:$B,"&gt;="&amp;A96,'03_De_nghi_thanh_toan'!$B:$B,"&lt;="&amp;EOMONTH(A96,0),'03_De_nghi_thanh_toan'!$K:$K,"Đã thanh toán")</x:f>
        <x:v>0</x:v>
      </x:c>
      <x:c r="G96" s="16" t="n">
        <x:f>D96-F96</x:f>
        <x:v>135000000</x:v>
      </x:c>
      <x:c r="H96" s="20" t="n">
        <x:f>IFERROR(F96/D96,0)</x:f>
        <x:v>0</x:v>
      </x:c>
      <x:c r="I96" s="12" t="str">
        <x:f>IF(H96&gt;1,"Vượt kế hoạch",IF(H96&gt;0.85,"Cần theo dõi","Trong kế hoạch"))</x:f>
        <x:v>Trong kế hoạch</x:v>
      </x:c>
      <x:c r="J96" s="12" t="str"/>
    </x:row>
    <x:row r="97">
      <x:c r="A97" s="18" t="n">
        <x:v>46296</x:v>
      </x:c>
      <x:c r="B97" s="12" t="str">
        <x:v>Q4</x:v>
      </x:c>
      <x:c r="C97" s="12" t="str">
        <x:v>Student Leadership</x:v>
      </x:c>
      <x:c r="D97" s="16" t="n">
        <x:v>45000000</x:v>
      </x:c>
      <x:c r="E97" s="16" t="n">
        <x:f>SUMIFS('03_De_nghi_thanh_toan'!$I:$I,'03_De_nghi_thanh_toan'!$D:$D,C97,'03_De_nghi_thanh_toan'!$B:$B,"&gt;="&amp;A97,'03_De_nghi_thanh_toan'!$B:$B,"&lt;="&amp;EOMONTH(A97,0))</x:f>
        <x:v>7070800</x:v>
      </x:c>
      <x:c r="F97" s="16" t="n">
        <x:f>SUMIFS('03_De_nghi_thanh_toan'!$I:$I,'03_De_nghi_thanh_toan'!$D:$D,C97,'03_De_nghi_thanh_toan'!$B:$B,"&gt;="&amp;A97,'03_De_nghi_thanh_toan'!$B:$B,"&lt;="&amp;EOMONTH(A97,0),'03_De_nghi_thanh_toan'!$K:$K,"Đã thanh toán")</x:f>
        <x:v>0</x:v>
      </x:c>
      <x:c r="G97" s="16" t="n">
        <x:f>D97-F97</x:f>
        <x:v>45000000</x:v>
      </x:c>
      <x:c r="H97" s="20" t="n">
        <x:f>IFERROR(F97/D97,0)</x:f>
        <x:v>0</x:v>
      </x:c>
      <x:c r="I97" s="12" t="str">
        <x:f>IF(H97&gt;1,"Vượt kế hoạch",IF(H97&gt;0.85,"Cần theo dõi","Trong kế hoạch"))</x:f>
        <x:v>Trong kế hoạch</x:v>
      </x:c>
      <x:c r="J97" s="12" t="str"/>
    </x:row>
    <x:row r="98">
      <x:c r="A98" s="18" t="n">
        <x:v>46296</x:v>
      </x:c>
      <x:c r="B98" s="12" t="str">
        <x:v>Q4</x:v>
      </x:c>
      <x:c r="C98" s="12" t="str">
        <x:v>Community Service</x:v>
      </x:c>
      <x:c r="D98" s="16" t="n">
        <x:v>126000000</x:v>
      </x:c>
      <x:c r="E98" s="16" t="n">
        <x:f>SUMIFS('03_De_nghi_thanh_toan'!$I:$I,'03_De_nghi_thanh_toan'!$D:$D,C98,'03_De_nghi_thanh_toan'!$B:$B,"&gt;="&amp;A98,'03_De_nghi_thanh_toan'!$B:$B,"&lt;="&amp;EOMONTH(A98,0))</x:f>
        <x:v>60233800</x:v>
      </x:c>
      <x:c r="F98" s="16" t="n">
        <x:f>SUMIFS('03_De_nghi_thanh_toan'!$I:$I,'03_De_nghi_thanh_toan'!$D:$D,C98,'03_De_nghi_thanh_toan'!$B:$B,"&gt;="&amp;A98,'03_De_nghi_thanh_toan'!$B:$B,"&lt;="&amp;EOMONTH(A98,0),'03_De_nghi_thanh_toan'!$K:$K,"Đã thanh toán")</x:f>
        <x:v>0</x:v>
      </x:c>
      <x:c r="G98" s="16" t="n">
        <x:f>D98-F98</x:f>
        <x:v>126000000</x:v>
      </x:c>
      <x:c r="H98" s="20" t="n">
        <x:f>IFERROR(F98/D98,0)</x:f>
        <x:v>0</x:v>
      </x:c>
      <x:c r="I98" s="12" t="str">
        <x:f>IF(H98&gt;1,"Vượt kế hoạch",IF(H98&gt;0.85,"Cần theo dõi","Trong kế hoạch"))</x:f>
        <x:v>Trong kế hoạch</x:v>
      </x:c>
      <x:c r="J98" s="12" t="str"/>
    </x:row>
    <x:row r="99">
      <x:c r="A99" s="18" t="n">
        <x:v>46296</x:v>
      </x:c>
      <x:c r="B99" s="12" t="str">
        <x:v>Q4</x:v>
      </x:c>
      <x:c r="C99" s="12" t="str">
        <x:v>Graduation Ceremony</x:v>
      </x:c>
      <x:c r="D99" s="16" t="n">
        <x:v>117000000</x:v>
      </x:c>
      <x:c r="E99" s="16" t="n">
        <x:f>SUMIFS('03_De_nghi_thanh_toan'!$I:$I,'03_De_nghi_thanh_toan'!$D:$D,C99,'03_De_nghi_thanh_toan'!$B:$B,"&gt;="&amp;A99,'03_De_nghi_thanh_toan'!$B:$B,"&lt;="&amp;EOMONTH(A99,0))</x:f>
        <x:v>357615500</x:v>
      </x:c>
      <x:c r="F99" s="16" t="n">
        <x:f>SUMIFS('03_De_nghi_thanh_toan'!$I:$I,'03_De_nghi_thanh_toan'!$D:$D,C99,'03_De_nghi_thanh_toan'!$B:$B,"&gt;="&amp;A99,'03_De_nghi_thanh_toan'!$B:$B,"&lt;="&amp;EOMONTH(A99,0),'03_De_nghi_thanh_toan'!$K:$K,"Đã thanh toán")</x:f>
        <x:v>261839600</x:v>
      </x:c>
      <x:c r="G99" s="16" t="n">
        <x:f>D99-F99</x:f>
        <x:v>-144839600</x:v>
      </x:c>
      <x:c r="H99" s="20" t="n">
        <x:f>IFERROR(F99/D99,0)</x:f>
        <x:v>2.237945299145299</x:v>
      </x:c>
      <x:c r="I99" s="12" t="str">
        <x:f>IF(H99&gt;1,"Vượt kế hoạch",IF(H99&gt;0.85,"Cần theo dõi","Trong kế hoạch"))</x:f>
        <x:v>Vượt kế hoạch</x:v>
      </x:c>
      <x:c r="J99" s="12" t="str"/>
    </x:row>
    <x:row r="100">
      <x:c r="A100" s="18" t="n">
        <x:v>46296</x:v>
      </x:c>
      <x:c r="B100" s="12" t="str">
        <x:v>Q4</x:v>
      </x:c>
      <x:c r="C100" s="12" t="str">
        <x:v>International Exchange</x:v>
      </x:c>
      <x:c r="D100" s="16" t="n">
        <x:v>119000000</x:v>
      </x:c>
      <x:c r="E100" s="16" t="n">
        <x:f>SUMIFS('03_De_nghi_thanh_toan'!$I:$I,'03_De_nghi_thanh_toan'!$D:$D,C100,'03_De_nghi_thanh_toan'!$B:$B,"&gt;="&amp;A100,'03_De_nghi_thanh_toan'!$B:$B,"&lt;="&amp;EOMONTH(A100,0))</x:f>
        <x:v>76161800</x:v>
      </x:c>
      <x:c r="F100" s="16" t="n">
        <x:f>SUMIFS('03_De_nghi_thanh_toan'!$I:$I,'03_De_nghi_thanh_toan'!$D:$D,C100,'03_De_nghi_thanh_toan'!$B:$B,"&gt;="&amp;A100,'03_De_nghi_thanh_toan'!$B:$B,"&lt;="&amp;EOMONTH(A100,0),'03_De_nghi_thanh_toan'!$K:$K,"Đã thanh toán")</x:f>
        <x:v>76161800</x:v>
      </x:c>
      <x:c r="G100" s="16" t="n">
        <x:f>D100-F100</x:f>
        <x:v>42838200</x:v>
      </x:c>
      <x:c r="H100" s="20" t="n">
        <x:f>IFERROR(F100/D100,0)</x:f>
        <x:v>0.6400151260504202</x:v>
      </x:c>
      <x:c r="I100" s="12" t="str">
        <x:f>IF(H100&gt;1,"Vượt kế hoạch",IF(H100&gt;0.85,"Cần theo dõi","Trong kế hoạch"))</x:f>
        <x:v>Trong kế hoạch</x:v>
      </x:c>
      <x:c r="J100" s="12" t="str"/>
    </x:row>
    <x:row r="101">
      <x:c r="A101" s="18" t="n">
        <x:v>46296</x:v>
      </x:c>
      <x:c r="B101" s="12" t="str">
        <x:v>Q4</x:v>
      </x:c>
      <x:c r="C101" s="12" t="str">
        <x:v>Student Wellbeing</x:v>
      </x:c>
      <x:c r="D101" s="16" t="n">
        <x:v>111000000</x:v>
      </x:c>
      <x:c r="E101" s="16" t="n">
        <x:f>SUMIFS('03_De_nghi_thanh_toan'!$I:$I,'03_De_nghi_thanh_toan'!$D:$D,C101,'03_De_nghi_thanh_toan'!$B:$B,"&gt;="&amp;A101,'03_De_nghi_thanh_toan'!$B:$B,"&lt;="&amp;EOMONTH(A101,0))</x:f>
        <x:v>46614700</x:v>
      </x:c>
      <x:c r="F101" s="16" t="n">
        <x:f>SUMIFS('03_De_nghi_thanh_toan'!$I:$I,'03_De_nghi_thanh_toan'!$D:$D,C101,'03_De_nghi_thanh_toan'!$B:$B,"&gt;="&amp;A101,'03_De_nghi_thanh_toan'!$B:$B,"&lt;="&amp;EOMONTH(A101,0),'03_De_nghi_thanh_toan'!$K:$K,"Đã thanh toán")</x:f>
        <x:v>0</x:v>
      </x:c>
      <x:c r="G101" s="16" t="n">
        <x:f>D101-F101</x:f>
        <x:v>111000000</x:v>
      </x:c>
      <x:c r="H101" s="20" t="n">
        <x:f>IFERROR(F101/D101,0)</x:f>
        <x:v>0</x:v>
      </x:c>
      <x:c r="I101" s="12" t="str">
        <x:f>IF(H101&gt;1,"Vượt kế hoạch",IF(H101&gt;0.85,"Cần theo dõi","Trong kế hoạch"))</x:f>
        <x:v>Trong kế hoạch</x:v>
      </x:c>
      <x:c r="J101" s="12" t="str"/>
    </x:row>
    <x:row r="102">
      <x:c r="A102" s="18" t="n">
        <x:v>46327</x:v>
      </x:c>
      <x:c r="B102" s="12" t="str">
        <x:v>Q4</x:v>
      </x:c>
      <x:c r="C102" s="12" t="str">
        <x:v>Orientation Week</x:v>
      </x:c>
      <x:c r="D102" s="16" t="n">
        <x:v>165000000</x:v>
      </x:c>
      <x:c r="E102" s="16" t="n">
        <x:f>SUMIFS('03_De_nghi_thanh_toan'!$I:$I,'03_De_nghi_thanh_toan'!$D:$D,C102,'03_De_nghi_thanh_toan'!$B:$B,"&gt;="&amp;A102,'03_De_nghi_thanh_toan'!$B:$B,"&lt;="&amp;EOMONTH(A102,0))</x:f>
        <x:v>129915500</x:v>
      </x:c>
      <x:c r="F102" s="16" t="n">
        <x:f>SUMIFS('03_De_nghi_thanh_toan'!$I:$I,'03_De_nghi_thanh_toan'!$D:$D,C102,'03_De_nghi_thanh_toan'!$B:$B,"&gt;="&amp;A102,'03_De_nghi_thanh_toan'!$B:$B,"&lt;="&amp;EOMONTH(A102,0),'03_De_nghi_thanh_toan'!$K:$K,"Đã thanh toán")</x:f>
        <x:v>96045400</x:v>
      </x:c>
      <x:c r="G102" s="16" t="n">
        <x:f>D102-F102</x:f>
        <x:v>68954600</x:v>
      </x:c>
      <x:c r="H102" s="20" t="n">
        <x:f>IFERROR(F102/D102,0)</x:f>
        <x:v>0.5820933333333334</x:v>
      </x:c>
      <x:c r="I102" s="12" t="str">
        <x:f>IF(H102&gt;1,"Vượt kế hoạch",IF(H102&gt;0.85,"Cần theo dõi","Trong kế hoạch"))</x:f>
        <x:v>Trong kế hoạch</x:v>
      </x:c>
      <x:c r="J102" s="12" t="str"/>
    </x:row>
    <x:row r="103">
      <x:c r="A103" s="18" t="n">
        <x:v>46327</x:v>
      </x:c>
      <x:c r="B103" s="12" t="str">
        <x:v>Q4</x:v>
      </x:c>
      <x:c r="C103" s="12" t="str">
        <x:v>Student Clubs</x:v>
      </x:c>
      <x:c r="D103" s="16" t="n">
        <x:v>218000000</x:v>
      </x:c>
      <x:c r="E103" s="16" t="n">
        <x:f>SUMIFS('03_De_nghi_thanh_toan'!$I:$I,'03_De_nghi_thanh_toan'!$D:$D,C103,'03_De_nghi_thanh_toan'!$B:$B,"&gt;="&amp;A103,'03_De_nghi_thanh_toan'!$B:$B,"&lt;="&amp;EOMONTH(A103,0))</x:f>
        <x:v>0</x:v>
      </x:c>
      <x:c r="F103" s="16" t="n">
        <x:f>SUMIFS('03_De_nghi_thanh_toan'!$I:$I,'03_De_nghi_thanh_toan'!$D:$D,C103,'03_De_nghi_thanh_toan'!$B:$B,"&gt;="&amp;A103,'03_De_nghi_thanh_toan'!$B:$B,"&lt;="&amp;EOMONTH(A103,0),'03_De_nghi_thanh_toan'!$K:$K,"Đã thanh toán")</x:f>
        <x:v>0</x:v>
      </x:c>
      <x:c r="G103" s="16" t="n">
        <x:f>D103-F103</x:f>
        <x:v>218000000</x:v>
      </x:c>
      <x:c r="H103" s="20" t="n">
        <x:f>IFERROR(F103/D103,0)</x:f>
        <x:v>0</x:v>
      </x:c>
      <x:c r="I103" s="12" t="str">
        <x:f>IF(H103&gt;1,"Vượt kế hoạch",IF(H103&gt;0.85,"Cần theo dõi","Trong kế hoạch"))</x:f>
        <x:v>Trong kế hoạch</x:v>
      </x:c>
      <x:c r="J103" s="12" t="str"/>
    </x:row>
    <x:row r="104">
      <x:c r="A104" s="18" t="n">
        <x:v>46327</x:v>
      </x:c>
      <x:c r="B104" s="12" t="str">
        <x:v>Q4</x:v>
      </x:c>
      <x:c r="C104" s="12" t="str">
        <x:v>Scholarship Program</x:v>
      </x:c>
      <x:c r="D104" s="16" t="n">
        <x:v>215000000</x:v>
      </x:c>
      <x:c r="E104" s="16" t="n">
        <x:f>SUMIFS('03_De_nghi_thanh_toan'!$I:$I,'03_De_nghi_thanh_toan'!$D:$D,C104,'03_De_nghi_thanh_toan'!$B:$B,"&gt;="&amp;A104,'03_De_nghi_thanh_toan'!$B:$B,"&lt;="&amp;EOMONTH(A104,0))</x:f>
        <x:v>133604000</x:v>
      </x:c>
      <x:c r="F104" s="16" t="n">
        <x:f>SUMIFS('03_De_nghi_thanh_toan'!$I:$I,'03_De_nghi_thanh_toan'!$D:$D,C104,'03_De_nghi_thanh_toan'!$B:$B,"&gt;="&amp;A104,'03_De_nghi_thanh_toan'!$B:$B,"&lt;="&amp;EOMONTH(A104,0),'03_De_nghi_thanh_toan'!$K:$K,"Đã thanh toán")</x:f>
        <x:v>15180000</x:v>
      </x:c>
      <x:c r="G104" s="16" t="n">
        <x:f>D104-F104</x:f>
        <x:v>199820000</x:v>
      </x:c>
      <x:c r="H104" s="20" t="n">
        <x:f>IFERROR(F104/D104,0)</x:f>
        <x:v>0.0706046511627907</x:v>
      </x:c>
      <x:c r="I104" s="12" t="str">
        <x:f>IF(H104&gt;1,"Vượt kế hoạch",IF(H104&gt;0.85,"Cần theo dõi","Trong kế hoạch"))</x:f>
        <x:v>Trong kế hoạch</x:v>
      </x:c>
      <x:c r="J104" s="12" t="str"/>
    </x:row>
    <x:row r="105">
      <x:c r="A105" s="18" t="n">
        <x:v>46327</x:v>
      </x:c>
      <x:c r="B105" s="12" t="str">
        <x:v>Q4</x:v>
      </x:c>
      <x:c r="C105" s="12" t="str">
        <x:v>Career Fair</x:v>
      </x:c>
      <x:c r="D105" s="16" t="n">
        <x:v>65000000</x:v>
      </x:c>
      <x:c r="E105" s="16" t="n">
        <x:f>SUMIFS('03_De_nghi_thanh_toan'!$I:$I,'03_De_nghi_thanh_toan'!$D:$D,C105,'03_De_nghi_thanh_toan'!$B:$B,"&gt;="&amp;A105,'03_De_nghi_thanh_toan'!$B:$B,"&lt;="&amp;EOMONTH(A105,0))</x:f>
        <x:v>98425800</x:v>
      </x:c>
      <x:c r="F105" s="16" t="n">
        <x:f>SUMIFS('03_De_nghi_thanh_toan'!$I:$I,'03_De_nghi_thanh_toan'!$D:$D,C105,'03_De_nghi_thanh_toan'!$B:$B,"&gt;="&amp;A105,'03_De_nghi_thanh_toan'!$B:$B,"&lt;="&amp;EOMONTH(A105,0),'03_De_nghi_thanh_toan'!$K:$K,"Đã thanh toán")</x:f>
        <x:v>34447600</x:v>
      </x:c>
      <x:c r="G105" s="16" t="n">
        <x:f>D105-F105</x:f>
        <x:v>30552400</x:v>
      </x:c>
      <x:c r="H105" s="20" t="n">
        <x:f>IFERROR(F105/D105,0)</x:f>
        <x:v>0.5299630769230769</x:v>
      </x:c>
      <x:c r="I105" s="12" t="str">
        <x:f>IF(H105&gt;1,"Vượt kế hoạch",IF(H105&gt;0.85,"Cần theo dõi","Trong kế hoạch"))</x:f>
        <x:v>Trong kế hoạch</x:v>
      </x:c>
      <x:c r="J105" s="12" t="str"/>
    </x:row>
    <x:row r="106">
      <x:c r="A106" s="18" t="n">
        <x:v>46327</x:v>
      </x:c>
      <x:c r="B106" s="12" t="str">
        <x:v>Q4</x:v>
      </x:c>
      <x:c r="C106" s="12" t="str">
        <x:v>Mental Health Program</x:v>
      </x:c>
      <x:c r="D106" s="16" t="n">
        <x:v>98000000</x:v>
      </x:c>
      <x:c r="E106" s="16" t="n">
        <x:f>SUMIFS('03_De_nghi_thanh_toan'!$I:$I,'03_De_nghi_thanh_toan'!$D:$D,C106,'03_De_nghi_thanh_toan'!$B:$B,"&gt;="&amp;A106,'03_De_nghi_thanh_toan'!$B:$B,"&lt;="&amp;EOMONTH(A106,0))</x:f>
        <x:v>540667600</x:v>
      </x:c>
      <x:c r="F106" s="16" t="n">
        <x:f>SUMIFS('03_De_nghi_thanh_toan'!$I:$I,'03_De_nghi_thanh_toan'!$D:$D,C106,'03_De_nghi_thanh_toan'!$B:$B,"&gt;="&amp;A106,'03_De_nghi_thanh_toan'!$B:$B,"&lt;="&amp;EOMONTH(A106,0),'03_De_nghi_thanh_toan'!$K:$K,"Đã thanh toán")</x:f>
        <x:v>119040900</x:v>
      </x:c>
      <x:c r="G106" s="16" t="n">
        <x:f>D106-F106</x:f>
        <x:v>-21040900</x:v>
      </x:c>
      <x:c r="H106" s="20" t="n">
        <x:f>IFERROR(F106/D106,0)</x:f>
        <x:v>1.2147030612244898</x:v>
      </x:c>
      <x:c r="I106" s="12" t="str">
        <x:f>IF(H106&gt;1,"Vượt kế hoạch",IF(H106&gt;0.85,"Cần theo dõi","Trong kế hoạch"))</x:f>
        <x:v>Vượt kế hoạch</x:v>
      </x:c>
      <x:c r="J106" s="12" t="str"/>
    </x:row>
    <x:row r="107">
      <x:c r="A107" s="18" t="n">
        <x:v>46327</x:v>
      </x:c>
      <x:c r="B107" s="12" t="str">
        <x:v>Q4</x:v>
      </x:c>
      <x:c r="C107" s="12" t="str">
        <x:v>Student Leadership</x:v>
      </x:c>
      <x:c r="D107" s="16" t="n">
        <x:v>74000000</x:v>
      </x:c>
      <x:c r="E107" s="16" t="n">
        <x:f>SUMIFS('03_De_nghi_thanh_toan'!$I:$I,'03_De_nghi_thanh_toan'!$D:$D,C107,'03_De_nghi_thanh_toan'!$B:$B,"&gt;="&amp;A107,'03_De_nghi_thanh_toan'!$B:$B,"&lt;="&amp;EOMONTH(A107,0))</x:f>
        <x:v>123965600</x:v>
      </x:c>
      <x:c r="F107" s="16" t="n">
        <x:f>SUMIFS('03_De_nghi_thanh_toan'!$I:$I,'03_De_nghi_thanh_toan'!$D:$D,C107,'03_De_nghi_thanh_toan'!$B:$B,"&gt;="&amp;A107,'03_De_nghi_thanh_toan'!$B:$B,"&lt;="&amp;EOMONTH(A107,0),'03_De_nghi_thanh_toan'!$K:$K,"Đã thanh toán")</x:f>
        <x:v>123965600</x:v>
      </x:c>
      <x:c r="G107" s="16" t="n">
        <x:f>D107-F107</x:f>
        <x:v>-49965600</x:v>
      </x:c>
      <x:c r="H107" s="20" t="n">
        <x:f>IFERROR(F107/D107,0)</x:f>
        <x:v>1.6752108108108108</x:v>
      </x:c>
      <x:c r="I107" s="12" t="str">
        <x:f>IF(H107&gt;1,"Vượt kế hoạch",IF(H107&gt;0.85,"Cần theo dõi","Trong kế hoạch"))</x:f>
        <x:v>Vượt kế hoạch</x:v>
      </x:c>
      <x:c r="J107" s="12" t="str"/>
    </x:row>
    <x:row r="108">
      <x:c r="A108" s="18" t="n">
        <x:v>46327</x:v>
      </x:c>
      <x:c r="B108" s="12" t="str">
        <x:v>Q4</x:v>
      </x:c>
      <x:c r="C108" s="12" t="str">
        <x:v>Community Service</x:v>
      </x:c>
      <x:c r="D108" s="16" t="n">
        <x:v>116000000</x:v>
      </x:c>
      <x:c r="E108" s="16" t="n">
        <x:f>SUMIFS('03_De_nghi_thanh_toan'!$I:$I,'03_De_nghi_thanh_toan'!$D:$D,C108,'03_De_nghi_thanh_toan'!$B:$B,"&gt;="&amp;A108,'03_De_nghi_thanh_toan'!$B:$B,"&lt;="&amp;EOMONTH(A108,0))</x:f>
        <x:v>101350700</x:v>
      </x:c>
      <x:c r="F108" s="16" t="n">
        <x:f>SUMIFS('03_De_nghi_thanh_toan'!$I:$I,'03_De_nghi_thanh_toan'!$D:$D,C108,'03_De_nghi_thanh_toan'!$B:$B,"&gt;="&amp;A108,'03_De_nghi_thanh_toan'!$B:$B,"&lt;="&amp;EOMONTH(A108,0),'03_De_nghi_thanh_toan'!$K:$K,"Đã thanh toán")</x:f>
        <x:v>0</x:v>
      </x:c>
      <x:c r="G108" s="16" t="n">
        <x:f>D108-F108</x:f>
        <x:v>116000000</x:v>
      </x:c>
      <x:c r="H108" s="20" t="n">
        <x:f>IFERROR(F108/D108,0)</x:f>
        <x:v>0</x:v>
      </x:c>
      <x:c r="I108" s="12" t="str">
        <x:f>IF(H108&gt;1,"Vượt kế hoạch",IF(H108&gt;0.85,"Cần theo dõi","Trong kế hoạch"))</x:f>
        <x:v>Trong kế hoạch</x:v>
      </x:c>
      <x:c r="J108" s="12" t="str"/>
    </x:row>
    <x:row r="109">
      <x:c r="A109" s="18" t="n">
        <x:v>46327</x:v>
      </x:c>
      <x:c r="B109" s="12" t="str">
        <x:v>Q4</x:v>
      </x:c>
      <x:c r="C109" s="12" t="str">
        <x:v>Graduation Ceremony</x:v>
      </x:c>
      <x:c r="D109" s="16" t="n">
        <x:v>153000000</x:v>
      </x:c>
      <x:c r="E109" s="16" t="n">
        <x:f>SUMIFS('03_De_nghi_thanh_toan'!$I:$I,'03_De_nghi_thanh_toan'!$D:$D,C109,'03_De_nghi_thanh_toan'!$B:$B,"&gt;="&amp;A109,'03_De_nghi_thanh_toan'!$B:$B,"&lt;="&amp;EOMONTH(A109,0))</x:f>
        <x:v>151727400</x:v>
      </x:c>
      <x:c r="F109" s="16" t="n">
        <x:f>SUMIFS('03_De_nghi_thanh_toan'!$I:$I,'03_De_nghi_thanh_toan'!$D:$D,C109,'03_De_nghi_thanh_toan'!$B:$B,"&gt;="&amp;A109,'03_De_nghi_thanh_toan'!$B:$B,"&lt;="&amp;EOMONTH(A109,0),'03_De_nghi_thanh_toan'!$K:$K,"Đã thanh toán")</x:f>
        <x:v>0</x:v>
      </x:c>
      <x:c r="G109" s="16" t="n">
        <x:f>D109-F109</x:f>
        <x:v>153000000</x:v>
      </x:c>
      <x:c r="H109" s="20" t="n">
        <x:f>IFERROR(F109/D109,0)</x:f>
        <x:v>0</x:v>
      </x:c>
      <x:c r="I109" s="12" t="str">
        <x:f>IF(H109&gt;1,"Vượt kế hoạch",IF(H109&gt;0.85,"Cần theo dõi","Trong kế hoạch"))</x:f>
        <x:v>Trong kế hoạch</x:v>
      </x:c>
      <x:c r="J109" s="12" t="str"/>
    </x:row>
    <x:row r="110">
      <x:c r="A110" s="18" t="n">
        <x:v>46327</x:v>
      </x:c>
      <x:c r="B110" s="12" t="str">
        <x:v>Q4</x:v>
      </x:c>
      <x:c r="C110" s="12" t="str">
        <x:v>International Exchange</x:v>
      </x:c>
      <x:c r="D110" s="16" t="n">
        <x:v>122000000</x:v>
      </x:c>
      <x:c r="E110" s="16" t="n">
        <x:f>SUMIFS('03_De_nghi_thanh_toan'!$I:$I,'03_De_nghi_thanh_toan'!$D:$D,C110,'03_De_nghi_thanh_toan'!$B:$B,"&gt;="&amp;A110,'03_De_nghi_thanh_toan'!$B:$B,"&lt;="&amp;EOMONTH(A110,0))</x:f>
        <x:v>42957200</x:v>
      </x:c>
      <x:c r="F110" s="16" t="n">
        <x:f>SUMIFS('03_De_nghi_thanh_toan'!$I:$I,'03_De_nghi_thanh_toan'!$D:$D,C110,'03_De_nghi_thanh_toan'!$B:$B,"&gt;="&amp;A110,'03_De_nghi_thanh_toan'!$B:$B,"&lt;="&amp;EOMONTH(A110,0),'03_De_nghi_thanh_toan'!$K:$K,"Đã thanh toán")</x:f>
        <x:v>0</x:v>
      </x:c>
      <x:c r="G110" s="16" t="n">
        <x:f>D110-F110</x:f>
        <x:v>122000000</x:v>
      </x:c>
      <x:c r="H110" s="20" t="n">
        <x:f>IFERROR(F110/D110,0)</x:f>
        <x:v>0</x:v>
      </x:c>
      <x:c r="I110" s="12" t="str">
        <x:f>IF(H110&gt;1,"Vượt kế hoạch",IF(H110&gt;0.85,"Cần theo dõi","Trong kế hoạch"))</x:f>
        <x:v>Trong kế hoạch</x:v>
      </x:c>
      <x:c r="J110" s="12" t="str"/>
    </x:row>
    <x:row r="111">
      <x:c r="A111" s="18" t="n">
        <x:v>46327</x:v>
      </x:c>
      <x:c r="B111" s="12" t="str">
        <x:v>Q4</x:v>
      </x:c>
      <x:c r="C111" s="12" t="str">
        <x:v>Student Wellbeing</x:v>
      </x:c>
      <x:c r="D111" s="16" t="n">
        <x:v>108000000</x:v>
      </x:c>
      <x:c r="E111" s="16" t="n">
        <x:f>SUMIFS('03_De_nghi_thanh_toan'!$I:$I,'03_De_nghi_thanh_toan'!$D:$D,C111,'03_De_nghi_thanh_toan'!$B:$B,"&gt;="&amp;A111,'03_De_nghi_thanh_toan'!$B:$B,"&lt;="&amp;EOMONTH(A111,0))</x:f>
        <x:v>322999600</x:v>
      </x:c>
      <x:c r="F111" s="16" t="n">
        <x:f>SUMIFS('03_De_nghi_thanh_toan'!$I:$I,'03_De_nghi_thanh_toan'!$D:$D,C111,'03_De_nghi_thanh_toan'!$B:$B,"&gt;="&amp;A111,'03_De_nghi_thanh_toan'!$B:$B,"&lt;="&amp;EOMONTH(A111,0),'03_De_nghi_thanh_toan'!$K:$K,"Đã thanh toán")</x:f>
        <x:v>0</x:v>
      </x:c>
      <x:c r="G111" s="16" t="n">
        <x:f>D111-F111</x:f>
        <x:v>108000000</x:v>
      </x:c>
      <x:c r="H111" s="20" t="n">
        <x:f>IFERROR(F111/D111,0)</x:f>
        <x:v>0</x:v>
      </x:c>
      <x:c r="I111" s="12" t="str">
        <x:f>IF(H111&gt;1,"Vượt kế hoạch",IF(H111&gt;0.85,"Cần theo dõi","Trong kế hoạch"))</x:f>
        <x:v>Trong kế hoạch</x:v>
      </x:c>
      <x:c r="J111" s="12" t="str"/>
    </x:row>
    <x:row r="112">
      <x:c r="A112" s="18" t="n">
        <x:v>46357</x:v>
      </x:c>
      <x:c r="B112" s="12" t="str">
        <x:v>Q4</x:v>
      </x:c>
      <x:c r="C112" s="12" t="str">
        <x:v>Orientation Week</x:v>
      </x:c>
      <x:c r="D112" s="16" t="n">
        <x:v>146000000</x:v>
      </x:c>
      <x:c r="E112" s="16" t="n">
        <x:f>SUMIFS('03_De_nghi_thanh_toan'!$I:$I,'03_De_nghi_thanh_toan'!$D:$D,C112,'03_De_nghi_thanh_toan'!$B:$B,"&gt;="&amp;A112,'03_De_nghi_thanh_toan'!$B:$B,"&lt;="&amp;EOMONTH(A112,0))</x:f>
        <x:v>62264400</x:v>
      </x:c>
      <x:c r="F112" s="16" t="n">
        <x:f>SUMIFS('03_De_nghi_thanh_toan'!$I:$I,'03_De_nghi_thanh_toan'!$D:$D,C112,'03_De_nghi_thanh_toan'!$B:$B,"&gt;="&amp;A112,'03_De_nghi_thanh_toan'!$B:$B,"&lt;="&amp;EOMONTH(A112,0),'03_De_nghi_thanh_toan'!$K:$K,"Đã thanh toán")</x:f>
        <x:v>0</x:v>
      </x:c>
      <x:c r="G112" s="16" t="n">
        <x:f>D112-F112</x:f>
        <x:v>146000000</x:v>
      </x:c>
      <x:c r="H112" s="20" t="n">
        <x:f>IFERROR(F112/D112,0)</x:f>
        <x:v>0</x:v>
      </x:c>
      <x:c r="I112" s="12" t="str">
        <x:f>IF(H112&gt;1,"Vượt kế hoạch",IF(H112&gt;0.85,"Cần theo dõi","Trong kế hoạch"))</x:f>
        <x:v>Trong kế hoạch</x:v>
      </x:c>
      <x:c r="J112" s="12" t="str"/>
    </x:row>
    <x:row r="113">
      <x:c r="A113" s="18" t="n">
        <x:v>46357</x:v>
      </x:c>
      <x:c r="B113" s="12" t="str">
        <x:v>Q4</x:v>
      </x:c>
      <x:c r="C113" s="12" t="str">
        <x:v>Student Clubs</x:v>
      </x:c>
      <x:c r="D113" s="16" t="n">
        <x:v>194000000</x:v>
      </x:c>
      <x:c r="E113" s="16" t="n">
        <x:f>SUMIFS('03_De_nghi_thanh_toan'!$I:$I,'03_De_nghi_thanh_toan'!$D:$D,C113,'03_De_nghi_thanh_toan'!$B:$B,"&gt;="&amp;A113,'03_De_nghi_thanh_toan'!$B:$B,"&lt;="&amp;EOMONTH(A113,0))</x:f>
        <x:v>135697300</x:v>
      </x:c>
      <x:c r="F113" s="16" t="n">
        <x:f>SUMIFS('03_De_nghi_thanh_toan'!$I:$I,'03_De_nghi_thanh_toan'!$D:$D,C113,'03_De_nghi_thanh_toan'!$B:$B,"&gt;="&amp;A113,'03_De_nghi_thanh_toan'!$B:$B,"&lt;="&amp;EOMONTH(A113,0),'03_De_nghi_thanh_toan'!$K:$K,"Đã thanh toán")</x:f>
        <x:v>70662000</x:v>
      </x:c>
      <x:c r="G113" s="16" t="n">
        <x:f>D113-F113</x:f>
        <x:v>123338000</x:v>
      </x:c>
      <x:c r="H113" s="20" t="n">
        <x:f>IFERROR(F113/D113,0)</x:f>
        <x:v>0.36423711340206183</x:v>
      </x:c>
      <x:c r="I113" s="12" t="str">
        <x:f>IF(H113&gt;1,"Vượt kế hoạch",IF(H113&gt;0.85,"Cần theo dõi","Trong kế hoạch"))</x:f>
        <x:v>Trong kế hoạch</x:v>
      </x:c>
      <x:c r="J113" s="12" t="str"/>
    </x:row>
    <x:row r="114">
      <x:c r="A114" s="18" t="n">
        <x:v>46357</x:v>
      </x:c>
      <x:c r="B114" s="12" t="str">
        <x:v>Q4</x:v>
      </x:c>
      <x:c r="C114" s="12" t="str">
        <x:v>Scholarship Program</x:v>
      </x:c>
      <x:c r="D114" s="16" t="n">
        <x:v>205000000</x:v>
      </x:c>
      <x:c r="E114" s="16" t="n">
        <x:f>SUMIFS('03_De_nghi_thanh_toan'!$I:$I,'03_De_nghi_thanh_toan'!$D:$D,C114,'03_De_nghi_thanh_toan'!$B:$B,"&gt;="&amp;A114,'03_De_nghi_thanh_toan'!$B:$B,"&lt;="&amp;EOMONTH(A114,0))</x:f>
        <x:v>0</x:v>
      </x:c>
      <x:c r="F114" s="16" t="n">
        <x:f>SUMIFS('03_De_nghi_thanh_toan'!$I:$I,'03_De_nghi_thanh_toan'!$D:$D,C114,'03_De_nghi_thanh_toan'!$B:$B,"&gt;="&amp;A114,'03_De_nghi_thanh_toan'!$B:$B,"&lt;="&amp;EOMONTH(A114,0),'03_De_nghi_thanh_toan'!$K:$K,"Đã thanh toán")</x:f>
        <x:v>0</x:v>
      </x:c>
      <x:c r="G114" s="16" t="n">
        <x:f>D114-F114</x:f>
        <x:v>205000000</x:v>
      </x:c>
      <x:c r="H114" s="20" t="n">
        <x:f>IFERROR(F114/D114,0)</x:f>
        <x:v>0</x:v>
      </x:c>
      <x:c r="I114" s="12" t="str">
        <x:f>IF(H114&gt;1,"Vượt kế hoạch",IF(H114&gt;0.85,"Cần theo dõi","Trong kế hoạch"))</x:f>
        <x:v>Trong kế hoạch</x:v>
      </x:c>
      <x:c r="J114" s="12" t="str"/>
    </x:row>
    <x:row r="115">
      <x:c r="A115" s="18" t="n">
        <x:v>46357</x:v>
      </x:c>
      <x:c r="B115" s="12" t="str">
        <x:v>Q4</x:v>
      </x:c>
      <x:c r="C115" s="12" t="str">
        <x:v>Career Fair</x:v>
      </x:c>
      <x:c r="D115" s="16" t="n">
        <x:v>62000000</x:v>
      </x:c>
      <x:c r="E115" s="16" t="n">
        <x:f>SUMIFS('03_De_nghi_thanh_toan'!$I:$I,'03_De_nghi_thanh_toan'!$D:$D,C115,'03_De_nghi_thanh_toan'!$B:$B,"&gt;="&amp;A115,'03_De_nghi_thanh_toan'!$B:$B,"&lt;="&amp;EOMONTH(A115,0))</x:f>
        <x:v>310416700</x:v>
      </x:c>
      <x:c r="F115" s="16" t="n">
        <x:f>SUMIFS('03_De_nghi_thanh_toan'!$I:$I,'03_De_nghi_thanh_toan'!$D:$D,C115,'03_De_nghi_thanh_toan'!$B:$B,"&gt;="&amp;A115,'03_De_nghi_thanh_toan'!$B:$B,"&lt;="&amp;EOMONTH(A115,0),'03_De_nghi_thanh_toan'!$K:$K,"Đã thanh toán")</x:f>
        <x:v>0</x:v>
      </x:c>
      <x:c r="G115" s="16" t="n">
        <x:f>D115-F115</x:f>
        <x:v>62000000</x:v>
      </x:c>
      <x:c r="H115" s="20" t="n">
        <x:f>IFERROR(F115/D115,0)</x:f>
        <x:v>0</x:v>
      </x:c>
      <x:c r="I115" s="12" t="str">
        <x:f>IF(H115&gt;1,"Vượt kế hoạch",IF(H115&gt;0.85,"Cần theo dõi","Trong kế hoạch"))</x:f>
        <x:v>Trong kế hoạch</x:v>
      </x:c>
      <x:c r="J115" s="12" t="str"/>
    </x:row>
    <x:row r="116">
      <x:c r="A116" s="18" t="n">
        <x:v>46357</x:v>
      </x:c>
      <x:c r="B116" s="12" t="str">
        <x:v>Q4</x:v>
      </x:c>
      <x:c r="C116" s="12" t="str">
        <x:v>Mental Health Program</x:v>
      </x:c>
      <x:c r="D116" s="16" t="n">
        <x:v>88000000</x:v>
      </x:c>
      <x:c r="E116" s="16" t="n">
        <x:f>SUMIFS('03_De_nghi_thanh_toan'!$I:$I,'03_De_nghi_thanh_toan'!$D:$D,C116,'03_De_nghi_thanh_toan'!$B:$B,"&gt;="&amp;A116,'03_De_nghi_thanh_toan'!$B:$B,"&lt;="&amp;EOMONTH(A116,0))</x:f>
        <x:v>0</x:v>
      </x:c>
      <x:c r="F116" s="16" t="n">
        <x:f>SUMIFS('03_De_nghi_thanh_toan'!$I:$I,'03_De_nghi_thanh_toan'!$D:$D,C116,'03_De_nghi_thanh_toan'!$B:$B,"&gt;="&amp;A116,'03_De_nghi_thanh_toan'!$B:$B,"&lt;="&amp;EOMONTH(A116,0),'03_De_nghi_thanh_toan'!$K:$K,"Đã thanh toán")</x:f>
        <x:v>0</x:v>
      </x:c>
      <x:c r="G116" s="16" t="n">
        <x:f>D116-F116</x:f>
        <x:v>88000000</x:v>
      </x:c>
      <x:c r="H116" s="20" t="n">
        <x:f>IFERROR(F116/D116,0)</x:f>
        <x:v>0</x:v>
      </x:c>
      <x:c r="I116" s="12" t="str">
        <x:f>IF(H116&gt;1,"Vượt kế hoạch",IF(H116&gt;0.85,"Cần theo dõi","Trong kế hoạch"))</x:f>
        <x:v>Trong kế hoạch</x:v>
      </x:c>
      <x:c r="J116" s="12" t="str"/>
    </x:row>
    <x:row r="117">
      <x:c r="A117" s="18" t="n">
        <x:v>46357</x:v>
      </x:c>
      <x:c r="B117" s="12" t="str">
        <x:v>Q4</x:v>
      </x:c>
      <x:c r="C117" s="12" t="str">
        <x:v>Student Leadership</x:v>
      </x:c>
      <x:c r="D117" s="16" t="n">
        <x:v>153000000</x:v>
      </x:c>
      <x:c r="E117" s="16" t="n">
        <x:f>SUMIFS('03_De_nghi_thanh_toan'!$I:$I,'03_De_nghi_thanh_toan'!$D:$D,C117,'03_De_nghi_thanh_toan'!$B:$B,"&gt;="&amp;A117,'03_De_nghi_thanh_toan'!$B:$B,"&lt;="&amp;EOMONTH(A117,0))</x:f>
        <x:v>44130000</x:v>
      </x:c>
      <x:c r="F117" s="16" t="n">
        <x:f>SUMIFS('03_De_nghi_thanh_toan'!$I:$I,'03_De_nghi_thanh_toan'!$D:$D,C117,'03_De_nghi_thanh_toan'!$B:$B,"&gt;="&amp;A117,'03_De_nghi_thanh_toan'!$B:$B,"&lt;="&amp;EOMONTH(A117,0),'03_De_nghi_thanh_toan'!$K:$K,"Đã thanh toán")</x:f>
        <x:v>44130000</x:v>
      </x:c>
      <x:c r="G117" s="16" t="n">
        <x:f>D117-F117</x:f>
        <x:v>108870000</x:v>
      </x:c>
      <x:c r="H117" s="20" t="n">
        <x:f>IFERROR(F117/D117,0)</x:f>
        <x:v>0.2884313725490196</x:v>
      </x:c>
      <x:c r="I117" s="12" t="str">
        <x:f>IF(H117&gt;1,"Vượt kế hoạch",IF(H117&gt;0.85,"Cần theo dõi","Trong kế hoạch"))</x:f>
        <x:v>Trong kế hoạch</x:v>
      </x:c>
      <x:c r="J117" s="12" t="str"/>
    </x:row>
    <x:row r="118">
      <x:c r="A118" s="18" t="n">
        <x:v>46357</x:v>
      </x:c>
      <x:c r="B118" s="12" t="str">
        <x:v>Q4</x:v>
      </x:c>
      <x:c r="C118" s="12" t="str">
        <x:v>Community Service</x:v>
      </x:c>
      <x:c r="D118" s="16" t="n">
        <x:v>94000000</x:v>
      </x:c>
      <x:c r="E118" s="16" t="n">
        <x:f>SUMIFS('03_De_nghi_thanh_toan'!$I:$I,'03_De_nghi_thanh_toan'!$D:$D,C118,'03_De_nghi_thanh_toan'!$B:$B,"&gt;="&amp;A118,'03_De_nghi_thanh_toan'!$B:$B,"&lt;="&amp;EOMONTH(A118,0))</x:f>
        <x:v>58811500</x:v>
      </x:c>
      <x:c r="F118" s="16" t="n">
        <x:f>SUMIFS('03_De_nghi_thanh_toan'!$I:$I,'03_De_nghi_thanh_toan'!$D:$D,C118,'03_De_nghi_thanh_toan'!$B:$B,"&gt;="&amp;A118,'03_De_nghi_thanh_toan'!$B:$B,"&lt;="&amp;EOMONTH(A118,0),'03_De_nghi_thanh_toan'!$K:$K,"Đã thanh toán")</x:f>
        <x:v>0</x:v>
      </x:c>
      <x:c r="G118" s="16" t="n">
        <x:f>D118-F118</x:f>
        <x:v>94000000</x:v>
      </x:c>
      <x:c r="H118" s="20" t="n">
        <x:f>IFERROR(F118/D118,0)</x:f>
        <x:v>0</x:v>
      </x:c>
      <x:c r="I118" s="12" t="str">
        <x:f>IF(H118&gt;1,"Vượt kế hoạch",IF(H118&gt;0.85,"Cần theo dõi","Trong kế hoạch"))</x:f>
        <x:v>Trong kế hoạch</x:v>
      </x:c>
      <x:c r="J118" s="12" t="str"/>
    </x:row>
    <x:row r="119">
      <x:c r="A119" s="18" t="n">
        <x:v>46357</x:v>
      </x:c>
      <x:c r="B119" s="12" t="str">
        <x:v>Q4</x:v>
      </x:c>
      <x:c r="C119" s="12" t="str">
        <x:v>Graduation Ceremony</x:v>
      </x:c>
      <x:c r="D119" s="16" t="n">
        <x:v>144000000</x:v>
      </x:c>
      <x:c r="E119" s="16" t="n">
        <x:f>SUMIFS('03_De_nghi_thanh_toan'!$I:$I,'03_De_nghi_thanh_toan'!$D:$D,C119,'03_De_nghi_thanh_toan'!$B:$B,"&gt;="&amp;A119,'03_De_nghi_thanh_toan'!$B:$B,"&lt;="&amp;EOMONTH(A119,0))</x:f>
        <x:v>199910700</x:v>
      </x:c>
      <x:c r="F119" s="16" t="n">
        <x:f>SUMIFS('03_De_nghi_thanh_toan'!$I:$I,'03_De_nghi_thanh_toan'!$D:$D,C119,'03_De_nghi_thanh_toan'!$B:$B,"&gt;="&amp;A119,'03_De_nghi_thanh_toan'!$B:$B,"&lt;="&amp;EOMONTH(A119,0),'03_De_nghi_thanh_toan'!$K:$K,"Đã thanh toán")</x:f>
        <x:v>0</x:v>
      </x:c>
      <x:c r="G119" s="16" t="n">
        <x:f>D119-F119</x:f>
        <x:v>144000000</x:v>
      </x:c>
      <x:c r="H119" s="20" t="n">
        <x:f>IFERROR(F119/D119,0)</x:f>
        <x:v>0</x:v>
      </x:c>
      <x:c r="I119" s="12" t="str">
        <x:f>IF(H119&gt;1,"Vượt kế hoạch",IF(H119&gt;0.85,"Cần theo dõi","Trong kế hoạch"))</x:f>
        <x:v>Trong kế hoạch</x:v>
      </x:c>
      <x:c r="J119" s="12" t="str"/>
    </x:row>
    <x:row r="120">
      <x:c r="A120" s="18" t="n">
        <x:v>46357</x:v>
      </x:c>
      <x:c r="B120" s="12" t="str">
        <x:v>Q4</x:v>
      </x:c>
      <x:c r="C120" s="12" t="str">
        <x:v>International Exchange</x:v>
      </x:c>
      <x:c r="D120" s="16" t="n">
        <x:v>164000000</x:v>
      </x:c>
      <x:c r="E120" s="16" t="n">
        <x:f>SUMIFS('03_De_nghi_thanh_toan'!$I:$I,'03_De_nghi_thanh_toan'!$D:$D,C120,'03_De_nghi_thanh_toan'!$B:$B,"&gt;="&amp;A120,'03_De_nghi_thanh_toan'!$B:$B,"&lt;="&amp;EOMONTH(A120,0))</x:f>
        <x:v>0</x:v>
      </x:c>
      <x:c r="F120" s="16" t="n">
        <x:f>SUMIFS('03_De_nghi_thanh_toan'!$I:$I,'03_De_nghi_thanh_toan'!$D:$D,C120,'03_De_nghi_thanh_toan'!$B:$B,"&gt;="&amp;A120,'03_De_nghi_thanh_toan'!$B:$B,"&lt;="&amp;EOMONTH(A120,0),'03_De_nghi_thanh_toan'!$K:$K,"Đã thanh toán")</x:f>
        <x:v>0</x:v>
      </x:c>
      <x:c r="G120" s="16" t="n">
        <x:f>D120-F120</x:f>
        <x:v>164000000</x:v>
      </x:c>
      <x:c r="H120" s="20" t="n">
        <x:f>IFERROR(F120/D120,0)</x:f>
        <x:v>0</x:v>
      </x:c>
      <x:c r="I120" s="12" t="str">
        <x:f>IF(H120&gt;1,"Vượt kế hoạch",IF(H120&gt;0.85,"Cần theo dõi","Trong kế hoạch"))</x:f>
        <x:v>Trong kế hoạch</x:v>
      </x:c>
      <x:c r="J120" s="12" t="str"/>
    </x:row>
    <x:row r="121">
      <x:c r="A121" s="18" t="n">
        <x:v>46357</x:v>
      </x:c>
      <x:c r="B121" s="12" t="str">
        <x:v>Q4</x:v>
      </x:c>
      <x:c r="C121" s="12" t="str">
        <x:v>Student Wellbeing</x:v>
      </x:c>
      <x:c r="D121" s="16" t="n">
        <x:v>172000000</x:v>
      </x:c>
      <x:c r="E121" s="16" t="n">
        <x:f>SUMIFS('03_De_nghi_thanh_toan'!$I:$I,'03_De_nghi_thanh_toan'!$D:$D,C121,'03_De_nghi_thanh_toan'!$B:$B,"&gt;="&amp;A121,'03_De_nghi_thanh_toan'!$B:$B,"&lt;="&amp;EOMONTH(A121,0))</x:f>
        <x:v>0</x:v>
      </x:c>
      <x:c r="F121" s="16" t="n">
        <x:f>SUMIFS('03_De_nghi_thanh_toan'!$I:$I,'03_De_nghi_thanh_toan'!$D:$D,C121,'03_De_nghi_thanh_toan'!$B:$B,"&gt;="&amp;A121,'03_De_nghi_thanh_toan'!$B:$B,"&lt;="&amp;EOMONTH(A121,0),'03_De_nghi_thanh_toan'!$K:$K,"Đã thanh toán")</x:f>
        <x:v>0</x:v>
      </x:c>
      <x:c r="G121" s="16" t="n">
        <x:f>D121-F121</x:f>
        <x:v>172000000</x:v>
      </x:c>
      <x:c r="H121" s="20" t="n">
        <x:f>IFERROR(F121/D121,0)</x:f>
        <x:v>0</x:v>
      </x:c>
      <x:c r="I121" s="12" t="str">
        <x:f>IF(H121&gt;1,"Vượt kế hoạch",IF(H121&gt;0.85,"Cần theo dõi","Trong kế hoạch"))</x:f>
        <x:v>Trong kế hoạch</x:v>
      </x:c>
      <x:c r="J121" s="12" t="str"/>
    </x:row>
  </x:sheetData>
  <x:conditionalFormatting sqref="I2:I121">
    <x:cfRule type="expression" dxfId="0" priority="1">
      <x:formula>I2="Vượt kế hoạch"</x:formula>
    </x:cfRule>
  </x:conditionalFormatting>
  <x:conditionalFormatting sqref="H2:H121">
    <x:cfRule type="dataBar" priority="2">
      <x:dataBar>
        <x:cfvo type="min"/>
        <x:cfvo type="max"/>
        <x:color rgb="4F81BD"/>
      </x:dataBar>
      <x:extLst>
        <x:ext xmlns:x14="http://schemas.microsoft.com/office/spreadsheetml/2009/9/main" uri="{B025F937-C7B1-47D3-B67F-A62EFF666E3E}">
          <x14:id>{710EB168-1C00-5556-E610-6EC0926E8BF8}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9e0b36d397843d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10EB168-1C00-5556-E610-6EC0926E8BF8}">
            <x14:dataBar gradient="1">
              <x14:cfvo type="min"/>
              <x14:cfvo type="max"/>
              <x14:fillColor rgb="4F81BD"/>
            </x14:dataBar>
          </x14:cfRule>
          <xm:sqref>H2:H121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.800000190734863" hidden="0" customWidth="1"/>
    <x:col min="2" max="2" width="10.5" hidden="0" customWidth="1"/>
    <x:col min="3" max="3" width="17.6299991607666" hidden="0" customWidth="1"/>
    <x:col min="4" max="4" width="18.709999084472656" hidden="0" customWidth="1"/>
    <x:col min="5" max="5" width="21.940000534057617" hidden="0" customWidth="1"/>
    <x:col min="6" max="6" width="34.04999923706055" hidden="0" customWidth="1"/>
    <x:col min="7" max="7" width="13.729999542236328" hidden="0" customWidth="1"/>
    <x:col min="8" max="8" width="7.940000057220459" hidden="0" customWidth="1"/>
    <x:col min="9" max="9" width="13.319999694824219" hidden="0" customWidth="1"/>
    <x:col min="10" max="10" width="12.649999618530273" hidden="0" customWidth="1"/>
    <x:col min="11" max="11" width="17.6299991607666" hidden="0" customWidth="1"/>
    <x:col min="12" max="12" width="14.399999618530273" hidden="0" customWidth="1"/>
    <x:col min="13" max="13" width="21.399999618530273" hidden="0" customWidth="1"/>
    <x:col min="14" max="14" width="6.059999942779541" hidden="0" customWidth="1"/>
  </x:cols>
  <x:sheetData>
    <x:row r="1">
      <x:c r="A1" s="6" t="str">
        <x:v>Mã đề nghị</x:v>
      </x:c>
      <x:c r="B1" s="6" t="str">
        <x:v>Ngày đề nghị</x:v>
      </x:c>
      <x:c r="C1" s="6" t="str">
        <x:v>Mã dự toán liên quan</x:v>
      </x:c>
      <x:c r="D1" s="6" t="str">
        <x:v>Chương trình</x:v>
      </x:c>
      <x:c r="E1" s="6" t="str">
        <x:v>Nhà cung cấp</x:v>
      </x:c>
      <x:c r="F1" s="6" t="str">
        <x:v>Nội dung thanh toán</x:v>
      </x:c>
      <x:c r="G1" s="6" t="str">
        <x:v>Giá trị trước VAT</x:v>
      </x:c>
      <x:c r="H1" s="6" t="str">
        <x:v>VAT 10%</x:v>
      </x:c>
      <x:c r="I1" s="6" t="str">
        <x:v>Tổng thanh toán</x:v>
      </x:c>
      <x:c r="J1" s="6" t="str">
        <x:v>Hạn thanh toán</x:v>
      </x:c>
      <x:c r="K1" s="6" t="str">
        <x:v>Trạng thái</x:v>
      </x:c>
      <x:c r="L1" s="6" t="str">
        <x:v>Người đề nghị</x:v>
      </x:c>
      <x:c r="M1" s="6" t="str">
        <x:v>Chứng từ</x:v>
      </x:c>
      <x:c r="N1" s="6" t="str">
        <x:v>Ghi chú</x:v>
      </x:c>
    </x:row>
    <x:row r="2">
      <x:c r="A2" s="12" t="str">
        <x:v>PR-CTSV-2026-001</x:v>
      </x:c>
      <x:c r="B2" s="22" t="n">
        <x:v>46308</x:v>
      </x:c>
      <x:c r="C2" s="12" t="str">
        <x:v>DT-CTSV-2026-062</x:v>
      </x:c>
      <x:c r="D2" s="12" t="str">
        <x:v>Career Fair</x:v>
      </x:c>
      <x:c r="E2" s="12" t="str">
        <x:v>EventPlus Vietnam</x:v>
      </x:c>
      <x:c r="F2" s="12" t="str">
        <x:v>Thanh toán Career Fair - đợt 3</x:v>
      </x:c>
      <x:c r="G2" s="16" t="n">
        <x:v>30326000</x:v>
      </x:c>
      <x:c r="H2" s="16" t="n">
        <x:f>G2*10%</x:f>
        <x:v>3032600</x:v>
      </x:c>
      <x:c r="I2" s="16" t="n">
        <x:f>G2+H2</x:f>
        <x:v>33358600</x:v>
      </x:c>
      <x:c r="J2" s="22" t="n">
        <x:v>46338</x:v>
      </x:c>
      <x:c r="K2" s="12" t="str">
        <x:v>Chờ bổ sung chứng từ</x:v>
      </x:c>
      <x:c r="L2" s="12" t="str">
        <x:v>Đỗ Hải Yến</x:v>
      </x:c>
      <x:c r="M2" s="12" t="str">
        <x:v>Đang kiểm tra</x:v>
      </x:c>
      <x:c r="N2" s="12" t="str"/>
    </x:row>
    <x:row r="3">
      <x:c r="A3" s="12" t="str">
        <x:v>PR-CTSV-2026-002</x:v>
      </x:c>
      <x:c r="B3" s="22" t="n">
        <x:v>46347</x:v>
      </x:c>
      <x:c r="C3" s="12" t="str">
        <x:v>DT-CTSV-2026-099</x:v>
      </x:c>
      <x:c r="D3" s="12" t="str">
        <x:v>Student Wellbeing</x:v>
      </x:c>
      <x:c r="E3" s="12" t="str">
        <x:v>EventPlus Vietnam</x:v>
      </x:c>
      <x:c r="F3" s="12" t="str">
        <x:v>Thanh toán Student Wellbeing - đợt 2</x:v>
      </x:c>
      <x:c r="G3" s="16" t="n">
        <x:v>117755000</x:v>
      </x:c>
      <x:c r="H3" s="16" t="n">
        <x:f>G3*10%</x:f>
        <x:v>11775500</x:v>
      </x:c>
      <x:c r="I3" s="16" t="n">
        <x:f>G3+H3</x:f>
        <x:v>129530500</x:v>
      </x:c>
      <x:c r="J3" s="22" t="n">
        <x:v>46370</x:v>
      </x:c>
      <x:c r="K3" s="12" t="str">
        <x:v>Chờ phê duyệt</x:v>
      </x:c>
      <x:c r="L3" s="12" t="str">
        <x:v>Nguyễn Minh Anh</x:v>
      </x:c>
      <x:c r="M3" s="12" t="str">
        <x:v>Đang kiểm tra</x:v>
      </x:c>
      <x:c r="N3" s="12" t="str"/>
    </x:row>
    <x:row r="4">
      <x:c r="A4" s="12" t="str">
        <x:v>PR-CTSV-2026-003</x:v>
      </x:c>
      <x:c r="B4" s="22" t="n">
        <x:v>46280</x:v>
      </x:c>
      <x:c r="C4" s="12" t="str">
        <x:v>DT-CTSV-2026-026</x:v>
      </x:c>
      <x:c r="D4" s="12" t="str">
        <x:v>Graduation Ceremony</x:v>
      </x:c>
      <x:c r="E4" s="12" t="str">
        <x:v>Community Support Center</x:v>
      </x:c>
      <x:c r="F4" s="12" t="str">
        <x:v>Thanh toán Graduation Ceremony - đợt 2</x:v>
      </x:c>
      <x:c r="G4" s="16" t="n">
        <x:v>4795000</x:v>
      </x:c>
      <x:c r="H4" s="16" t="n">
        <x:f>G4*10%</x:f>
        <x:v>479500</x:v>
      </x:c>
      <x:c r="I4" s="16" t="n">
        <x:f>G4+H4</x:f>
        <x:v>5274500</x:v>
      </x:c>
      <x:c r="J4" s="22" t="n">
        <x:v>46289</x:v>
      </x:c>
      <x:c r="K4" s="12" t="str">
        <x:v>Chờ bổ sung chứng từ</x:v>
      </x:c>
      <x:c r="L4" s="12" t="str">
        <x:v>Lê Thu Hà</x:v>
      </x:c>
      <x:c r="M4" s="12" t="str">
        <x:v>Thiếu biên bản nghiệm thu</x:v>
      </x:c>
      <x:c r="N4" s="12" t="str"/>
    </x:row>
    <x:row r="5">
      <x:c r="A5" s="12" t="str">
        <x:v>PR-CTSV-2026-004</x:v>
      </x:c>
      <x:c r="B5" s="22" t="n">
        <x:v>46329</x:v>
      </x:c>
      <x:c r="C5" s="12" t="str">
        <x:v>DT-CTSV-2026-102</x:v>
      </x:c>
      <x:c r="D5" s="12" t="str">
        <x:v>Student Wellbeing</x:v>
      </x:c>
      <x:c r="E5" s="12" t="str">
        <x:v>TravelCare</x:v>
      </x:c>
      <x:c r="F5" s="12" t="str">
        <x:v>Thanh toán Student Wellbeing - đợt 4</x:v>
      </x:c>
      <x:c r="G5" s="16" t="n">
        <x:v>102656000</x:v>
      </x:c>
      <x:c r="H5" s="16" t="n">
        <x:f>G5*10%</x:f>
        <x:v>10265600</x:v>
      </x:c>
      <x:c r="I5" s="16" t="n">
        <x:f>G5+H5</x:f>
        <x:v>112921600</x:v>
      </x:c>
      <x:c r="J5" s="22" t="n">
        <x:v>46346</x:v>
      </x:c>
      <x:c r="K5" s="12" t="str">
        <x:v>Chờ bổ sung chứng từ</x:v>
      </x:c>
      <x:c r="L5" s="12" t="str">
        <x:v>Vũ Khánh Linh</x:v>
      </x:c>
      <x:c r="M5" s="12" t="str">
        <x:v>Đầy đủ</x:v>
      </x:c>
      <x:c r="N5" s="12" t="str"/>
    </x:row>
    <x:row r="6">
      <x:c r="A6" s="12" t="str">
        <x:v>PR-CTSV-2026-005</x:v>
      </x:c>
      <x:c r="B6" s="22" t="n">
        <x:v>46133</x:v>
      </x:c>
      <x:c r="C6" s="12" t="str">
        <x:v>DT-CTSV-2026-018</x:v>
      </x:c>
      <x:c r="D6" s="12" t="str">
        <x:v>Graduation Ceremony</x:v>
      </x:c>
      <x:c r="E6" s="12" t="str">
        <x:v>Career Expo JSC</x:v>
      </x:c>
      <x:c r="F6" s="12" t="str">
        <x:v>Thanh toán Graduation Ceremony - đợt 1</x:v>
      </x:c>
      <x:c r="G6" s="16" t="n">
        <x:v>83074000</x:v>
      </x:c>
      <x:c r="H6" s="16" t="n">
        <x:f>G6*10%</x:f>
        <x:v>8307400</x:v>
      </x:c>
      <x:c r="I6" s="16" t="n">
        <x:f>G6+H6</x:f>
        <x:v>91381400</x:v>
      </x:c>
      <x:c r="J6" s="22" t="n">
        <x:v>46153</x:v>
      </x:c>
      <x:c r="K6" s="12" t="str">
        <x:v>Đã thanh toán</x:v>
      </x:c>
      <x:c r="L6" s="12" t="str">
        <x:v>Đỗ Hải Yến</x:v>
      </x:c>
      <x:c r="M6" s="12" t="str">
        <x:v>Đầy đủ</x:v>
      </x:c>
      <x:c r="N6" s="12" t="str"/>
    </x:row>
    <x:row r="7">
      <x:c r="A7" s="12" t="str">
        <x:v>PR-CTSV-2026-006</x:v>
      </x:c>
      <x:c r="B7" s="22" t="n">
        <x:v>46104</x:v>
      </x:c>
      <x:c r="C7" s="12" t="str">
        <x:v>DT-CTSV-2026-114</x:v>
      </x:c>
      <x:c r="D7" s="12" t="str">
        <x:v>Mental Health Program</x:v>
      </x:c>
      <x:c r="E7" s="12" t="str">
        <x:v>Student Life Partner</x:v>
      </x:c>
      <x:c r="F7" s="12" t="str">
        <x:v>Thanh toán Mental Health Program - đợt 1</x:v>
      </x:c>
      <x:c r="G7" s="16" t="n">
        <x:v>38037000</x:v>
      </x:c>
      <x:c r="H7" s="16" t="n">
        <x:f>0</x:f>
        <x:v>0</x:v>
      </x:c>
      <x:c r="I7" s="16" t="n">
        <x:f>G7+H7</x:f>
        <x:v>38037000</x:v>
      </x:c>
      <x:c r="J7" s="22" t="n">
        <x:v>46120</x:v>
      </x:c>
      <x:c r="K7" s="12" t="str">
        <x:v>Chờ phê duyệt</x:v>
      </x:c>
      <x:c r="L7" s="12" t="str">
        <x:v>Lê Thu Hà</x:v>
      </x:c>
      <x:c r="M7" s="12" t="str">
        <x:v>Đang kiểm tra</x:v>
      </x:c>
      <x:c r="N7" s="12" t="str"/>
    </x:row>
    <x:row r="8">
      <x:c r="A8" s="12" t="str">
        <x:v>PR-CTSV-2026-007</x:v>
      </x:c>
      <x:c r="B8" s="22" t="n">
        <x:v>46129</x:v>
      </x:c>
      <x:c r="C8" s="12" t="str">
        <x:v>DT-CTSV-2026-038</x:v>
      </x:c>
      <x:c r="D8" s="12" t="str">
        <x:v>Orientation Week</x:v>
      </x:c>
      <x:c r="E8" s="12" t="str">
        <x:v>VinUni Catering</x:v>
      </x:c>
      <x:c r="F8" s="12" t="str">
        <x:v>Thanh toán Orientation Week - đợt 2</x:v>
      </x:c>
      <x:c r="G8" s="16" t="n">
        <x:v>51210000</x:v>
      </x:c>
      <x:c r="H8" s="16" t="n">
        <x:f>G8*10%</x:f>
        <x:v>5121000</x:v>
      </x:c>
      <x:c r="I8" s="16" t="n">
        <x:f>G8+H8</x:f>
        <x:v>56331000</x:v>
      </x:c>
      <x:c r="J8" s="22" t="n">
        <x:v>46141</x:v>
      </x:c>
      <x:c r="K8" s="12" t="str">
        <x:v>Đã thanh toán</x:v>
      </x:c>
      <x:c r="L8" s="12" t="str">
        <x:v>Vũ Khánh Linh</x:v>
      </x:c>
      <x:c r="M8" s="12" t="str">
        <x:v>Đang kiểm tra</x:v>
      </x:c>
      <x:c r="N8" s="12" t="str"/>
    </x:row>
    <x:row r="9">
      <x:c r="A9" s="12" t="str">
        <x:v>PR-CTSV-2026-008</x:v>
      </x:c>
      <x:c r="B9" s="22" t="n">
        <x:v>46253</x:v>
      </x:c>
      <x:c r="C9" s="12" t="str">
        <x:v>DT-CTSV-2026-062</x:v>
      </x:c>
      <x:c r="D9" s="12" t="str">
        <x:v>Career Fair</x:v>
      </x:c>
      <x:c r="E9" s="12" t="str">
        <x:v>Viện Tâm lý Việt Nam</x:v>
      </x:c>
      <x:c r="F9" s="12" t="str">
        <x:v>Thanh toán Career Fair - đợt 4</x:v>
      </x:c>
      <x:c r="G9" s="16" t="n">
        <x:v>19744000</x:v>
      </x:c>
      <x:c r="H9" s="16" t="n">
        <x:f>G9*10%</x:f>
        <x:v>1974400</x:v>
      </x:c>
      <x:c r="I9" s="16" t="n">
        <x:f>G9+H9</x:f>
        <x:v>21718400</x:v>
      </x:c>
      <x:c r="J9" s="22" t="n">
        <x:v>46268</x:v>
      </x:c>
      <x:c r="K9" s="12" t="str">
        <x:v>Đã thanh toán</x:v>
      </x:c>
      <x:c r="L9" s="12" t="str">
        <x:v>Phạm Quang Huy</x:v>
      </x:c>
      <x:c r="M9" s="12" t="str">
        <x:v>Thiếu biên bản nghiệm thu</x:v>
      </x:c>
      <x:c r="N9" s="12" t="str"/>
    </x:row>
    <x:row r="10">
      <x:c r="A10" s="12" t="str">
        <x:v>PR-CTSV-2026-009</x:v>
      </x:c>
      <x:c r="B10" s="22" t="n">
        <x:v>46084</x:v>
      </x:c>
      <x:c r="C10" s="12" t="str">
        <x:v>DT-CTSV-2026-140</x:v>
      </x:c>
      <x:c r="D10" s="12" t="str">
        <x:v>International Exchange</x:v>
      </x:c>
      <x:c r="E10" s="12" t="str">
        <x:v>Learning Hub</x:v>
      </x:c>
      <x:c r="F10" s="12" t="str">
        <x:v>Thanh toán International Exchange - đợt 3</x:v>
      </x:c>
      <x:c r="G10" s="16" t="n">
        <x:v>54682000</x:v>
      </x:c>
      <x:c r="H10" s="16" t="n">
        <x:f>G10*10%</x:f>
        <x:v>5468200</x:v>
      </x:c>
      <x:c r="I10" s="16" t="n">
        <x:f>G10+H10</x:f>
        <x:v>60150200</x:v>
      </x:c>
      <x:c r="J10" s="22" t="n">
        <x:v>46111</x:v>
      </x:c>
      <x:c r="K10" s="12" t="str">
        <x:v>Chờ bổ sung chứng từ</x:v>
      </x:c>
      <x:c r="L10" s="12" t="str">
        <x:v>Đỗ Hải Yến</x:v>
      </x:c>
      <x:c r="M10" s="12" t="str">
        <x:v>Thiếu biên bản nghiệm thu</x:v>
      </x:c>
      <x:c r="N10" s="12" t="str"/>
    </x:row>
    <x:row r="11">
      <x:c r="A11" s="12" t="str">
        <x:v>PR-CTSV-2026-010</x:v>
      </x:c>
      <x:c r="B11" s="22" t="n">
        <x:v>46149</x:v>
      </x:c>
      <x:c r="C11" s="12" t="str">
        <x:v>DT-CTSV-2026-117</x:v>
      </x:c>
      <x:c r="D11" s="12" t="str">
        <x:v>Career Fair</x:v>
      </x:c>
      <x:c r="E11" s="12" t="str">
        <x:v>Công ty Đồng phục ABC</x:v>
      </x:c>
      <x:c r="F11" s="12" t="str">
        <x:v>Thanh toán Career Fair - đợt 2</x:v>
      </x:c>
      <x:c r="G11" s="16" t="n">
        <x:v>119926000</x:v>
      </x:c>
      <x:c r="H11" s="16" t="n">
        <x:f>G11*10%</x:f>
        <x:v>11992600</x:v>
      </x:c>
      <x:c r="I11" s="16" t="n">
        <x:f>G11+H11</x:f>
        <x:v>131918600</x:v>
      </x:c>
      <x:c r="J11" s="22" t="n">
        <x:v>46168</x:v>
      </x:c>
      <x:c r="K11" s="12" t="str">
        <x:v>Chờ phê duyệt</x:v>
      </x:c>
      <x:c r="L11" s="12" t="str">
        <x:v>Vũ Khánh Linh</x:v>
      </x:c>
      <x:c r="M11" s="12" t="str">
        <x:v>Thiếu biên bản nghiệm thu</x:v>
      </x:c>
      <x:c r="N11" s="12" t="str"/>
    </x:row>
    <x:row r="12">
      <x:c r="A12" s="12" t="str">
        <x:v>PR-CTSV-2026-011</x:v>
      </x:c>
      <x:c r="B12" s="22" t="n">
        <x:v>46044</x:v>
      </x:c>
      <x:c r="C12" s="12" t="str">
        <x:v>DT-CTSV-2026-076</x:v>
      </x:c>
      <x:c r="D12" s="12" t="str">
        <x:v>Student Wellbeing</x:v>
      </x:c>
      <x:c r="E12" s="12" t="str">
        <x:v>Community Support Center</x:v>
      </x:c>
      <x:c r="F12" s="12" t="str">
        <x:v>Thanh toán Student Wellbeing - đợt 1</x:v>
      </x:c>
      <x:c r="G12" s="16" t="n">
        <x:v>49309000</x:v>
      </x:c>
      <x:c r="H12" s="16" t="n">
        <x:f>0</x:f>
        <x:v>0</x:v>
      </x:c>
      <x:c r="I12" s="16" t="n">
        <x:f>G12+H12</x:f>
        <x:v>49309000</x:v>
      </x:c>
      <x:c r="J12" s="22" t="n">
        <x:v>46070</x:v>
      </x:c>
      <x:c r="K12" s="12" t="str">
        <x:v>Chờ bổ sung chứng từ</x:v>
      </x:c>
      <x:c r="L12" s="12" t="str">
        <x:v>Lê Thu Hà</x:v>
      </x:c>
      <x:c r="M12" s="12" t="str">
        <x:v>Thiếu hóa đơn</x:v>
      </x:c>
      <x:c r="N12" s="12" t="str"/>
    </x:row>
    <x:row r="13">
      <x:c r="A13" s="12" t="str">
        <x:v>PR-CTSV-2026-012</x:v>
      </x:c>
      <x:c r="B13" s="22" t="n">
        <x:v>46133</x:v>
      </x:c>
      <x:c r="C13" s="12" t="str">
        <x:v>DT-CTSV-2026-091</x:v>
      </x:c>
      <x:c r="D13" s="12" t="str">
        <x:v>Community Service</x:v>
      </x:c>
      <x:c r="E13" s="12" t="str">
        <x:v>Wellbeing Clinic</x:v>
      </x:c>
      <x:c r="F13" s="12" t="str">
        <x:v>Thanh toán Community Service - đợt 2</x:v>
      </x:c>
      <x:c r="G13" s="16" t="n">
        <x:v>25245000</x:v>
      </x:c>
      <x:c r="H13" s="16" t="n">
        <x:f>G13*10%</x:f>
        <x:v>2524500</x:v>
      </x:c>
      <x:c r="I13" s="16" t="n">
        <x:f>G13+H13</x:f>
        <x:v>27769500</x:v>
      </x:c>
      <x:c r="J13" s="22" t="n">
        <x:v>46160</x:v>
      </x:c>
      <x:c r="K13" s="12" t="str">
        <x:v>Đã thanh toán</x:v>
      </x:c>
      <x:c r="L13" s="12" t="str">
        <x:v>Đỗ Hải Yến</x:v>
      </x:c>
      <x:c r="M13" s="12" t="str">
        <x:v>Đầy đủ</x:v>
      </x:c>
      <x:c r="N13" s="12" t="str"/>
    </x:row>
    <x:row r="14">
      <x:c r="A14" s="12" t="str">
        <x:v>PR-CTSV-2026-013</x:v>
      </x:c>
      <x:c r="B14" s="22" t="n">
        <x:v>46236</x:v>
      </x:c>
      <x:c r="C14" s="12" t="str">
        <x:v>DT-CTSV-2026-080</x:v>
      </x:c>
      <x:c r="D14" s="12" t="str">
        <x:v>Career Fair</x:v>
      </x:c>
      <x:c r="E14" s="12" t="str">
        <x:v>Công ty Đồng phục ABC</x:v>
      </x:c>
      <x:c r="F14" s="12" t="str">
        <x:v>Thanh toán Career Fair - đợt 3</x:v>
      </x:c>
      <x:c r="G14" s="16" t="n">
        <x:v>70810000</x:v>
      </x:c>
      <x:c r="H14" s="16" t="n">
        <x:f>G14*10%</x:f>
        <x:v>7081000</x:v>
      </x:c>
      <x:c r="I14" s="16" t="n">
        <x:f>G14+H14</x:f>
        <x:v>77891000</x:v>
      </x:c>
      <x:c r="J14" s="22" t="n">
        <x:v>46253</x:v>
      </x:c>
      <x:c r="K14" s="12" t="str">
        <x:v>Chờ bổ sung chứng từ</x:v>
      </x:c>
      <x:c r="L14" s="12" t="str">
        <x:v>Trần Hoàng Nam</x:v>
      </x:c>
      <x:c r="M14" s="12" t="str">
        <x:v>Thiếu hóa đơn</x:v>
      </x:c>
      <x:c r="N14" s="12" t="str"/>
    </x:row>
    <x:row r="15">
      <x:c r="A15" s="12" t="str">
        <x:v>PR-CTSV-2026-014</x:v>
      </x:c>
      <x:c r="B15" s="22" t="n">
        <x:v>46277</x:v>
      </x:c>
      <x:c r="C15" s="12" t="str">
        <x:v>DT-CTSV-2026-034</x:v>
      </x:c>
      <x:c r="D15" s="12" t="str">
        <x:v>Community Service</x:v>
      </x:c>
      <x:c r="E15" s="12" t="str">
        <x:v>VinUni Catering</x:v>
      </x:c>
      <x:c r="F15" s="12" t="str">
        <x:v>Thanh toán Community Service - đợt 3</x:v>
      </x:c>
      <x:c r="G15" s="16" t="n">
        <x:v>65109000</x:v>
      </x:c>
      <x:c r="H15" s="16" t="n">
        <x:f>G15*10%</x:f>
        <x:v>6510900</x:v>
      </x:c>
      <x:c r="I15" s="16" t="n">
        <x:f>G15+H15</x:f>
        <x:v>71619900</x:v>
      </x:c>
      <x:c r="J15" s="22" t="n">
        <x:v>46299</x:v>
      </x:c>
      <x:c r="K15" s="12" t="str">
        <x:v>Chờ phê duyệt</x:v>
      </x:c>
      <x:c r="L15" s="12" t="str">
        <x:v>Đỗ Hải Yến</x:v>
      </x:c>
      <x:c r="M15" s="12" t="str">
        <x:v>Thiếu biên bản nghiệm thu</x:v>
      </x:c>
      <x:c r="N15" s="12" t="str"/>
    </x:row>
    <x:row r="16">
      <x:c r="A16" s="12" t="str">
        <x:v>PR-CTSV-2026-015</x:v>
      </x:c>
      <x:c r="B16" s="22" t="n">
        <x:v>46237</x:v>
      </x:c>
      <x:c r="C16" s="12" t="str">
        <x:v>DT-CTSV-2026-030</x:v>
      </x:c>
      <x:c r="D16" s="12" t="str">
        <x:v>Career Fair</x:v>
      </x:c>
      <x:c r="E16" s="12" t="str">
        <x:v>Community Support Center</x:v>
      </x:c>
      <x:c r="F16" s="12" t="str">
        <x:v>Thanh toán Career Fair - đợt 4</x:v>
      </x:c>
      <x:c r="G16" s="16" t="n">
        <x:v>19468000</x:v>
      </x:c>
      <x:c r="H16" s="16" t="n">
        <x:f>G16*10%</x:f>
        <x:v>1946800</x:v>
      </x:c>
      <x:c r="I16" s="16" t="n">
        <x:f>G16+H16</x:f>
        <x:v>21414800</x:v>
      </x:c>
      <x:c r="J16" s="22" t="n">
        <x:v>46261</x:v>
      </x:c>
      <x:c r="K16" s="12" t="str">
        <x:v>Chờ phê duyệt</x:v>
      </x:c>
      <x:c r="L16" s="12" t="str">
        <x:v>Nguyễn Minh Anh</x:v>
      </x:c>
      <x:c r="M16" s="12" t="str">
        <x:v>Đang kiểm tra</x:v>
      </x:c>
      <x:c r="N16" s="12" t="str"/>
    </x:row>
    <x:row r="17">
      <x:c r="A17" s="12" t="str">
        <x:v>PR-CTSV-2026-016</x:v>
      </x:c>
      <x:c r="B17" s="22" t="n">
        <x:v>46160</x:v>
      </x:c>
      <x:c r="C17" s="12" t="str">
        <x:v>DT-CTSV-2026-004</x:v>
      </x:c>
      <x:c r="D17" s="12" t="str">
        <x:v>Career Fair</x:v>
      </x:c>
      <x:c r="E17" s="12" t="str">
        <x:v>Wellbeing Clinic</x:v>
      </x:c>
      <x:c r="F17" s="12" t="str">
        <x:v>Thanh toán Career Fair - đợt 3</x:v>
      </x:c>
      <x:c r="G17" s="16" t="n">
        <x:v>17459000</x:v>
      </x:c>
      <x:c r="H17" s="16" t="n">
        <x:f>G17*10%</x:f>
        <x:v>1745900</x:v>
      </x:c>
      <x:c r="I17" s="16" t="n">
        <x:f>G17+H17</x:f>
        <x:v>19204900</x:v>
      </x:c>
      <x:c r="J17" s="22" t="n">
        <x:v>46185</x:v>
      </x:c>
      <x:c r="K17" s="12" t="str">
        <x:v>Chờ bổ sung chứng từ</x:v>
      </x:c>
      <x:c r="L17" s="12" t="str">
        <x:v>Đỗ Hải Yến</x:v>
      </x:c>
      <x:c r="M17" s="12" t="str">
        <x:v>Thiếu biên bản nghiệm thu</x:v>
      </x:c>
      <x:c r="N17" s="12" t="str"/>
    </x:row>
    <x:row r="18">
      <x:c r="A18" s="12" t="str">
        <x:v>PR-CTSV-2026-017</x:v>
      </x:c>
      <x:c r="B18" s="22" t="n">
        <x:v>46334</x:v>
      </x:c>
      <x:c r="C18" s="12" t="str">
        <x:v>DT-CTSV-2026-028</x:v>
      </x:c>
      <x:c r="D18" s="12" t="str">
        <x:v>Career Fair</x:v>
      </x:c>
      <x:c r="E18" s="12" t="str">
        <x:v>TravelCare</x:v>
      </x:c>
      <x:c r="F18" s="12" t="str">
        <x:v>Thanh toán Career Fair - đợt 3</x:v>
      </x:c>
      <x:c r="G18" s="16" t="n">
        <x:v>58162000</x:v>
      </x:c>
      <x:c r="H18" s="16" t="n">
        <x:f>G18*10%</x:f>
        <x:v>5816200</x:v>
      </x:c>
      <x:c r="I18" s="16" t="n">
        <x:f>G18+H18</x:f>
        <x:v>63978200</x:v>
      </x:c>
      <x:c r="J18" s="22" t="n">
        <x:v>46360</x:v>
      </x:c>
      <x:c r="K18" s="12" t="str">
        <x:v>Đã duyệt</x:v>
      </x:c>
      <x:c r="L18" s="12" t="str">
        <x:v>Đỗ Hải Yến</x:v>
      </x:c>
      <x:c r="M18" s="12" t="str">
        <x:v>Đầy đủ</x:v>
      </x:c>
      <x:c r="N18" s="12" t="str"/>
    </x:row>
    <x:row r="19">
      <x:c r="A19" s="12" t="str">
        <x:v>PR-CTSV-2026-018</x:v>
      </x:c>
      <x:c r="B19" s="22" t="n">
        <x:v>46366</x:v>
      </x:c>
      <x:c r="C19" s="12" t="str">
        <x:v>DT-CTSV-2026-119</x:v>
      </x:c>
      <x:c r="D19" s="12" t="str">
        <x:v>Graduation Ceremony</x:v>
      </x:c>
      <x:c r="E19" s="12" t="str">
        <x:v>EventPlus Vietnam</x:v>
      </x:c>
      <x:c r="F19" s="12" t="str">
        <x:v>Thanh toán Graduation Ceremony - đợt 1</x:v>
      </x:c>
      <x:c r="G19" s="16" t="n">
        <x:v>78961000</x:v>
      </x:c>
      <x:c r="H19" s="16" t="n">
        <x:f>G19*10%</x:f>
        <x:v>7896100</x:v>
      </x:c>
      <x:c r="I19" s="16" t="n">
        <x:f>G19+H19</x:f>
        <x:v>86857100</x:v>
      </x:c>
      <x:c r="J19" s="22" t="n">
        <x:v>46382</x:v>
      </x:c>
      <x:c r="K19" s="12" t="str">
        <x:v>Chờ bổ sung chứng từ</x:v>
      </x:c>
      <x:c r="L19" s="12" t="str">
        <x:v>Nguyễn Minh Anh</x:v>
      </x:c>
      <x:c r="M19" s="12" t="str">
        <x:v>Đầy đủ</x:v>
      </x:c>
      <x:c r="N19" s="12" t="str"/>
    </x:row>
    <x:row r="20">
      <x:c r="A20" s="12" t="str">
        <x:v>PR-CTSV-2026-019</x:v>
      </x:c>
      <x:c r="B20" s="22" t="n">
        <x:v>46270</x:v>
      </x:c>
      <x:c r="C20" s="12" t="str">
        <x:v>DT-CTSV-2026-061</x:v>
      </x:c>
      <x:c r="D20" s="12" t="str">
        <x:v>Orientation Week</x:v>
      </x:c>
      <x:c r="E20" s="12" t="str">
        <x:v>Wellbeing Clinic</x:v>
      </x:c>
      <x:c r="F20" s="12" t="str">
        <x:v>Thanh toán Orientation Week - đợt 4</x:v>
      </x:c>
      <x:c r="G20" s="16" t="n">
        <x:v>48471000</x:v>
      </x:c>
      <x:c r="H20" s="16" t="n">
        <x:f>G20*10%</x:f>
        <x:v>4847100</x:v>
      </x:c>
      <x:c r="I20" s="16" t="n">
        <x:f>G20+H20</x:f>
        <x:v>53318100</x:v>
      </x:c>
      <x:c r="J20" s="22" t="n">
        <x:v>46295</x:v>
      </x:c>
      <x:c r="K20" s="12" t="str">
        <x:v>Đã duyệt</x:v>
      </x:c>
      <x:c r="L20" s="12" t="str">
        <x:v>Phạm Quang Huy</x:v>
      </x:c>
      <x:c r="M20" s="12" t="str">
        <x:v>Đầy đủ</x:v>
      </x:c>
      <x:c r="N20" s="12" t="str"/>
    </x:row>
    <x:row r="21">
      <x:c r="A21" s="12" t="str">
        <x:v>PR-CTSV-2026-020</x:v>
      </x:c>
      <x:c r="B21" s="22" t="n">
        <x:v>46309</x:v>
      </x:c>
      <x:c r="C21" s="12" t="str">
        <x:v>DT-CTSV-2026-126</x:v>
      </x:c>
      <x:c r="D21" s="12" t="str">
        <x:v>Career Fair</x:v>
      </x:c>
      <x:c r="E21" s="12" t="str">
        <x:v>Wellbeing Clinic</x:v>
      </x:c>
      <x:c r="F21" s="12" t="str">
        <x:v>Thanh toán Career Fair - đợt 3</x:v>
      </x:c>
      <x:c r="G21" s="16" t="n">
        <x:v>112869000</x:v>
      </x:c>
      <x:c r="H21" s="16" t="n">
        <x:f>G21*10%</x:f>
        <x:v>11286900</x:v>
      </x:c>
      <x:c r="I21" s="16" t="n">
        <x:f>G21+H21</x:f>
        <x:v>124155900</x:v>
      </x:c>
      <x:c r="J21" s="22" t="n">
        <x:v>46322</x:v>
      </x:c>
      <x:c r="K21" s="12" t="str">
        <x:v>Chờ bổ sung chứng từ</x:v>
      </x:c>
      <x:c r="L21" s="12" t="str">
        <x:v>Phạm Quang Huy</x:v>
      </x:c>
      <x:c r="M21" s="12" t="str">
        <x:v>Thiếu hóa đơn</x:v>
      </x:c>
      <x:c r="N21" s="12" t="str"/>
    </x:row>
    <x:row r="22">
      <x:c r="A22" s="12" t="str">
        <x:v>PR-CTSV-2026-021</x:v>
      </x:c>
      <x:c r="B22" s="22" t="n">
        <x:v>46075</x:v>
      </x:c>
      <x:c r="C22" s="12" t="str">
        <x:v>DT-CTSV-2026-093</x:v>
      </x:c>
      <x:c r="D22" s="12" t="str">
        <x:v>Orientation Week</x:v>
      </x:c>
      <x:c r="E22" s="12" t="str">
        <x:v>Community Support Center</x:v>
      </x:c>
      <x:c r="F22" s="12" t="str">
        <x:v>Thanh toán Orientation Week - đợt 3</x:v>
      </x:c>
      <x:c r="G22" s="16" t="n">
        <x:v>45978000</x:v>
      </x:c>
      <x:c r="H22" s="16" t="n">
        <x:f>G22*10%</x:f>
        <x:v>4597800</x:v>
      </x:c>
      <x:c r="I22" s="16" t="n">
        <x:f>G22+H22</x:f>
        <x:v>50575800</x:v>
      </x:c>
      <x:c r="J22" s="22" t="n">
        <x:v>46083</x:v>
      </x:c>
      <x:c r="K22" s="12" t="str">
        <x:v>Chờ bổ sung chứng từ</x:v>
      </x:c>
      <x:c r="L22" s="12" t="str">
        <x:v>Lê Thu Hà</x:v>
      </x:c>
      <x:c r="M22" s="12" t="str">
        <x:v>Thiếu hóa đơn</x:v>
      </x:c>
      <x:c r="N22" s="12" t="str"/>
    </x:row>
    <x:row r="23">
      <x:c r="A23" s="12" t="str">
        <x:v>PR-CTSV-2026-022</x:v>
      </x:c>
      <x:c r="B23" s="22" t="n">
        <x:v>46237</x:v>
      </x:c>
      <x:c r="C23" s="12" t="str">
        <x:v>DT-CTSV-2026-032</x:v>
      </x:c>
      <x:c r="D23" s="12" t="str">
        <x:v>Graduation Ceremony</x:v>
      </x:c>
      <x:c r="E23" s="12" t="str">
        <x:v>Learning Hub</x:v>
      </x:c>
      <x:c r="F23" s="12" t="str">
        <x:v>Thanh toán Graduation Ceremony - đợt 1</x:v>
      </x:c>
      <x:c r="G23" s="16" t="n">
        <x:v>80543000</x:v>
      </x:c>
      <x:c r="H23" s="16" t="n">
        <x:f>G23*10%</x:f>
        <x:v>8054300</x:v>
      </x:c>
      <x:c r="I23" s="16" t="n">
        <x:f>G23+H23</x:f>
        <x:v>88597300</x:v>
      </x:c>
      <x:c r="J23" s="22" t="n">
        <x:v>46245</x:v>
      </x:c>
      <x:c r="K23" s="12" t="str">
        <x:v>Chờ phê duyệt</x:v>
      </x:c>
      <x:c r="L23" s="12" t="str">
        <x:v>Trần Hoàng Nam</x:v>
      </x:c>
      <x:c r="M23" s="12" t="str">
        <x:v>Thiếu hóa đơn</x:v>
      </x:c>
      <x:c r="N23" s="12" t="str"/>
    </x:row>
    <x:row r="24">
      <x:c r="A24" s="12" t="str">
        <x:v>PR-CTSV-2026-023</x:v>
      </x:c>
      <x:c r="B24" s="22" t="n">
        <x:v>46115</x:v>
      </x:c>
      <x:c r="C24" s="12" t="str">
        <x:v>DT-CTSV-2026-145</x:v>
      </x:c>
      <x:c r="D24" s="12" t="str">
        <x:v>Scholarship Program</x:v>
      </x:c>
      <x:c r="E24" s="12" t="str">
        <x:v>TravelCare</x:v>
      </x:c>
      <x:c r="F24" s="12" t="str">
        <x:v>Thanh toán Scholarship Program - đợt 2</x:v>
      </x:c>
      <x:c r="G24" s="16" t="n">
        <x:v>100088000</x:v>
      </x:c>
      <x:c r="H24" s="16" t="n">
        <x:f>0</x:f>
        <x:v>0</x:v>
      </x:c>
      <x:c r="I24" s="16" t="n">
        <x:f>G24+H24</x:f>
        <x:v>100088000</x:v>
      </x:c>
      <x:c r="J24" s="22" t="n">
        <x:v>46140</x:v>
      </x:c>
      <x:c r="K24" s="12" t="str">
        <x:v>Đã duyệt</x:v>
      </x:c>
      <x:c r="L24" s="12" t="str">
        <x:v>Trần Hoàng Nam</x:v>
      </x:c>
      <x:c r="M24" s="12" t="str">
        <x:v>Thiếu biên bản nghiệm thu</x:v>
      </x:c>
      <x:c r="N24" s="12" t="str"/>
    </x:row>
    <x:row r="25">
      <x:c r="A25" s="12" t="str">
        <x:v>PR-CTSV-2026-024</x:v>
      </x:c>
      <x:c r="B25" s="22" t="n">
        <x:v>46296</x:v>
      </x:c>
      <x:c r="C25" s="12" t="str">
        <x:v>DT-CTSV-2026-038</x:v>
      </x:c>
      <x:c r="D25" s="12" t="str">
        <x:v>Orientation Week</x:v>
      </x:c>
      <x:c r="E25" s="12" t="str">
        <x:v>VinUni Catering</x:v>
      </x:c>
      <x:c r="F25" s="12" t="str">
        <x:v>Thanh toán Orientation Week - đợt 3</x:v>
      </x:c>
      <x:c r="G25" s="16" t="n">
        <x:v>35441000</x:v>
      </x:c>
      <x:c r="H25" s="16" t="n">
        <x:f>G25*10%</x:f>
        <x:v>3544100</x:v>
      </x:c>
      <x:c r="I25" s="16" t="n">
        <x:f>G25+H25</x:f>
        <x:v>38985100</x:v>
      </x:c>
      <x:c r="J25" s="22" t="n">
        <x:v>46308</x:v>
      </x:c>
      <x:c r="K25" s="12" t="str">
        <x:v>Đã thanh toán</x:v>
      </x:c>
      <x:c r="L25" s="12" t="str">
        <x:v>Đỗ Hải Yến</x:v>
      </x:c>
      <x:c r="M25" s="12" t="str">
        <x:v>Đầy đủ</x:v>
      </x:c>
      <x:c r="N25" s="12" t="str"/>
    </x:row>
    <x:row r="26">
      <x:c r="A26" s="12" t="str">
        <x:v>PR-CTSV-2026-025</x:v>
      </x:c>
      <x:c r="B26" s="22" t="n">
        <x:v>46034</x:v>
      </x:c>
      <x:c r="C26" s="12" t="str">
        <x:v>DT-CTSV-2026-034</x:v>
      </x:c>
      <x:c r="D26" s="12" t="str">
        <x:v>Community Service</x:v>
      </x:c>
      <x:c r="E26" s="12" t="str">
        <x:v>Student Life Partner</x:v>
      </x:c>
      <x:c r="F26" s="12" t="str">
        <x:v>Thanh toán Community Service - đợt 1</x:v>
      </x:c>
      <x:c r="G26" s="16" t="n">
        <x:v>95428000</x:v>
      </x:c>
      <x:c r="H26" s="16" t="n">
        <x:f>G26*10%</x:f>
        <x:v>9542800</x:v>
      </x:c>
      <x:c r="I26" s="16" t="n">
        <x:f>G26+H26</x:f>
        <x:v>104970800</x:v>
      </x:c>
      <x:c r="J26" s="22" t="n">
        <x:v>46046</x:v>
      </x:c>
      <x:c r="K26" s="12" t="str">
        <x:v>Chờ phê duyệt</x:v>
      </x:c>
      <x:c r="L26" s="12" t="str">
        <x:v>Nguyễn Minh Anh</x:v>
      </x:c>
      <x:c r="M26" s="12" t="str">
        <x:v>Thiếu hóa đơn</x:v>
      </x:c>
      <x:c r="N26" s="12" t="str"/>
    </x:row>
    <x:row r="27">
      <x:c r="A27" s="12" t="str">
        <x:v>PR-CTSV-2026-026</x:v>
      </x:c>
      <x:c r="B27" s="22" t="n">
        <x:v>46269</x:v>
      </x:c>
      <x:c r="C27" s="12" t="str">
        <x:v>DT-CTSV-2026-108</x:v>
      </x:c>
      <x:c r="D27" s="12" t="str">
        <x:v>Orientation Week</x:v>
      </x:c>
      <x:c r="E27" s="12" t="str">
        <x:v>Student Life Partner</x:v>
      </x:c>
      <x:c r="F27" s="12" t="str">
        <x:v>Thanh toán Orientation Week - đợt 1</x:v>
      </x:c>
      <x:c r="G27" s="16" t="n">
        <x:v>90242000</x:v>
      </x:c>
      <x:c r="H27" s="16" t="n">
        <x:f>G27*10%</x:f>
        <x:v>9024200</x:v>
      </x:c>
      <x:c r="I27" s="16" t="n">
        <x:f>G27+H27</x:f>
        <x:v>99266200</x:v>
      </x:c>
      <x:c r="J27" s="22" t="n">
        <x:v>46290</x:v>
      </x:c>
      <x:c r="K27" s="12" t="str">
        <x:v>Đã duyệt</x:v>
      </x:c>
      <x:c r="L27" s="12" t="str">
        <x:v>Vũ Khánh Linh</x:v>
      </x:c>
      <x:c r="M27" s="12" t="str">
        <x:v>Đầy đủ</x:v>
      </x:c>
      <x:c r="N27" s="12" t="str"/>
    </x:row>
    <x:row r="28">
      <x:c r="A28" s="12" t="str">
        <x:v>PR-CTSV-2026-027</x:v>
      </x:c>
      <x:c r="B28" s="22" t="n">
        <x:v>46157</x:v>
      </x:c>
      <x:c r="C28" s="12" t="str">
        <x:v>DT-CTSV-2026-134</x:v>
      </x:c>
      <x:c r="D28" s="12" t="str">
        <x:v>Student Leadership</x:v>
      </x:c>
      <x:c r="E28" s="12" t="str">
        <x:v>IT Solutions Edu</x:v>
      </x:c>
      <x:c r="F28" s="12" t="str">
        <x:v>Thanh toán Student Leadership - đợt 4</x:v>
      </x:c>
      <x:c r="G28" s="16" t="n">
        <x:v>78270000</x:v>
      </x:c>
      <x:c r="H28" s="16" t="n">
        <x:f>0</x:f>
        <x:v>0</x:v>
      </x:c>
      <x:c r="I28" s="16" t="n">
        <x:f>G28+H28</x:f>
        <x:v>78270000</x:v>
      </x:c>
      <x:c r="J28" s="22" t="n">
        <x:v>46177</x:v>
      </x:c>
      <x:c r="K28" s="12" t="str">
        <x:v>Đã thanh toán</x:v>
      </x:c>
      <x:c r="L28" s="12" t="str">
        <x:v>Phạm Quang Huy</x:v>
      </x:c>
      <x:c r="M28" s="12" t="str">
        <x:v>Đang kiểm tra</x:v>
      </x:c>
      <x:c r="N28" s="12" t="str"/>
    </x:row>
    <x:row r="29">
      <x:c r="A29" s="12" t="str">
        <x:v>PR-CTSV-2026-028</x:v>
      </x:c>
      <x:c r="B29" s="22" t="n">
        <x:v>46064</x:v>
      </x:c>
      <x:c r="C29" s="12" t="str">
        <x:v>DT-CTSV-2026-019</x:v>
      </x:c>
      <x:c r="D29" s="12" t="str">
        <x:v>Community Service</x:v>
      </x:c>
      <x:c r="E29" s="12" t="str">
        <x:v>Viện Tâm lý Việt Nam</x:v>
      </x:c>
      <x:c r="F29" s="12" t="str">
        <x:v>Thanh toán Community Service - đợt 3</x:v>
      </x:c>
      <x:c r="G29" s="16" t="n">
        <x:v>74170000</x:v>
      </x:c>
      <x:c r="H29" s="16" t="n">
        <x:f>0</x:f>
        <x:v>0</x:v>
      </x:c>
      <x:c r="I29" s="16" t="n">
        <x:f>G29+H29</x:f>
        <x:v>74170000</x:v>
      </x:c>
      <x:c r="J29" s="22" t="n">
        <x:v>46083</x:v>
      </x:c>
      <x:c r="K29" s="12" t="str">
        <x:v>Chờ phê duyệt</x:v>
      </x:c>
      <x:c r="L29" s="12" t="str">
        <x:v>Phạm Quang Huy</x:v>
      </x:c>
      <x:c r="M29" s="12" t="str">
        <x:v>Đang kiểm tra</x:v>
      </x:c>
      <x:c r="N29" s="12" t="str"/>
    </x:row>
    <x:row r="30">
      <x:c r="A30" s="12" t="str">
        <x:v>PR-CTSV-2026-029</x:v>
      </x:c>
      <x:c r="B30" s="22" t="n">
        <x:v>46360</x:v>
      </x:c>
      <x:c r="C30" s="12" t="str">
        <x:v>DT-CTSV-2026-026</x:v>
      </x:c>
      <x:c r="D30" s="12" t="str">
        <x:v>Graduation Ceremony</x:v>
      </x:c>
      <x:c r="E30" s="12" t="str">
        <x:v>TravelCare</x:v>
      </x:c>
      <x:c r="F30" s="12" t="str">
        <x:v>Thanh toán Graduation Ceremony - đợt 2</x:v>
      </x:c>
      <x:c r="G30" s="16" t="n">
        <x:v>102776000</x:v>
      </x:c>
      <x:c r="H30" s="16" t="n">
        <x:f>G30*10%</x:f>
        <x:v>10277600</x:v>
      </x:c>
      <x:c r="I30" s="16" t="n">
        <x:f>G30+H30</x:f>
        <x:v>113053600</x:v>
      </x:c>
      <x:c r="J30" s="22" t="n">
        <x:v>46380</x:v>
      </x:c>
      <x:c r="K30" s="12" t="str">
        <x:v>Chờ bổ sung chứng từ</x:v>
      </x:c>
      <x:c r="L30" s="12" t="str">
        <x:v>Trần Hoàng Nam</x:v>
      </x:c>
      <x:c r="M30" s="12" t="str">
        <x:v>Đang kiểm tra</x:v>
      </x:c>
      <x:c r="N30" s="12" t="str"/>
    </x:row>
    <x:row r="31">
      <x:c r="A31" s="12" t="str">
        <x:v>PR-CTSV-2026-030</x:v>
      </x:c>
      <x:c r="B31" s="22" t="n">
        <x:v>46247</x:v>
      </x:c>
      <x:c r="C31" s="12" t="str">
        <x:v>DT-CTSV-2026-087</x:v>
      </x:c>
      <x:c r="D31" s="12" t="str">
        <x:v>Community Service</x:v>
      </x:c>
      <x:c r="E31" s="12" t="str">
        <x:v>PrintPro</x:v>
      </x:c>
      <x:c r="F31" s="12" t="str">
        <x:v>Thanh toán Community Service - đợt 3</x:v>
      </x:c>
      <x:c r="G31" s="16" t="n">
        <x:v>51670000</x:v>
      </x:c>
      <x:c r="H31" s="16" t="n">
        <x:f>G31*10%</x:f>
        <x:v>5167000</x:v>
      </x:c>
      <x:c r="I31" s="16" t="n">
        <x:f>G31+H31</x:f>
        <x:v>56837000</x:v>
      </x:c>
      <x:c r="J31" s="22" t="n">
        <x:v>46275</x:v>
      </x:c>
      <x:c r="K31" s="12" t="str">
        <x:v>Chờ phê duyệt</x:v>
      </x:c>
      <x:c r="L31" s="12" t="str">
        <x:v>Lê Thu Hà</x:v>
      </x:c>
      <x:c r="M31" s="12" t="str">
        <x:v>Thiếu hóa đơn</x:v>
      </x:c>
      <x:c r="N31" s="12" t="str"/>
    </x:row>
    <x:row r="32">
      <x:c r="A32" s="12" t="str">
        <x:v>PR-CTSV-2026-031</x:v>
      </x:c>
      <x:c r="B32" s="22" t="n">
        <x:v>46056</x:v>
      </x:c>
      <x:c r="C32" s="12" t="str">
        <x:v>DT-CTSV-2026-122</x:v>
      </x:c>
      <x:c r="D32" s="12" t="str">
        <x:v>Scholarship Program</x:v>
      </x:c>
      <x:c r="E32" s="12" t="str">
        <x:v>Công ty Đồng phục ABC</x:v>
      </x:c>
      <x:c r="F32" s="12" t="str">
        <x:v>Thanh toán Scholarship Program - đợt 4</x:v>
      </x:c>
      <x:c r="G32" s="16" t="n">
        <x:v>100317000</x:v>
      </x:c>
      <x:c r="H32" s="16" t="n">
        <x:f>0</x:f>
        <x:v>0</x:v>
      </x:c>
      <x:c r="I32" s="16" t="n">
        <x:f>G32+H32</x:f>
        <x:v>100317000</x:v>
      </x:c>
      <x:c r="J32" s="22" t="n">
        <x:v>46066</x:v>
      </x:c>
      <x:c r="K32" s="12" t="str">
        <x:v>Chờ phê duyệt</x:v>
      </x:c>
      <x:c r="L32" s="12" t="str">
        <x:v>Trần Hoàng Nam</x:v>
      </x:c>
      <x:c r="M32" s="12" t="str">
        <x:v>Đầy đủ</x:v>
      </x:c>
      <x:c r="N32" s="12" t="str"/>
    </x:row>
    <x:row r="33">
      <x:c r="A33" s="12" t="str">
        <x:v>PR-CTSV-2026-032</x:v>
      </x:c>
      <x:c r="B33" s="22" t="n">
        <x:v>46276</x:v>
      </x:c>
      <x:c r="C33" s="12" t="str">
        <x:v>DT-CTSV-2026-144</x:v>
      </x:c>
      <x:c r="D33" s="12" t="str">
        <x:v>Community Service</x:v>
      </x:c>
      <x:c r="E33" s="12" t="str">
        <x:v>Community Support Center</x:v>
      </x:c>
      <x:c r="F33" s="12" t="str">
        <x:v>Thanh toán Community Service - đợt 4</x:v>
      </x:c>
      <x:c r="G33" s="16" t="n">
        <x:v>81391000</x:v>
      </x:c>
      <x:c r="H33" s="16" t="n">
        <x:f>G33*10%</x:f>
        <x:v>8139100</x:v>
      </x:c>
      <x:c r="I33" s="16" t="n">
        <x:f>G33+H33</x:f>
        <x:v>89530100</x:v>
      </x:c>
      <x:c r="J33" s="22" t="n">
        <x:v>46306</x:v>
      </x:c>
      <x:c r="K33" s="12" t="str">
        <x:v>Đã thanh toán</x:v>
      </x:c>
      <x:c r="L33" s="12" t="str">
        <x:v>Lê Thu Hà</x:v>
      </x:c>
      <x:c r="M33" s="12" t="str">
        <x:v>Thiếu biên bản nghiệm thu</x:v>
      </x:c>
      <x:c r="N33" s="12" t="str"/>
    </x:row>
    <x:row r="34">
      <x:c r="A34" s="12" t="str">
        <x:v>PR-CTSV-2026-033</x:v>
      </x:c>
      <x:c r="B34" s="22" t="n">
        <x:v>46072</x:v>
      </x:c>
      <x:c r="C34" s="12" t="str">
        <x:v>DT-CTSV-2026-091</x:v>
      </x:c>
      <x:c r="D34" s="12" t="str">
        <x:v>Community Service</x:v>
      </x:c>
      <x:c r="E34" s="12" t="str">
        <x:v>IT Solutions Edu</x:v>
      </x:c>
      <x:c r="F34" s="12" t="str">
        <x:v>Thanh toán Community Service - đợt 2</x:v>
      </x:c>
      <x:c r="G34" s="16" t="n">
        <x:v>62367000</x:v>
      </x:c>
      <x:c r="H34" s="16" t="n">
        <x:f>G34*10%</x:f>
        <x:v>6236700</x:v>
      </x:c>
      <x:c r="I34" s="16" t="n">
        <x:f>G34+H34</x:f>
        <x:v>68603700</x:v>
      </x:c>
      <x:c r="J34" s="22" t="n">
        <x:v>46082</x:v>
      </x:c>
      <x:c r="K34" s="12" t="str">
        <x:v>Chờ phê duyệt</x:v>
      </x:c>
      <x:c r="L34" s="12" t="str">
        <x:v>Vũ Khánh Linh</x:v>
      </x:c>
      <x:c r="M34" s="12" t="str">
        <x:v>Thiếu biên bản nghiệm thu</x:v>
      </x:c>
      <x:c r="N34" s="12" t="str"/>
    </x:row>
    <x:row r="35">
      <x:c r="A35" s="12" t="str">
        <x:v>PR-CTSV-2026-034</x:v>
      </x:c>
      <x:c r="B35" s="22" t="n">
        <x:v>46161</x:v>
      </x:c>
      <x:c r="C35" s="12" t="str">
        <x:v>DT-CTSV-2026-030</x:v>
      </x:c>
      <x:c r="D35" s="12" t="str">
        <x:v>Career Fair</x:v>
      </x:c>
      <x:c r="E35" s="12" t="str">
        <x:v>TravelCare</x:v>
      </x:c>
      <x:c r="F35" s="12" t="str">
        <x:v>Thanh toán Career Fair - đợt 1</x:v>
      </x:c>
      <x:c r="G35" s="16" t="n">
        <x:v>29460000</x:v>
      </x:c>
      <x:c r="H35" s="16" t="n">
        <x:f>G35*10%</x:f>
        <x:v>2946000</x:v>
      </x:c>
      <x:c r="I35" s="16" t="n">
        <x:f>G35+H35</x:f>
        <x:v>32406000</x:v>
      </x:c>
      <x:c r="J35" s="22" t="n">
        <x:v>46187</x:v>
      </x:c>
      <x:c r="K35" s="12" t="str">
        <x:v>Chờ phê duyệt</x:v>
      </x:c>
      <x:c r="L35" s="12" t="str">
        <x:v>Nguyễn Minh Anh</x:v>
      </x:c>
      <x:c r="M35" s="12" t="str">
        <x:v>Thiếu hóa đơn</x:v>
      </x:c>
      <x:c r="N35" s="12" t="str"/>
    </x:row>
    <x:row r="36">
      <x:c r="A36" s="12" t="str">
        <x:v>PR-CTSV-2026-035</x:v>
      </x:c>
      <x:c r="B36" s="22" t="n">
        <x:v>46381</x:v>
      </x:c>
      <x:c r="C36" s="12" t="str">
        <x:v>DT-CTSV-2026-070</x:v>
      </x:c>
      <x:c r="D36" s="12" t="str">
        <x:v>Community Service</x:v>
      </x:c>
      <x:c r="E36" s="12" t="str">
        <x:v>EventPlus Vietnam</x:v>
      </x:c>
      <x:c r="F36" s="12" t="str">
        <x:v>Thanh toán Community Service - đợt 2</x:v>
      </x:c>
      <x:c r="G36" s="16" t="n">
        <x:v>39151000</x:v>
      </x:c>
      <x:c r="H36" s="16" t="n">
        <x:f>G36*10%</x:f>
        <x:v>3915100</x:v>
      </x:c>
      <x:c r="I36" s="16" t="n">
        <x:f>G36+H36</x:f>
        <x:v>43066100</x:v>
      </x:c>
      <x:c r="J36" s="22" t="n">
        <x:v>46392</x:v>
      </x:c>
      <x:c r="K36" s="12" t="str">
        <x:v>Chờ bổ sung chứng từ</x:v>
      </x:c>
      <x:c r="L36" s="12" t="str">
        <x:v>Nguyễn Minh Anh</x:v>
      </x:c>
      <x:c r="M36" s="12" t="str">
        <x:v>Thiếu hóa đơn</x:v>
      </x:c>
      <x:c r="N36" s="12" t="str"/>
    </x:row>
    <x:row r="37">
      <x:c r="A37" s="12" t="str">
        <x:v>PR-CTSV-2026-036</x:v>
      </x:c>
      <x:c r="B37" s="22" t="n">
        <x:v>46077</x:v>
      </x:c>
      <x:c r="C37" s="12" t="str">
        <x:v>DT-CTSV-2026-008</x:v>
      </x:c>
      <x:c r="D37" s="12" t="str">
        <x:v>International Exchange</x:v>
      </x:c>
      <x:c r="E37" s="12" t="str">
        <x:v>IT Solutions Edu</x:v>
      </x:c>
      <x:c r="F37" s="12" t="str">
        <x:v>Thanh toán International Exchange - đợt 3</x:v>
      </x:c>
      <x:c r="G37" s="16" t="n">
        <x:v>65066000</x:v>
      </x:c>
      <x:c r="H37" s="16" t="n">
        <x:f>G37*10%</x:f>
        <x:v>6506600</x:v>
      </x:c>
      <x:c r="I37" s="16" t="n">
        <x:f>G37+H37</x:f>
        <x:v>71572600</x:v>
      </x:c>
      <x:c r="J37" s="22" t="n">
        <x:v>46089</x:v>
      </x:c>
      <x:c r="K37" s="12" t="str">
        <x:v>Chờ phê duyệt</x:v>
      </x:c>
      <x:c r="L37" s="12" t="str">
        <x:v>Lê Thu Hà</x:v>
      </x:c>
      <x:c r="M37" s="12" t="str">
        <x:v>Thiếu biên bản nghiệm thu</x:v>
      </x:c>
      <x:c r="N37" s="12" t="str"/>
    </x:row>
    <x:row r="38">
      <x:c r="A38" s="12" t="str">
        <x:v>PR-CTSV-2026-037</x:v>
      </x:c>
      <x:c r="B38" s="22" t="n">
        <x:v>46298</x:v>
      </x:c>
      <x:c r="C38" s="12" t="str">
        <x:v>DT-CTSV-2026-146</x:v>
      </x:c>
      <x:c r="D38" s="12" t="str">
        <x:v>Graduation Ceremony</x:v>
      </x:c>
      <x:c r="E38" s="12" t="str">
        <x:v>Learning Hub</x:v>
      </x:c>
      <x:c r="F38" s="12" t="str">
        <x:v>Thanh toán Graduation Ceremony - đợt 1</x:v>
      </x:c>
      <x:c r="G38" s="16" t="n">
        <x:v>106351000</x:v>
      </x:c>
      <x:c r="H38" s="16" t="n">
        <x:f>G38*10%</x:f>
        <x:v>10635100</x:v>
      </x:c>
      <x:c r="I38" s="16" t="n">
        <x:f>G38+H38</x:f>
        <x:v>116986100</x:v>
      </x:c>
      <x:c r="J38" s="22" t="n">
        <x:v>46326</x:v>
      </x:c>
      <x:c r="K38" s="12" t="str">
        <x:v>Đã thanh toán</x:v>
      </x:c>
      <x:c r="L38" s="12" t="str">
        <x:v>Lê Thu Hà</x:v>
      </x:c>
      <x:c r="M38" s="12" t="str">
        <x:v>Đang kiểm tra</x:v>
      </x:c>
      <x:c r="N38" s="12" t="str"/>
    </x:row>
    <x:row r="39">
      <x:c r="A39" s="12" t="str">
        <x:v>PR-CTSV-2026-038</x:v>
      </x:c>
      <x:c r="B39" s="22" t="n">
        <x:v>46254</x:v>
      </x:c>
      <x:c r="C39" s="12" t="str">
        <x:v>DT-CTSV-2026-109</x:v>
      </x:c>
      <x:c r="D39" s="12" t="str">
        <x:v>Student Leadership</x:v>
      </x:c>
      <x:c r="E39" s="12" t="str">
        <x:v>TravelCare</x:v>
      </x:c>
      <x:c r="F39" s="12" t="str">
        <x:v>Thanh toán Student Leadership - đợt 1</x:v>
      </x:c>
      <x:c r="G39" s="16" t="n">
        <x:v>54719000</x:v>
      </x:c>
      <x:c r="H39" s="16" t="n">
        <x:f>G39*10%</x:f>
        <x:v>5471900</x:v>
      </x:c>
      <x:c r="I39" s="16" t="n">
        <x:f>G39+H39</x:f>
        <x:v>60190900</x:v>
      </x:c>
      <x:c r="J39" s="22" t="n">
        <x:v>46272</x:v>
      </x:c>
      <x:c r="K39" s="12" t="str">
        <x:v>Chờ bổ sung chứng từ</x:v>
      </x:c>
      <x:c r="L39" s="12" t="str">
        <x:v>Nguyễn Minh Anh</x:v>
      </x:c>
      <x:c r="M39" s="12" t="str">
        <x:v>Thiếu biên bản nghiệm thu</x:v>
      </x:c>
      <x:c r="N39" s="12" t="str"/>
    </x:row>
    <x:row r="40">
      <x:c r="A40" s="12" t="str">
        <x:v>PR-CTSV-2026-039</x:v>
      </x:c>
      <x:c r="B40" s="22" t="n">
        <x:v>46287</x:v>
      </x:c>
      <x:c r="C40" s="12" t="str">
        <x:v>DT-CTSV-2026-125</x:v>
      </x:c>
      <x:c r="D40" s="12" t="str">
        <x:v>Student Wellbeing</x:v>
      </x:c>
      <x:c r="E40" s="12" t="str">
        <x:v>Learning Hub</x:v>
      </x:c>
      <x:c r="F40" s="12" t="str">
        <x:v>Thanh toán Student Wellbeing - đợt 1</x:v>
      </x:c>
      <x:c r="G40" s="16" t="n">
        <x:v>39085000</x:v>
      </x:c>
      <x:c r="H40" s="16" t="n">
        <x:f>G40*10%</x:f>
        <x:v>3908500</x:v>
      </x:c>
      <x:c r="I40" s="16" t="n">
        <x:f>G40+H40</x:f>
        <x:v>42993500</x:v>
      </x:c>
      <x:c r="J40" s="22" t="n">
        <x:v>46294</x:v>
      </x:c>
      <x:c r="K40" s="12" t="str">
        <x:v>Đã duyệt</x:v>
      </x:c>
      <x:c r="L40" s="12" t="str">
        <x:v>Lê Thu Hà</x:v>
      </x:c>
      <x:c r="M40" s="12" t="str">
        <x:v>Thiếu hóa đơn</x:v>
      </x:c>
      <x:c r="N40" s="12" t="str"/>
    </x:row>
    <x:row r="41">
      <x:c r="A41" s="12" t="str">
        <x:v>PR-CTSV-2026-040</x:v>
      </x:c>
      <x:c r="B41" s="22" t="n">
        <x:v>46152</x:v>
      </x:c>
      <x:c r="C41" s="12" t="str">
        <x:v>DT-CTSV-2026-036</x:v>
      </x:c>
      <x:c r="D41" s="12" t="str">
        <x:v>Career Fair</x:v>
      </x:c>
      <x:c r="E41" s="12" t="str">
        <x:v>Wellbeing Clinic</x:v>
      </x:c>
      <x:c r="F41" s="12" t="str">
        <x:v>Thanh toán Career Fair - đợt 4</x:v>
      </x:c>
      <x:c r="G41" s="16" t="n">
        <x:v>41390000</x:v>
      </x:c>
      <x:c r="H41" s="16" t="n">
        <x:f>0</x:f>
        <x:v>0</x:v>
      </x:c>
      <x:c r="I41" s="16" t="n">
        <x:f>G41+H41</x:f>
        <x:v>41390000</x:v>
      </x:c>
      <x:c r="J41" s="22" t="n">
        <x:v>46164</x:v>
      </x:c>
      <x:c r="K41" s="12" t="str">
        <x:v>Đã duyệt</x:v>
      </x:c>
      <x:c r="L41" s="12" t="str">
        <x:v>Phạm Quang Huy</x:v>
      </x:c>
      <x:c r="M41" s="12" t="str">
        <x:v>Thiếu hóa đơn</x:v>
      </x:c>
      <x:c r="N41" s="12" t="str"/>
    </x:row>
    <x:row r="42">
      <x:c r="A42" s="12" t="str">
        <x:v>PR-CTSV-2026-041</x:v>
      </x:c>
      <x:c r="B42" s="22" t="n">
        <x:v>46287</x:v>
      </x:c>
      <x:c r="C42" s="12" t="str">
        <x:v>DT-CTSV-2026-129</x:v>
      </x:c>
      <x:c r="D42" s="12" t="str">
        <x:v>Career Fair</x:v>
      </x:c>
      <x:c r="E42" s="12" t="str">
        <x:v>Wellbeing Clinic</x:v>
      </x:c>
      <x:c r="F42" s="12" t="str">
        <x:v>Thanh toán Career Fair - đợt 1</x:v>
      </x:c>
      <x:c r="G42" s="16" t="n">
        <x:v>97325000</x:v>
      </x:c>
      <x:c r="H42" s="16" t="n">
        <x:f>0</x:f>
        <x:v>0</x:v>
      </x:c>
      <x:c r="I42" s="16" t="n">
        <x:f>G42+H42</x:f>
        <x:v>97325000</x:v>
      </x:c>
      <x:c r="J42" s="22" t="n">
        <x:v>46307</x:v>
      </x:c>
      <x:c r="K42" s="12" t="str">
        <x:v>Đã thanh toán</x:v>
      </x:c>
      <x:c r="L42" s="12" t="str">
        <x:v>Phạm Quang Huy</x:v>
      </x:c>
      <x:c r="M42" s="12" t="str">
        <x:v>Đầy đủ</x:v>
      </x:c>
      <x:c r="N42" s="12" t="str"/>
    </x:row>
    <x:row r="43">
      <x:c r="A43" s="12" t="str">
        <x:v>PR-CTSV-2026-042</x:v>
      </x:c>
      <x:c r="B43" s="22" t="n">
        <x:v>46309</x:v>
      </x:c>
      <x:c r="C43" s="12" t="str">
        <x:v>DT-CTSV-2026-081</x:v>
      </x:c>
      <x:c r="D43" s="12" t="str">
        <x:v>Student Clubs</x:v>
      </x:c>
      <x:c r="E43" s="12" t="str">
        <x:v>PrintPro</x:v>
      </x:c>
      <x:c r="F43" s="12" t="str">
        <x:v>Thanh toán Student Clubs - đợt 3</x:v>
      </x:c>
      <x:c r="G43" s="16" t="n">
        <x:v>70087000</x:v>
      </x:c>
      <x:c r="H43" s="16" t="n">
        <x:f>G43*10%</x:f>
        <x:v>7008700</x:v>
      </x:c>
      <x:c r="I43" s="16" t="n">
        <x:f>G43+H43</x:f>
        <x:v>77095700</x:v>
      </x:c>
      <x:c r="J43" s="22" t="n">
        <x:v>46319</x:v>
      </x:c>
      <x:c r="K43" s="12" t="str">
        <x:v>Chờ bổ sung chứng từ</x:v>
      </x:c>
      <x:c r="L43" s="12" t="str">
        <x:v>Nguyễn Minh Anh</x:v>
      </x:c>
      <x:c r="M43" s="12" t="str">
        <x:v>Thiếu biên bản nghiệm thu</x:v>
      </x:c>
      <x:c r="N43" s="12" t="str"/>
    </x:row>
    <x:row r="44">
      <x:c r="A44" s="12" t="str">
        <x:v>PR-CTSV-2026-043</x:v>
      </x:c>
      <x:c r="B44" s="22" t="n">
        <x:v>46310</x:v>
      </x:c>
      <x:c r="C44" s="12" t="str">
        <x:v>DT-CTSV-2026-044</x:v>
      </x:c>
      <x:c r="D44" s="12" t="str">
        <x:v>Orientation Week</x:v>
      </x:c>
      <x:c r="E44" s="12" t="str">
        <x:v>Công ty Đồng phục ABC</x:v>
      </x:c>
      <x:c r="F44" s="12" t="str">
        <x:v>Thanh toán Orientation Week - đợt 4</x:v>
      </x:c>
      <x:c r="G44" s="16" t="n">
        <x:v>100347000</x:v>
      </x:c>
      <x:c r="H44" s="16" t="n">
        <x:f>G44*10%</x:f>
        <x:v>10034700</x:v>
      </x:c>
      <x:c r="I44" s="16" t="n">
        <x:f>G44+H44</x:f>
        <x:v>110381700</x:v>
      </x:c>
      <x:c r="J44" s="22" t="n">
        <x:v>46320</x:v>
      </x:c>
      <x:c r="K44" s="12" t="str">
        <x:v>Đã duyệt</x:v>
      </x:c>
      <x:c r="L44" s="12" t="str">
        <x:v>Phạm Quang Huy</x:v>
      </x:c>
      <x:c r="M44" s="12" t="str">
        <x:v>Đang kiểm tra</x:v>
      </x:c>
      <x:c r="N44" s="12" t="str"/>
    </x:row>
    <x:row r="45">
      <x:c r="A45" s="12" t="str">
        <x:v>PR-CTSV-2026-044</x:v>
      </x:c>
      <x:c r="B45" s="22" t="n">
        <x:v>46066</x:v>
      </x:c>
      <x:c r="C45" s="12" t="str">
        <x:v>DT-CTSV-2026-135</x:v>
      </x:c>
      <x:c r="D45" s="12" t="str">
        <x:v>Orientation Week</x:v>
      </x:c>
      <x:c r="E45" s="12" t="str">
        <x:v>Career Expo JSC</x:v>
      </x:c>
      <x:c r="F45" s="12" t="str">
        <x:v>Thanh toán Orientation Week - đợt 3</x:v>
      </x:c>
      <x:c r="G45" s="16" t="n">
        <x:v>104851000</x:v>
      </x:c>
      <x:c r="H45" s="16" t="n">
        <x:f>G45*10%</x:f>
        <x:v>10485100</x:v>
      </x:c>
      <x:c r="I45" s="16" t="n">
        <x:f>G45+H45</x:f>
        <x:v>115336100</x:v>
      </x:c>
      <x:c r="J45" s="22" t="n">
        <x:v>46078</x:v>
      </x:c>
      <x:c r="K45" s="12" t="str">
        <x:v>Đã thanh toán</x:v>
      </x:c>
      <x:c r="L45" s="12" t="str">
        <x:v>Vũ Khánh Linh</x:v>
      </x:c>
      <x:c r="M45" s="12" t="str">
        <x:v>Đầy đủ</x:v>
      </x:c>
      <x:c r="N45" s="12" t="str"/>
    </x:row>
    <x:row r="46">
      <x:c r="A46" s="12" t="str">
        <x:v>PR-CTSV-2026-045</x:v>
      </x:c>
      <x:c r="B46" s="22" t="n">
        <x:v>46272</x:v>
      </x:c>
      <x:c r="C46" s="12" t="str">
        <x:v>DT-CTSV-2026-136</x:v>
      </x:c>
      <x:c r="D46" s="12" t="str">
        <x:v>Graduation Ceremony</x:v>
      </x:c>
      <x:c r="E46" s="12" t="str">
        <x:v>Wellbeing Clinic</x:v>
      </x:c>
      <x:c r="F46" s="12" t="str">
        <x:v>Thanh toán Graduation Ceremony - đợt 2</x:v>
      </x:c>
      <x:c r="G46" s="16" t="n">
        <x:v>108992000</x:v>
      </x:c>
      <x:c r="H46" s="16" t="n">
        <x:f>G46*10%</x:f>
        <x:v>10899200</x:v>
      </x:c>
      <x:c r="I46" s="16" t="n">
        <x:f>G46+H46</x:f>
        <x:v>119891200</x:v>
      </x:c>
      <x:c r="J46" s="22" t="n">
        <x:v>46286</x:v>
      </x:c>
      <x:c r="K46" s="12" t="str">
        <x:v>Đã thanh toán</x:v>
      </x:c>
      <x:c r="L46" s="12" t="str">
        <x:v>Trần Hoàng Nam</x:v>
      </x:c>
      <x:c r="M46" s="12" t="str">
        <x:v>Thiếu biên bản nghiệm thu</x:v>
      </x:c>
      <x:c r="N46" s="12" t="str"/>
    </x:row>
    <x:row r="47">
      <x:c r="A47" s="12" t="str">
        <x:v>PR-CTSV-2026-046</x:v>
      </x:c>
      <x:c r="B47" s="22" t="n">
        <x:v>46101</x:v>
      </x:c>
      <x:c r="C47" s="12" t="str">
        <x:v>DT-CTSV-2026-051</x:v>
      </x:c>
      <x:c r="D47" s="12" t="str">
        <x:v>Mental Health Program</x:v>
      </x:c>
      <x:c r="E47" s="12" t="str">
        <x:v>Công ty Đồng phục ABC</x:v>
      </x:c>
      <x:c r="F47" s="12" t="str">
        <x:v>Thanh toán Mental Health Program - đợt 2</x:v>
      </x:c>
      <x:c r="G47" s="16" t="n">
        <x:v>20885000</x:v>
      </x:c>
      <x:c r="H47" s="16" t="n">
        <x:f>G47*10%</x:f>
        <x:v>2088500</x:v>
      </x:c>
      <x:c r="I47" s="16" t="n">
        <x:f>G47+H47</x:f>
        <x:v>22973500</x:v>
      </x:c>
      <x:c r="J47" s="22" t="n">
        <x:v>46128</x:v>
      </x:c>
      <x:c r="K47" s="12" t="str">
        <x:v>Chờ bổ sung chứng từ</x:v>
      </x:c>
      <x:c r="L47" s="12" t="str">
        <x:v>Phạm Quang Huy</x:v>
      </x:c>
      <x:c r="M47" s="12" t="str">
        <x:v>Đang kiểm tra</x:v>
      </x:c>
      <x:c r="N47" s="12" t="str"/>
    </x:row>
    <x:row r="48">
      <x:c r="A48" s="12" t="str">
        <x:v>PR-CTSV-2026-047</x:v>
      </x:c>
      <x:c r="B48" s="22" t="n">
        <x:v>46347</x:v>
      </x:c>
      <x:c r="C48" s="12" t="str">
        <x:v>DT-CTSV-2026-145</x:v>
      </x:c>
      <x:c r="D48" s="12" t="str">
        <x:v>Scholarship Program</x:v>
      </x:c>
      <x:c r="E48" s="12" t="str">
        <x:v>Student Life Partner</x:v>
      </x:c>
      <x:c r="F48" s="12" t="str">
        <x:v>Thanh toán Scholarship Program - đợt 3</x:v>
      </x:c>
      <x:c r="G48" s="16" t="n">
        <x:v>118424000</x:v>
      </x:c>
      <x:c r="H48" s="16" t="n">
        <x:f>0</x:f>
        <x:v>0</x:v>
      </x:c>
      <x:c r="I48" s="16" t="n">
        <x:f>G48+H48</x:f>
        <x:v>118424000</x:v>
      </x:c>
      <x:c r="J48" s="22" t="n">
        <x:v>46358</x:v>
      </x:c>
      <x:c r="K48" s="12" t="str">
        <x:v>Chờ bổ sung chứng từ</x:v>
      </x:c>
      <x:c r="L48" s="12" t="str">
        <x:v>Nguyễn Minh Anh</x:v>
      </x:c>
      <x:c r="M48" s="12" t="str">
        <x:v>Đang kiểm tra</x:v>
      </x:c>
      <x:c r="N48" s="12" t="str"/>
    </x:row>
    <x:row r="49">
      <x:c r="A49" s="12" t="str">
        <x:v>PR-CTSV-2026-048</x:v>
      </x:c>
      <x:c r="B49" s="22" t="n">
        <x:v>46336</x:v>
      </x:c>
      <x:c r="C49" s="12" t="str">
        <x:v>DT-CTSV-2026-114</x:v>
      </x:c>
      <x:c r="D49" s="12" t="str">
        <x:v>Mental Health Program</x:v>
      </x:c>
      <x:c r="E49" s="12" t="str">
        <x:v>Student Life Partner</x:v>
      </x:c>
      <x:c r="F49" s="12" t="str">
        <x:v>Thanh toán Mental Health Program - đợt 1</x:v>
      </x:c>
      <x:c r="G49" s="16" t="n">
        <x:v>96170000</x:v>
      </x:c>
      <x:c r="H49" s="16" t="n">
        <x:f>G49*10%</x:f>
        <x:v>9617000</x:v>
      </x:c>
      <x:c r="I49" s="16" t="n">
        <x:f>G49+H49</x:f>
        <x:v>105787000</x:v>
      </x:c>
      <x:c r="J49" s="22" t="n">
        <x:v>46352</x:v>
      </x:c>
      <x:c r="K49" s="12" t="str">
        <x:v>Chờ bổ sung chứng từ</x:v>
      </x:c>
      <x:c r="L49" s="12" t="str">
        <x:v>Phạm Quang Huy</x:v>
      </x:c>
      <x:c r="M49" s="12" t="str">
        <x:v>Đầy đủ</x:v>
      </x:c>
      <x:c r="N49" s="12" t="str"/>
    </x:row>
    <x:row r="50">
      <x:c r="A50" s="12" t="str">
        <x:v>PR-CTSV-2026-049</x:v>
      </x:c>
      <x:c r="B50" s="22" t="n">
        <x:v>46183</x:v>
      </x:c>
      <x:c r="C50" s="12" t="str">
        <x:v>DT-CTSV-2026-015</x:v>
      </x:c>
      <x:c r="D50" s="12" t="str">
        <x:v>Student Leadership</x:v>
      </x:c>
      <x:c r="E50" s="12" t="str">
        <x:v>Công ty Đồng phục ABC</x:v>
      </x:c>
      <x:c r="F50" s="12" t="str">
        <x:v>Thanh toán Student Leadership - đợt 4</x:v>
      </x:c>
      <x:c r="G50" s="16" t="n">
        <x:v>11977000</x:v>
      </x:c>
      <x:c r="H50" s="16" t="n">
        <x:f>G50*10%</x:f>
        <x:v>1197700</x:v>
      </x:c>
      <x:c r="I50" s="16" t="n">
        <x:f>G50+H50</x:f>
        <x:v>13174700</x:v>
      </x:c>
      <x:c r="J50" s="22" t="n">
        <x:v>46204</x:v>
      </x:c>
      <x:c r="K50" s="12" t="str">
        <x:v>Đã thanh toán</x:v>
      </x:c>
      <x:c r="L50" s="12" t="str">
        <x:v>Phạm Quang Huy</x:v>
      </x:c>
      <x:c r="M50" s="12" t="str">
        <x:v>Thiếu hóa đơn</x:v>
      </x:c>
      <x:c r="N50" s="12" t="str"/>
    </x:row>
    <x:row r="51">
      <x:c r="A51" s="12" t="str">
        <x:v>PR-CTSV-2026-050</x:v>
      </x:c>
      <x:c r="B51" s="22" t="n">
        <x:v>46311</x:v>
      </x:c>
      <x:c r="C51" s="12" t="str">
        <x:v>DT-CTSV-2026-083</x:v>
      </x:c>
      <x:c r="D51" s="12" t="str">
        <x:v>Graduation Ceremony</x:v>
      </x:c>
      <x:c r="E51" s="12" t="str">
        <x:v>IT Solutions Edu</x:v>
      </x:c>
      <x:c r="F51" s="12" t="str">
        <x:v>Thanh toán Graduation Ceremony - đợt 1</x:v>
      </x:c>
      <x:c r="G51" s="16" t="n">
        <x:v>61659000</x:v>
      </x:c>
      <x:c r="H51" s="16" t="n">
        <x:f>G51*10%</x:f>
        <x:v>6165900</x:v>
      </x:c>
      <x:c r="I51" s="16" t="n">
        <x:f>G51+H51</x:f>
        <x:v>67824900</x:v>
      </x:c>
      <x:c r="J51" s="22" t="n">
        <x:v>46328</x:v>
      </x:c>
      <x:c r="K51" s="12" t="str">
        <x:v>Đã thanh toán</x:v>
      </x:c>
      <x:c r="L51" s="12" t="str">
        <x:v>Vũ Khánh Linh</x:v>
      </x:c>
      <x:c r="M51" s="12" t="str">
        <x:v>Thiếu hóa đơn</x:v>
      </x:c>
      <x:c r="N51" s="12" t="str"/>
    </x:row>
    <x:row r="52">
      <x:c r="A52" s="12" t="str">
        <x:v>PR-CTSV-2026-051</x:v>
      </x:c>
      <x:c r="B52" s="22" t="n">
        <x:v>46135</x:v>
      </x:c>
      <x:c r="C52" s="12" t="str">
        <x:v>DT-CTSV-2026-011</x:v>
      </x:c>
      <x:c r="D52" s="12" t="str">
        <x:v>Student Leadership</x:v>
      </x:c>
      <x:c r="E52" s="12" t="str">
        <x:v>TravelCare</x:v>
      </x:c>
      <x:c r="F52" s="12" t="str">
        <x:v>Thanh toán Student Leadership - đợt 2</x:v>
      </x:c>
      <x:c r="G52" s="16" t="n">
        <x:v>54217000</x:v>
      </x:c>
      <x:c r="H52" s="16" t="n">
        <x:f>G52*10%</x:f>
        <x:v>5421700</x:v>
      </x:c>
      <x:c r="I52" s="16" t="n">
        <x:f>G52+H52</x:f>
        <x:v>59638700</x:v>
      </x:c>
      <x:c r="J52" s="22" t="n">
        <x:v>46153</x:v>
      </x:c>
      <x:c r="K52" s="12" t="str">
        <x:v>Chờ phê duyệt</x:v>
      </x:c>
      <x:c r="L52" s="12" t="str">
        <x:v>Lê Thu Hà</x:v>
      </x:c>
      <x:c r="M52" s="12" t="str">
        <x:v>Đang kiểm tra</x:v>
      </x:c>
      <x:c r="N52" s="12" t="str"/>
    </x:row>
    <x:row r="53">
      <x:c r="A53" s="12" t="str">
        <x:v>PR-CTSV-2026-052</x:v>
      </x:c>
      <x:c r="B53" s="22" t="n">
        <x:v>46195</x:v>
      </x:c>
      <x:c r="C53" s="12" t="str">
        <x:v>DT-CTSV-2026-105</x:v>
      </x:c>
      <x:c r="D53" s="12" t="str">
        <x:v>International Exchange</x:v>
      </x:c>
      <x:c r="E53" s="12" t="str">
        <x:v>Community Support Center</x:v>
      </x:c>
      <x:c r="F53" s="12" t="str">
        <x:v>Thanh toán International Exchange - đợt 3</x:v>
      </x:c>
      <x:c r="G53" s="16" t="n">
        <x:v>72952000</x:v>
      </x:c>
      <x:c r="H53" s="16" t="n">
        <x:f>G53*10%</x:f>
        <x:v>7295200</x:v>
      </x:c>
      <x:c r="I53" s="16" t="n">
        <x:f>G53+H53</x:f>
        <x:v>80247200</x:v>
      </x:c>
      <x:c r="J53" s="22" t="n">
        <x:v>46204</x:v>
      </x:c>
      <x:c r="K53" s="12" t="str">
        <x:v>Chờ phê duyệt</x:v>
      </x:c>
      <x:c r="L53" s="12" t="str">
        <x:v>Nguyễn Minh Anh</x:v>
      </x:c>
      <x:c r="M53" s="12" t="str">
        <x:v>Đang kiểm tra</x:v>
      </x:c>
      <x:c r="N53" s="12" t="str"/>
    </x:row>
    <x:row r="54">
      <x:c r="A54" s="12" t="str">
        <x:v>PR-CTSV-2026-053</x:v>
      </x:c>
      <x:c r="B54" s="22" t="n">
        <x:v>46166</x:v>
      </x:c>
      <x:c r="C54" s="12" t="str">
        <x:v>DT-CTSV-2026-073</x:v>
      </x:c>
      <x:c r="D54" s="12" t="str">
        <x:v>Student Wellbeing</x:v>
      </x:c>
      <x:c r="E54" s="12" t="str">
        <x:v>Learning Hub</x:v>
      </x:c>
      <x:c r="F54" s="12" t="str">
        <x:v>Thanh toán Student Wellbeing - đợt 2</x:v>
      </x:c>
      <x:c r="G54" s="16" t="n">
        <x:v>102633000</x:v>
      </x:c>
      <x:c r="H54" s="16" t="n">
        <x:f>G54*10%</x:f>
        <x:v>10263300</x:v>
      </x:c>
      <x:c r="I54" s="16" t="n">
        <x:f>G54+H54</x:f>
        <x:v>112896300</x:v>
      </x:c>
      <x:c r="J54" s="22" t="n">
        <x:v>46183</x:v>
      </x:c>
      <x:c r="K54" s="12" t="str">
        <x:v>Đã thanh toán</x:v>
      </x:c>
      <x:c r="L54" s="12" t="str">
        <x:v>Vũ Khánh Linh</x:v>
      </x:c>
      <x:c r="M54" s="12" t="str">
        <x:v>Thiếu hóa đơn</x:v>
      </x:c>
      <x:c r="N54" s="12" t="str"/>
    </x:row>
    <x:row r="55">
      <x:c r="A55" s="12" t="str">
        <x:v>PR-CTSV-2026-054</x:v>
      </x:c>
      <x:c r="B55" s="22" t="n">
        <x:v>46163</x:v>
      </x:c>
      <x:c r="C55" s="12" t="str">
        <x:v>DT-CTSV-2026-090</x:v>
      </x:c>
      <x:c r="D55" s="12" t="str">
        <x:v>International Exchange</x:v>
      </x:c>
      <x:c r="E55" s="12" t="str">
        <x:v>Learning Hub</x:v>
      </x:c>
      <x:c r="F55" s="12" t="str">
        <x:v>Thanh toán International Exchange - đợt 1</x:v>
      </x:c>
      <x:c r="G55" s="16" t="n">
        <x:v>84722000</x:v>
      </x:c>
      <x:c r="H55" s="16" t="n">
        <x:f>G55*10%</x:f>
        <x:v>8472200</x:v>
      </x:c>
      <x:c r="I55" s="16" t="n">
        <x:f>G55+H55</x:f>
        <x:v>93194200</x:v>
      </x:c>
      <x:c r="J55" s="22" t="n">
        <x:v>46179</x:v>
      </x:c>
      <x:c r="K55" s="12" t="str">
        <x:v>Chờ bổ sung chứng từ</x:v>
      </x:c>
      <x:c r="L55" s="12" t="str">
        <x:v>Đỗ Hải Yến</x:v>
      </x:c>
      <x:c r="M55" s="12" t="str">
        <x:v>Thiếu biên bản nghiệm thu</x:v>
      </x:c>
      <x:c r="N55" s="12" t="str"/>
    </x:row>
    <x:row r="56">
      <x:c r="A56" s="12" t="str">
        <x:v>PR-CTSV-2026-055</x:v>
      </x:c>
      <x:c r="B56" s="22" t="n">
        <x:v>46349</x:v>
      </x:c>
      <x:c r="C56" s="12" t="str">
        <x:v>DT-CTSV-2026-033</x:v>
      </x:c>
      <x:c r="D56" s="12" t="str">
        <x:v>Graduation Ceremony</x:v>
      </x:c>
      <x:c r="E56" s="12" t="str">
        <x:v>Community Support Center</x:v>
      </x:c>
      <x:c r="F56" s="12" t="str">
        <x:v>Thanh toán Graduation Ceremony - đợt 1</x:v>
      </x:c>
      <x:c r="G56" s="16" t="n">
        <x:v>99988000</x:v>
      </x:c>
      <x:c r="H56" s="16" t="n">
        <x:f>G56*10%</x:f>
        <x:v>9998800</x:v>
      </x:c>
      <x:c r="I56" s="16" t="n">
        <x:f>G56+H56</x:f>
        <x:v>109986800</x:v>
      </x:c>
      <x:c r="J56" s="22" t="n">
        <x:v>46376</x:v>
      </x:c>
      <x:c r="K56" s="12" t="str">
        <x:v>Chờ bổ sung chứng từ</x:v>
      </x:c>
      <x:c r="L56" s="12" t="str">
        <x:v>Vũ Khánh Linh</x:v>
      </x:c>
      <x:c r="M56" s="12" t="str">
        <x:v>Thiếu biên bản nghiệm thu</x:v>
      </x:c>
      <x:c r="N56" s="12" t="str"/>
    </x:row>
    <x:row r="57">
      <x:c r="A57" s="12" t="str">
        <x:v>PR-CTSV-2026-056</x:v>
      </x:c>
      <x:c r="B57" s="22" t="n">
        <x:v>46183</x:v>
      </x:c>
      <x:c r="C57" s="12" t="str">
        <x:v>DT-CTSV-2026-005</x:v>
      </x:c>
      <x:c r="D57" s="12" t="str">
        <x:v>Community Service</x:v>
      </x:c>
      <x:c r="E57" s="12" t="str">
        <x:v>IT Solutions Edu</x:v>
      </x:c>
      <x:c r="F57" s="12" t="str">
        <x:v>Thanh toán Community Service - đợt 2</x:v>
      </x:c>
      <x:c r="G57" s="16" t="n">
        <x:v>24090000</x:v>
      </x:c>
      <x:c r="H57" s="16" t="n">
        <x:f>G57*10%</x:f>
        <x:v>2409000</x:v>
      </x:c>
      <x:c r="I57" s="16" t="n">
        <x:f>G57+H57</x:f>
        <x:v>26499000</x:v>
      </x:c>
      <x:c r="J57" s="22" t="n">
        <x:v>46197</x:v>
      </x:c>
      <x:c r="K57" s="12" t="str">
        <x:v>Đã duyệt</x:v>
      </x:c>
      <x:c r="L57" s="12" t="str">
        <x:v>Trần Hoàng Nam</x:v>
      </x:c>
      <x:c r="M57" s="12" t="str">
        <x:v>Đầy đủ</x:v>
      </x:c>
      <x:c r="N57" s="12" t="str"/>
    </x:row>
    <x:row r="58">
      <x:c r="A58" s="12" t="str">
        <x:v>PR-CTSV-2026-057</x:v>
      </x:c>
      <x:c r="B58" s="22" t="n">
        <x:v>46070</x:v>
      </x:c>
      <x:c r="C58" s="12" t="str">
        <x:v>DT-CTSV-2026-076</x:v>
      </x:c>
      <x:c r="D58" s="12" t="str">
        <x:v>Student Wellbeing</x:v>
      </x:c>
      <x:c r="E58" s="12" t="str">
        <x:v>TravelCare</x:v>
      </x:c>
      <x:c r="F58" s="12" t="str">
        <x:v>Thanh toán Student Wellbeing - đợt 1</x:v>
      </x:c>
      <x:c r="G58" s="16" t="n">
        <x:v>93192000</x:v>
      </x:c>
      <x:c r="H58" s="16" t="n">
        <x:f>G58*10%</x:f>
        <x:v>9319200</x:v>
      </x:c>
      <x:c r="I58" s="16" t="n">
        <x:f>G58+H58</x:f>
        <x:v>102511200</x:v>
      </x:c>
      <x:c r="J58" s="22" t="n">
        <x:v>46098</x:v>
      </x:c>
      <x:c r="K58" s="12" t="str">
        <x:v>Chờ phê duyệt</x:v>
      </x:c>
      <x:c r="L58" s="12" t="str">
        <x:v>Vũ Khánh Linh</x:v>
      </x:c>
      <x:c r="M58" s="12" t="str">
        <x:v>Thiếu hóa đơn</x:v>
      </x:c>
      <x:c r="N58" s="12" t="str"/>
    </x:row>
    <x:row r="59">
      <x:c r="A59" s="12" t="str">
        <x:v>PR-CTSV-2026-058</x:v>
      </x:c>
      <x:c r="B59" s="22" t="n">
        <x:v>46087</x:v>
      </x:c>
      <x:c r="C59" s="12" t="str">
        <x:v>DT-CTSV-2026-097</x:v>
      </x:c>
      <x:c r="D59" s="12" t="str">
        <x:v>Career Fair</x:v>
      </x:c>
      <x:c r="E59" s="12" t="str">
        <x:v>Learning Hub</x:v>
      </x:c>
      <x:c r="F59" s="12" t="str">
        <x:v>Thanh toán Career Fair - đợt 2</x:v>
      </x:c>
      <x:c r="G59" s="16" t="n">
        <x:v>24158000</x:v>
      </x:c>
      <x:c r="H59" s="16" t="n">
        <x:f>G59*10%</x:f>
        <x:v>2415800</x:v>
      </x:c>
      <x:c r="I59" s="16" t="n">
        <x:f>G59+H59</x:f>
        <x:v>26573800</x:v>
      </x:c>
      <x:c r="J59" s="22" t="n">
        <x:v>46117</x:v>
      </x:c>
      <x:c r="K59" s="12" t="str">
        <x:v>Chờ bổ sung chứng từ</x:v>
      </x:c>
      <x:c r="L59" s="12" t="str">
        <x:v>Nguyễn Minh Anh</x:v>
      </x:c>
      <x:c r="M59" s="12" t="str">
        <x:v>Đang kiểm tra</x:v>
      </x:c>
      <x:c r="N59" s="12" t="str"/>
    </x:row>
    <x:row r="60">
      <x:c r="A60" s="12" t="str">
        <x:v>PR-CTSV-2026-059</x:v>
      </x:c>
      <x:c r="B60" s="22" t="n">
        <x:v>46350</x:v>
      </x:c>
      <x:c r="C60" s="12" t="str">
        <x:v>DT-CTSV-2026-094</x:v>
      </x:c>
      <x:c r="D60" s="12" t="str">
        <x:v>Orientation Week</x:v>
      </x:c>
      <x:c r="E60" s="12" t="str">
        <x:v>Viện Tâm lý Việt Nam</x:v>
      </x:c>
      <x:c r="F60" s="12" t="str">
        <x:v>Thanh toán Orientation Week - đợt 4</x:v>
      </x:c>
      <x:c r="G60" s="16" t="n">
        <x:v>30791000</x:v>
      </x:c>
      <x:c r="H60" s="16" t="n">
        <x:f>G60*10%</x:f>
        <x:v>3079100</x:v>
      </x:c>
      <x:c r="I60" s="16" t="n">
        <x:f>G60+H60</x:f>
        <x:v>33870100</x:v>
      </x:c>
      <x:c r="J60" s="22" t="n">
        <x:v>46364</x:v>
      </x:c>
      <x:c r="K60" s="12" t="str">
        <x:v>Đã duyệt</x:v>
      </x:c>
      <x:c r="L60" s="12" t="str">
        <x:v>Lê Thu Hà</x:v>
      </x:c>
      <x:c r="M60" s="12" t="str">
        <x:v>Đang kiểm tra</x:v>
      </x:c>
      <x:c r="N60" s="12" t="str"/>
    </x:row>
    <x:row r="61">
      <x:c r="A61" s="12" t="str">
        <x:v>PR-CTSV-2026-060</x:v>
      </x:c>
      <x:c r="B61" s="22" t="n">
        <x:v>46195</x:v>
      </x:c>
      <x:c r="C61" s="12" t="str">
        <x:v>DT-CTSV-2026-050</x:v>
      </x:c>
      <x:c r="D61" s="12" t="str">
        <x:v>Student Clubs</x:v>
      </x:c>
      <x:c r="E61" s="12" t="str">
        <x:v>IT Solutions Edu</x:v>
      </x:c>
      <x:c r="F61" s="12" t="str">
        <x:v>Thanh toán Student Clubs - đợt 3</x:v>
      </x:c>
      <x:c r="G61" s="16" t="n">
        <x:v>113814000</x:v>
      </x:c>
      <x:c r="H61" s="16" t="n">
        <x:f>G61*10%</x:f>
        <x:v>11381400</x:v>
      </x:c>
      <x:c r="I61" s="16" t="n">
        <x:f>G61+H61</x:f>
        <x:v>125195400</x:v>
      </x:c>
      <x:c r="J61" s="22" t="n">
        <x:v>46214</x:v>
      </x:c>
      <x:c r="K61" s="12" t="str">
        <x:v>Chờ bổ sung chứng từ</x:v>
      </x:c>
      <x:c r="L61" s="12" t="str">
        <x:v>Trần Hoàng Nam</x:v>
      </x:c>
      <x:c r="M61" s="12" t="str">
        <x:v>Thiếu hóa đơn</x:v>
      </x:c>
      <x:c r="N61" s="12" t="str"/>
    </x:row>
    <x:row r="62">
      <x:c r="A62" s="12" t="str">
        <x:v>PR-CTSV-2026-061</x:v>
      </x:c>
      <x:c r="B62" s="22" t="n">
        <x:v>46144</x:v>
      </x:c>
      <x:c r="C62" s="12" t="str">
        <x:v>DT-CTSV-2026-036</x:v>
      </x:c>
      <x:c r="D62" s="12" t="str">
        <x:v>Career Fair</x:v>
      </x:c>
      <x:c r="E62" s="12" t="str">
        <x:v>TravelCare</x:v>
      </x:c>
      <x:c r="F62" s="12" t="str">
        <x:v>Thanh toán Career Fair - đợt 1</x:v>
      </x:c>
      <x:c r="G62" s="16" t="n">
        <x:v>78017000</x:v>
      </x:c>
      <x:c r="H62" s="16" t="n">
        <x:f>G62*10%</x:f>
        <x:v>7801700</x:v>
      </x:c>
      <x:c r="I62" s="16" t="n">
        <x:f>G62+H62</x:f>
        <x:v>85818700</x:v>
      </x:c>
      <x:c r="J62" s="22" t="n">
        <x:v>46173</x:v>
      </x:c>
      <x:c r="K62" s="12" t="str">
        <x:v>Đã thanh toán</x:v>
      </x:c>
      <x:c r="L62" s="12" t="str">
        <x:v>Lê Thu Hà</x:v>
      </x:c>
      <x:c r="M62" s="12" t="str">
        <x:v>Đầy đủ</x:v>
      </x:c>
      <x:c r="N62" s="12" t="str"/>
    </x:row>
    <x:row r="63">
      <x:c r="A63" s="12" t="str">
        <x:v>PR-CTSV-2026-062</x:v>
      </x:c>
      <x:c r="B63" s="22" t="n">
        <x:v>46157</x:v>
      </x:c>
      <x:c r="C63" s="12" t="str">
        <x:v>DT-CTSV-2026-042</x:v>
      </x:c>
      <x:c r="D63" s="12" t="str">
        <x:v>Career Fair</x:v>
      </x:c>
      <x:c r="E63" s="12" t="str">
        <x:v>PrintPro</x:v>
      </x:c>
      <x:c r="F63" s="12" t="str">
        <x:v>Thanh toán Career Fair - đợt 1</x:v>
      </x:c>
      <x:c r="G63" s="16" t="n">
        <x:v>108920000</x:v>
      </x:c>
      <x:c r="H63" s="16" t="n">
        <x:f>G63*10%</x:f>
        <x:v>10892000</x:v>
      </x:c>
      <x:c r="I63" s="16" t="n">
        <x:f>G63+H63</x:f>
        <x:v>119812000</x:v>
      </x:c>
      <x:c r="J63" s="22" t="n">
        <x:v>46171</x:v>
      </x:c>
      <x:c r="K63" s="12" t="str">
        <x:v>Chờ bổ sung chứng từ</x:v>
      </x:c>
      <x:c r="L63" s="12" t="str">
        <x:v>Lê Thu Hà</x:v>
      </x:c>
      <x:c r="M63" s="12" t="str">
        <x:v>Đầy đủ</x:v>
      </x:c>
      <x:c r="N63" s="12" t="str"/>
    </x:row>
    <x:row r="64">
      <x:c r="A64" s="12" t="str">
        <x:v>PR-CTSV-2026-063</x:v>
      </x:c>
      <x:c r="B64" s="22" t="n">
        <x:v>46035</x:v>
      </x:c>
      <x:c r="C64" s="12" t="str">
        <x:v>DT-CTSV-2026-107</x:v>
      </x:c>
      <x:c r="D64" s="12" t="str">
        <x:v>Mental Health Program</x:v>
      </x:c>
      <x:c r="E64" s="12" t="str">
        <x:v>Công ty Đồng phục ABC</x:v>
      </x:c>
      <x:c r="F64" s="12" t="str">
        <x:v>Thanh toán Mental Health Program - đợt 3</x:v>
      </x:c>
      <x:c r="G64" s="16" t="n">
        <x:v>61734000</x:v>
      </x:c>
      <x:c r="H64" s="16" t="n">
        <x:f>G64*10%</x:f>
        <x:v>6173400</x:v>
      </x:c>
      <x:c r="I64" s="16" t="n">
        <x:f>G64+H64</x:f>
        <x:v>67907400</x:v>
      </x:c>
      <x:c r="J64" s="22" t="n">
        <x:v>46049</x:v>
      </x:c>
      <x:c r="K64" s="12" t="str">
        <x:v>Đã thanh toán</x:v>
      </x:c>
      <x:c r="L64" s="12" t="str">
        <x:v>Lê Thu Hà</x:v>
      </x:c>
      <x:c r="M64" s="12" t="str">
        <x:v>Đầy đủ</x:v>
      </x:c>
      <x:c r="N64" s="12" t="str"/>
    </x:row>
    <x:row r="65">
      <x:c r="A65" s="12" t="str">
        <x:v>PR-CTSV-2026-064</x:v>
      </x:c>
      <x:c r="B65" s="22" t="n">
        <x:v>46086</x:v>
      </x:c>
      <x:c r="C65" s="12" t="str">
        <x:v>DT-CTSV-2026-086</x:v>
      </x:c>
      <x:c r="D65" s="12" t="str">
        <x:v>Scholarship Program</x:v>
      </x:c>
      <x:c r="E65" s="12" t="str">
        <x:v>IT Solutions Edu</x:v>
      </x:c>
      <x:c r="F65" s="12" t="str">
        <x:v>Thanh toán Scholarship Program - đợt 2</x:v>
      </x:c>
      <x:c r="G65" s="16" t="n">
        <x:v>7481000</x:v>
      </x:c>
      <x:c r="H65" s="16" t="n">
        <x:f>0</x:f>
        <x:v>0</x:v>
      </x:c>
      <x:c r="I65" s="16" t="n">
        <x:f>G65+H65</x:f>
        <x:v>7481000</x:v>
      </x:c>
      <x:c r="J65" s="22" t="n">
        <x:v>46115</x:v>
      </x:c>
      <x:c r="K65" s="12" t="str">
        <x:v>Chờ bổ sung chứng từ</x:v>
      </x:c>
      <x:c r="L65" s="12" t="str">
        <x:v>Phạm Quang Huy</x:v>
      </x:c>
      <x:c r="M65" s="12" t="str">
        <x:v>Đầy đủ</x:v>
      </x:c>
      <x:c r="N65" s="12" t="str"/>
    </x:row>
    <x:row r="66">
      <x:c r="A66" s="12" t="str">
        <x:v>PR-CTSV-2026-065</x:v>
      </x:c>
      <x:c r="B66" s="22" t="n">
        <x:v>46031</x:v>
      </x:c>
      <x:c r="C66" s="12" t="str">
        <x:v>DT-CTSV-2026-021</x:v>
      </x:c>
      <x:c r="D66" s="12" t="str">
        <x:v>Student Leadership</x:v>
      </x:c>
      <x:c r="E66" s="12" t="str">
        <x:v>Wellbeing Clinic</x:v>
      </x:c>
      <x:c r="F66" s="12" t="str">
        <x:v>Thanh toán Student Leadership - đợt 4</x:v>
      </x:c>
      <x:c r="G66" s="16" t="n">
        <x:v>28231000</x:v>
      </x:c>
      <x:c r="H66" s="16" t="n">
        <x:f>G66*10%</x:f>
        <x:v>2823100</x:v>
      </x:c>
      <x:c r="I66" s="16" t="n">
        <x:f>G66+H66</x:f>
        <x:v>31054100</x:v>
      </x:c>
      <x:c r="J66" s="22" t="n">
        <x:v>46041</x:v>
      </x:c>
      <x:c r="K66" s="12" t="str">
        <x:v>Chờ phê duyệt</x:v>
      </x:c>
      <x:c r="L66" s="12" t="str">
        <x:v>Trần Hoàng Nam</x:v>
      </x:c>
      <x:c r="M66" s="12" t="str">
        <x:v>Thiếu biên bản nghiệm thu</x:v>
      </x:c>
      <x:c r="N66" s="12" t="str"/>
    </x:row>
    <x:row r="67">
      <x:c r="A67" s="12" t="str">
        <x:v>PR-CTSV-2026-066</x:v>
      </x:c>
      <x:c r="B67" s="22" t="n">
        <x:v>46030</x:v>
      </x:c>
      <x:c r="C67" s="12" t="str">
        <x:v>DT-CTSV-2026-032</x:v>
      </x:c>
      <x:c r="D67" s="12" t="str">
        <x:v>Graduation Ceremony</x:v>
      </x:c>
      <x:c r="E67" s="12" t="str">
        <x:v>IT Solutions Edu</x:v>
      </x:c>
      <x:c r="F67" s="12" t="str">
        <x:v>Thanh toán Graduation Ceremony - đợt 1</x:v>
      </x:c>
      <x:c r="G67" s="16" t="n">
        <x:v>52119000</x:v>
      </x:c>
      <x:c r="H67" s="16" t="n">
        <x:f>G67*10%</x:f>
        <x:v>5211900</x:v>
      </x:c>
      <x:c r="I67" s="16" t="n">
        <x:f>G67+H67</x:f>
        <x:v>57330900</x:v>
      </x:c>
      <x:c r="J67" s="22" t="n">
        <x:v>46040</x:v>
      </x:c>
      <x:c r="K67" s="12" t="str">
        <x:v>Chờ bổ sung chứng từ</x:v>
      </x:c>
      <x:c r="L67" s="12" t="str">
        <x:v>Vũ Khánh Linh</x:v>
      </x:c>
      <x:c r="M67" s="12" t="str">
        <x:v>Đầy đủ</x:v>
      </x:c>
      <x:c r="N67" s="12" t="str"/>
    </x:row>
    <x:row r="68">
      <x:c r="A68" s="12" t="str">
        <x:v>PR-CTSV-2026-067</x:v>
      </x:c>
      <x:c r="B68" s="22" t="n">
        <x:v>46303</x:v>
      </x:c>
      <x:c r="C68" s="12" t="str">
        <x:v>DT-CTSV-2026-132</x:v>
      </x:c>
      <x:c r="D68" s="12" t="str">
        <x:v>Graduation Ceremony</x:v>
      </x:c>
      <x:c r="E68" s="12" t="str">
        <x:v>EventPlus Vietnam</x:v>
      </x:c>
      <x:c r="F68" s="12" t="str">
        <x:v>Thanh toán Graduation Ceremony - đợt 3</x:v>
      </x:c>
      <x:c r="G68" s="16" t="n">
        <x:v>87069000</x:v>
      </x:c>
      <x:c r="H68" s="16" t="n">
        <x:f>G68*10%</x:f>
        <x:v>8706900</x:v>
      </x:c>
      <x:c r="I68" s="16" t="n">
        <x:f>G68+H68</x:f>
        <x:v>95775900</x:v>
      </x:c>
      <x:c r="J68" s="22" t="n">
        <x:v>46317</x:v>
      </x:c>
      <x:c r="K68" s="12" t="str">
        <x:v>Chờ bổ sung chứng từ</x:v>
      </x:c>
      <x:c r="L68" s="12" t="str">
        <x:v>Trần Hoàng Nam</x:v>
      </x:c>
      <x:c r="M68" s="12" t="str">
        <x:v>Đầy đủ</x:v>
      </x:c>
      <x:c r="N68" s="12" t="str"/>
    </x:row>
    <x:row r="69">
      <x:c r="A69" s="12" t="str">
        <x:v>PR-CTSV-2026-068</x:v>
      </x:c>
      <x:c r="B69" s="22" t="n">
        <x:v>46176</x:v>
      </x:c>
      <x:c r="C69" s="12" t="str">
        <x:v>DT-CTSV-2026-135</x:v>
      </x:c>
      <x:c r="D69" s="12" t="str">
        <x:v>Orientation Week</x:v>
      </x:c>
      <x:c r="E69" s="12" t="str">
        <x:v>TravelCare</x:v>
      </x:c>
      <x:c r="F69" s="12" t="str">
        <x:v>Thanh toán Orientation Week - đợt 1</x:v>
      </x:c>
      <x:c r="G69" s="16" t="n">
        <x:v>114548000</x:v>
      </x:c>
      <x:c r="H69" s="16" t="n">
        <x:f>G69*10%</x:f>
        <x:v>11454800</x:v>
      </x:c>
      <x:c r="I69" s="16" t="n">
        <x:f>G69+H69</x:f>
        <x:v>126002800</x:v>
      </x:c>
      <x:c r="J69" s="22" t="n">
        <x:v>46195</x:v>
      </x:c>
      <x:c r="K69" s="12" t="str">
        <x:v>Chờ bổ sung chứng từ</x:v>
      </x:c>
      <x:c r="L69" s="12" t="str">
        <x:v>Nguyễn Minh Anh</x:v>
      </x:c>
      <x:c r="M69" s="12" t="str">
        <x:v>Đang kiểm tra</x:v>
      </x:c>
      <x:c r="N69" s="12" t="str"/>
    </x:row>
    <x:row r="70">
      <x:c r="A70" s="12" t="str">
        <x:v>PR-CTSV-2026-069</x:v>
      </x:c>
      <x:c r="B70" s="22" t="n">
        <x:v>46166</x:v>
      </x:c>
      <x:c r="C70" s="12" t="str">
        <x:v>DT-CTSV-2026-096</x:v>
      </x:c>
      <x:c r="D70" s="12" t="str">
        <x:v>Student Leadership</x:v>
      </x:c>
      <x:c r="E70" s="12" t="str">
        <x:v>Student Life Partner</x:v>
      </x:c>
      <x:c r="F70" s="12" t="str">
        <x:v>Thanh toán Student Leadership - đợt 2</x:v>
      </x:c>
      <x:c r="G70" s="16" t="n">
        <x:v>4900000</x:v>
      </x:c>
      <x:c r="H70" s="16" t="n">
        <x:f>G70*10%</x:f>
        <x:v>490000</x:v>
      </x:c>
      <x:c r="I70" s="16" t="n">
        <x:f>G70+H70</x:f>
        <x:v>5390000</x:v>
      </x:c>
      <x:c r="J70" s="22" t="n">
        <x:v>46196</x:v>
      </x:c>
      <x:c r="K70" s="12" t="str">
        <x:v>Đã thanh toán</x:v>
      </x:c>
      <x:c r="L70" s="12" t="str">
        <x:v>Vũ Khánh Linh</x:v>
      </x:c>
      <x:c r="M70" s="12" t="str">
        <x:v>Thiếu biên bản nghiệm thu</x:v>
      </x:c>
      <x:c r="N70" s="12" t="str"/>
    </x:row>
    <x:row r="71">
      <x:c r="A71" s="12" t="str">
        <x:v>PR-CTSV-2026-070</x:v>
      </x:c>
      <x:c r="B71" s="22" t="n">
        <x:v>46034</x:v>
      </x:c>
      <x:c r="C71" s="12" t="str">
        <x:v>DT-CTSV-2026-035</x:v>
      </x:c>
      <x:c r="D71" s="12" t="str">
        <x:v>Student Clubs</x:v>
      </x:c>
      <x:c r="E71" s="12" t="str">
        <x:v>VinUni Catering</x:v>
      </x:c>
      <x:c r="F71" s="12" t="str">
        <x:v>Thanh toán Student Clubs - đợt 4</x:v>
      </x:c>
      <x:c r="G71" s="16" t="n">
        <x:v>66883000</x:v>
      </x:c>
      <x:c r="H71" s="16" t="n">
        <x:f>G71*10%</x:f>
        <x:v>6688300</x:v>
      </x:c>
      <x:c r="I71" s="16" t="n">
        <x:f>G71+H71</x:f>
        <x:v>73571300</x:v>
      </x:c>
      <x:c r="J71" s="22" t="n">
        <x:v>46063</x:v>
      </x:c>
      <x:c r="K71" s="12" t="str">
        <x:v>Chờ bổ sung chứng từ</x:v>
      </x:c>
      <x:c r="L71" s="12" t="str">
        <x:v>Đỗ Hải Yến</x:v>
      </x:c>
      <x:c r="M71" s="12" t="str">
        <x:v>Thiếu hóa đơn</x:v>
      </x:c>
      <x:c r="N71" s="12" t="str"/>
    </x:row>
    <x:row r="72">
      <x:c r="A72" s="12" t="str">
        <x:v>PR-CTSV-2026-071</x:v>
      </x:c>
      <x:c r="B72" s="22" t="n">
        <x:v>46076</x:v>
      </x:c>
      <x:c r="C72" s="12" t="str">
        <x:v>DT-CTSV-2026-035</x:v>
      </x:c>
      <x:c r="D72" s="12" t="str">
        <x:v>Student Clubs</x:v>
      </x:c>
      <x:c r="E72" s="12" t="str">
        <x:v>Viện Tâm lý Việt Nam</x:v>
      </x:c>
      <x:c r="F72" s="12" t="str">
        <x:v>Thanh toán Student Clubs - đợt 2</x:v>
      </x:c>
      <x:c r="G72" s="16" t="n">
        <x:v>93814000</x:v>
      </x:c>
      <x:c r="H72" s="16" t="n">
        <x:f>G72*10%</x:f>
        <x:v>9381400</x:v>
      </x:c>
      <x:c r="I72" s="16" t="n">
        <x:f>G72+H72</x:f>
        <x:v>103195400</x:v>
      </x:c>
      <x:c r="J72" s="22" t="n">
        <x:v>46084</x:v>
      </x:c>
      <x:c r="K72" s="12" t="str">
        <x:v>Đã duyệt</x:v>
      </x:c>
      <x:c r="L72" s="12" t="str">
        <x:v>Nguyễn Minh Anh</x:v>
      </x:c>
      <x:c r="M72" s="12" t="str">
        <x:v>Thiếu biên bản nghiệm thu</x:v>
      </x:c>
      <x:c r="N72" s="12" t="str"/>
    </x:row>
    <x:row r="73">
      <x:c r="A73" s="12" t="str">
        <x:v>PR-CTSV-2026-072</x:v>
      </x:c>
      <x:c r="B73" s="22" t="n">
        <x:v>46278</x:v>
      </x:c>
      <x:c r="C73" s="12" t="str">
        <x:v>DT-CTSV-2026-080</x:v>
      </x:c>
      <x:c r="D73" s="12" t="str">
        <x:v>Career Fair</x:v>
      </x:c>
      <x:c r="E73" s="12" t="str">
        <x:v>Viện Tâm lý Việt Nam</x:v>
      </x:c>
      <x:c r="F73" s="12" t="str">
        <x:v>Thanh toán Career Fair - đợt 1</x:v>
      </x:c>
      <x:c r="G73" s="16" t="n">
        <x:v>118727000</x:v>
      </x:c>
      <x:c r="H73" s="16" t="n">
        <x:f>G73*10%</x:f>
        <x:v>11872700</x:v>
      </x:c>
      <x:c r="I73" s="16" t="n">
        <x:f>G73+H73</x:f>
        <x:v>130599700</x:v>
      </x:c>
      <x:c r="J73" s="22" t="n">
        <x:v>46305</x:v>
      </x:c>
      <x:c r="K73" s="12" t="str">
        <x:v>Đã duyệt</x:v>
      </x:c>
      <x:c r="L73" s="12" t="str">
        <x:v>Lê Thu Hà</x:v>
      </x:c>
      <x:c r="M73" s="12" t="str">
        <x:v>Thiếu biên bản nghiệm thu</x:v>
      </x:c>
      <x:c r="N73" s="12" t="str"/>
    </x:row>
    <x:row r="74">
      <x:c r="A74" s="12" t="str">
        <x:v>PR-CTSV-2026-073</x:v>
      </x:c>
      <x:c r="B74" s="22" t="n">
        <x:v>46337</x:v>
      </x:c>
      <x:c r="C74" s="12" t="str">
        <x:v>DT-CTSV-2026-013</x:v>
      </x:c>
      <x:c r="D74" s="12" t="str">
        <x:v>International Exchange</x:v>
      </x:c>
      <x:c r="E74" s="12" t="str">
        <x:v>PrintPro</x:v>
      </x:c>
      <x:c r="F74" s="12" t="str">
        <x:v>Thanh toán International Exchange - đợt 4</x:v>
      </x:c>
      <x:c r="G74" s="16" t="n">
        <x:v>34966000</x:v>
      </x:c>
      <x:c r="H74" s="16" t="n">
        <x:f>G74*10%</x:f>
        <x:v>3496600</x:v>
      </x:c>
      <x:c r="I74" s="16" t="n">
        <x:f>G74+H74</x:f>
        <x:v>38462600</x:v>
      </x:c>
      <x:c r="J74" s="22" t="n">
        <x:v>46367</x:v>
      </x:c>
      <x:c r="K74" s="12" t="str">
        <x:v>Chờ bổ sung chứng từ</x:v>
      </x:c>
      <x:c r="L74" s="12" t="str">
        <x:v>Phạm Quang Huy</x:v>
      </x:c>
      <x:c r="M74" s="12" t="str">
        <x:v>Thiếu biên bản nghiệm thu</x:v>
      </x:c>
      <x:c r="N74" s="12" t="str"/>
    </x:row>
    <x:row r="75">
      <x:c r="A75" s="12" t="str">
        <x:v>PR-CTSV-2026-074</x:v>
      </x:c>
      <x:c r="B75" s="22" t="n">
        <x:v>46257</x:v>
      </x:c>
      <x:c r="C75" s="12" t="str">
        <x:v>DT-CTSV-2026-048</x:v>
      </x:c>
      <x:c r="D75" s="12" t="str">
        <x:v>Mental Health Program</x:v>
      </x:c>
      <x:c r="E75" s="12" t="str">
        <x:v>TravelCare</x:v>
      </x:c>
      <x:c r="F75" s="12" t="str">
        <x:v>Thanh toán Mental Health Program - đợt 3</x:v>
      </x:c>
      <x:c r="G75" s="16" t="n">
        <x:v>61210000</x:v>
      </x:c>
      <x:c r="H75" s="16" t="n">
        <x:f>G75*10%</x:f>
        <x:v>6121000</x:v>
      </x:c>
      <x:c r="I75" s="16" t="n">
        <x:f>G75+H75</x:f>
        <x:v>67331000</x:v>
      </x:c>
      <x:c r="J75" s="22" t="n">
        <x:v>46266</x:v>
      </x:c>
      <x:c r="K75" s="12" t="str">
        <x:v>Chờ bổ sung chứng từ</x:v>
      </x:c>
      <x:c r="L75" s="12" t="str">
        <x:v>Nguyễn Minh Anh</x:v>
      </x:c>
      <x:c r="M75" s="12" t="str">
        <x:v>Đang kiểm tra</x:v>
      </x:c>
      <x:c r="N75" s="12" t="str"/>
    </x:row>
    <x:row r="76">
      <x:c r="A76" s="12" t="str">
        <x:v>PR-CTSV-2026-075</x:v>
      </x:c>
      <x:c r="B76" s="22" t="n">
        <x:v>46275</x:v>
      </x:c>
      <x:c r="C76" s="12" t="str">
        <x:v>DT-CTSV-2026-047</x:v>
      </x:c>
      <x:c r="D76" s="12" t="str">
        <x:v>Mental Health Program</x:v>
      </x:c>
      <x:c r="E76" s="12" t="str">
        <x:v>Community Support Center</x:v>
      </x:c>
      <x:c r="F76" s="12" t="str">
        <x:v>Thanh toán Mental Health Program - đợt 3</x:v>
      </x:c>
      <x:c r="G76" s="16" t="n">
        <x:v>40581000</x:v>
      </x:c>
      <x:c r="H76" s="16" t="n">
        <x:f>G76*10%</x:f>
        <x:v>4058100</x:v>
      </x:c>
      <x:c r="I76" s="16" t="n">
        <x:f>G76+H76</x:f>
        <x:v>44639100</x:v>
      </x:c>
      <x:c r="J76" s="22" t="n">
        <x:v>46291</x:v>
      </x:c>
      <x:c r="K76" s="12" t="str">
        <x:v>Chờ bổ sung chứng từ</x:v>
      </x:c>
      <x:c r="L76" s="12" t="str">
        <x:v>Vũ Khánh Linh</x:v>
      </x:c>
      <x:c r="M76" s="12" t="str">
        <x:v>Đang kiểm tra</x:v>
      </x:c>
      <x:c r="N76" s="12" t="str"/>
    </x:row>
    <x:row r="77">
      <x:c r="A77" s="12" t="str">
        <x:v>PR-CTSV-2026-076</x:v>
      </x:c>
      <x:c r="B77" s="22" t="n">
        <x:v>46371</x:v>
      </x:c>
      <x:c r="C77" s="12" t="str">
        <x:v>DT-CTSV-2026-043</x:v>
      </x:c>
      <x:c r="D77" s="12" t="str">
        <x:v>Student Leadership</x:v>
      </x:c>
      <x:c r="E77" s="12" t="str">
        <x:v>Student Life Partner</x:v>
      </x:c>
      <x:c r="F77" s="12" t="str">
        <x:v>Thanh toán Student Leadership - đợt 4</x:v>
      </x:c>
      <x:c r="G77" s="16" t="n">
        <x:v>44130000</x:v>
      </x:c>
      <x:c r="H77" s="16" t="n">
        <x:f>0</x:f>
        <x:v>0</x:v>
      </x:c>
      <x:c r="I77" s="16" t="n">
        <x:f>G77+H77</x:f>
        <x:v>44130000</x:v>
      </x:c>
      <x:c r="J77" s="22" t="n">
        <x:v>46386</x:v>
      </x:c>
      <x:c r="K77" s="12" t="str">
        <x:v>Đã thanh toán</x:v>
      </x:c>
      <x:c r="L77" s="12" t="str">
        <x:v>Nguyễn Minh Anh</x:v>
      </x:c>
      <x:c r="M77" s="12" t="str">
        <x:v>Đang kiểm tra</x:v>
      </x:c>
      <x:c r="N77" s="12" t="str"/>
    </x:row>
    <x:row r="78">
      <x:c r="A78" s="12" t="str">
        <x:v>PR-CTSV-2026-077</x:v>
      </x:c>
      <x:c r="B78" s="22" t="n">
        <x:v>46289</x:v>
      </x:c>
      <x:c r="C78" s="12" t="str">
        <x:v>DT-CTSV-2026-094</x:v>
      </x:c>
      <x:c r="D78" s="12" t="str">
        <x:v>Orientation Week</x:v>
      </x:c>
      <x:c r="E78" s="12" t="str">
        <x:v>VinUni Catering</x:v>
      </x:c>
      <x:c r="F78" s="12" t="str">
        <x:v>Thanh toán Orientation Week - đợt 4</x:v>
      </x:c>
      <x:c r="G78" s="16" t="n">
        <x:v>82491000</x:v>
      </x:c>
      <x:c r="H78" s="16" t="n">
        <x:f>G78*10%</x:f>
        <x:v>8249100</x:v>
      </x:c>
      <x:c r="I78" s="16" t="n">
        <x:f>G78+H78</x:f>
        <x:v>90740100</x:v>
      </x:c>
      <x:c r="J78" s="22" t="n">
        <x:v>46297</x:v>
      </x:c>
      <x:c r="K78" s="12" t="str">
        <x:v>Đã duyệt</x:v>
      </x:c>
      <x:c r="L78" s="12" t="str">
        <x:v>Nguyễn Minh Anh</x:v>
      </x:c>
      <x:c r="M78" s="12" t="str">
        <x:v>Thiếu hóa đơn</x:v>
      </x:c>
      <x:c r="N78" s="12" t="str"/>
    </x:row>
    <x:row r="79">
      <x:c r="A79" s="12" t="str">
        <x:v>PR-CTSV-2026-078</x:v>
      </x:c>
      <x:c r="B79" s="22" t="n">
        <x:v>46186</x:v>
      </x:c>
      <x:c r="C79" s="12" t="str">
        <x:v>DT-CTSV-2026-094</x:v>
      </x:c>
      <x:c r="D79" s="12" t="str">
        <x:v>Orientation Week</x:v>
      </x:c>
      <x:c r="E79" s="12" t="str">
        <x:v>VinUni Catering</x:v>
      </x:c>
      <x:c r="F79" s="12" t="str">
        <x:v>Thanh toán Orientation Week - đợt 4</x:v>
      </x:c>
      <x:c r="G79" s="16" t="n">
        <x:v>114087000</x:v>
      </x:c>
      <x:c r="H79" s="16" t="n">
        <x:f>0</x:f>
        <x:v>0</x:v>
      </x:c>
      <x:c r="I79" s="16" t="n">
        <x:f>G79+H79</x:f>
        <x:v>114087000</x:v>
      </x:c>
      <x:c r="J79" s="22" t="n">
        <x:v>46204</x:v>
      </x:c>
      <x:c r="K79" s="12" t="str">
        <x:v>Chờ phê duyệt</x:v>
      </x:c>
      <x:c r="L79" s="12" t="str">
        <x:v>Phạm Quang Huy</x:v>
      </x:c>
      <x:c r="M79" s="12" t="str">
        <x:v>Đầy đủ</x:v>
      </x:c>
      <x:c r="N79" s="12" t="str"/>
    </x:row>
    <x:row r="80">
      <x:c r="A80" s="12" t="str">
        <x:v>PR-CTSV-2026-079</x:v>
      </x:c>
      <x:c r="B80" s="22" t="n">
        <x:v>46098</x:v>
      </x:c>
      <x:c r="C80" s="12" t="str">
        <x:v>DT-CTSV-2026-147</x:v>
      </x:c>
      <x:c r="D80" s="12" t="str">
        <x:v>Student Wellbeing</x:v>
      </x:c>
      <x:c r="E80" s="12" t="str">
        <x:v>Viện Tâm lý Việt Nam</x:v>
      </x:c>
      <x:c r="F80" s="12" t="str">
        <x:v>Thanh toán Student Wellbeing - đợt 2</x:v>
      </x:c>
      <x:c r="G80" s="16" t="n">
        <x:v>45933000</x:v>
      </x:c>
      <x:c r="H80" s="16" t="n">
        <x:f>G80*10%</x:f>
        <x:v>4593300</x:v>
      </x:c>
      <x:c r="I80" s="16" t="n">
        <x:f>G80+H80</x:f>
        <x:v>50526300</x:v>
      </x:c>
      <x:c r="J80" s="22" t="n">
        <x:v>46108</x:v>
      </x:c>
      <x:c r="K80" s="12" t="str">
        <x:v>Đã thanh toán</x:v>
      </x:c>
      <x:c r="L80" s="12" t="str">
        <x:v>Đỗ Hải Yến</x:v>
      </x:c>
      <x:c r="M80" s="12" t="str">
        <x:v>Thiếu hóa đơn</x:v>
      </x:c>
      <x:c r="N80" s="12" t="str"/>
    </x:row>
    <x:row r="81">
      <x:c r="A81" s="12" t="str">
        <x:v>PR-CTSV-2026-080</x:v>
      </x:c>
      <x:c r="B81" s="22" t="n">
        <x:v>46278</x:v>
      </x:c>
      <x:c r="C81" s="12" t="str">
        <x:v>DT-CTSV-2026-128</x:v>
      </x:c>
      <x:c r="D81" s="12" t="str">
        <x:v>Mental Health Program</x:v>
      </x:c>
      <x:c r="E81" s="12" t="str">
        <x:v>Viện Tâm lý Việt Nam</x:v>
      </x:c>
      <x:c r="F81" s="12" t="str">
        <x:v>Thanh toán Mental Health Program - đợt 4</x:v>
      </x:c>
      <x:c r="G81" s="16" t="n">
        <x:v>109884000</x:v>
      </x:c>
      <x:c r="H81" s="16" t="n">
        <x:f>G81*10%</x:f>
        <x:v>10988400</x:v>
      </x:c>
      <x:c r="I81" s="16" t="n">
        <x:f>G81+H81</x:f>
        <x:v>120872400</x:v>
      </x:c>
      <x:c r="J81" s="22" t="n">
        <x:v>46291</x:v>
      </x:c>
      <x:c r="K81" s="12" t="str">
        <x:v>Chờ phê duyệt</x:v>
      </x:c>
      <x:c r="L81" s="12" t="str">
        <x:v>Đỗ Hải Yến</x:v>
      </x:c>
      <x:c r="M81" s="12" t="str">
        <x:v>Đang kiểm tra</x:v>
      </x:c>
      <x:c r="N81" s="12" t="str"/>
    </x:row>
    <x:row r="82">
      <x:c r="A82" s="12" t="str">
        <x:v>PR-CTSV-2026-081</x:v>
      </x:c>
      <x:c r="B82" s="22" t="n">
        <x:v>46058</x:v>
      </x:c>
      <x:c r="C82" s="12" t="str">
        <x:v>DT-CTSV-2026-052</x:v>
      </x:c>
      <x:c r="D82" s="12" t="str">
        <x:v>Student Clubs</x:v>
      </x:c>
      <x:c r="E82" s="12" t="str">
        <x:v>Wellbeing Clinic</x:v>
      </x:c>
      <x:c r="F82" s="12" t="str">
        <x:v>Thanh toán Student Clubs - đợt 4</x:v>
      </x:c>
      <x:c r="G82" s="16" t="n">
        <x:v>102780000</x:v>
      </x:c>
      <x:c r="H82" s="16" t="n">
        <x:f>G82*10%</x:f>
        <x:v>10278000</x:v>
      </x:c>
      <x:c r="I82" s="16" t="n">
        <x:f>G82+H82</x:f>
        <x:v>113058000</x:v>
      </x:c>
      <x:c r="J82" s="22" t="n">
        <x:v>46067</x:v>
      </x:c>
      <x:c r="K82" s="12" t="str">
        <x:v>Chờ phê duyệt</x:v>
      </x:c>
      <x:c r="L82" s="12" t="str">
        <x:v>Đỗ Hải Yến</x:v>
      </x:c>
      <x:c r="M82" s="12" t="str">
        <x:v>Thiếu biên bản nghiệm thu</x:v>
      </x:c>
      <x:c r="N82" s="12" t="str"/>
    </x:row>
    <x:row r="83">
      <x:c r="A83" s="12" t="str">
        <x:v>PR-CTSV-2026-082</x:v>
      </x:c>
      <x:c r="B83" s="22" t="n">
        <x:v>46283</x:v>
      </x:c>
      <x:c r="C83" s="12" t="str">
        <x:v>DT-CTSV-2026-017</x:v>
      </x:c>
      <x:c r="D83" s="12" t="str">
        <x:v>Student Wellbeing</x:v>
      </x:c>
      <x:c r="E83" s="12" t="str">
        <x:v>VinUni Catering</x:v>
      </x:c>
      <x:c r="F83" s="12" t="str">
        <x:v>Thanh toán Student Wellbeing - đợt 2</x:v>
      </x:c>
      <x:c r="G83" s="16" t="n">
        <x:v>36972000</x:v>
      </x:c>
      <x:c r="H83" s="16" t="n">
        <x:f>G83*10%</x:f>
        <x:v>3697200</x:v>
      </x:c>
      <x:c r="I83" s="16" t="n">
        <x:f>G83+H83</x:f>
        <x:v>40669200</x:v>
      </x:c>
      <x:c r="J83" s="22" t="n">
        <x:v>46301</x:v>
      </x:c>
      <x:c r="K83" s="12" t="str">
        <x:v>Đã duyệt</x:v>
      </x:c>
      <x:c r="L83" s="12" t="str">
        <x:v>Nguyễn Minh Anh</x:v>
      </x:c>
      <x:c r="M83" s="12" t="str">
        <x:v>Thiếu hóa đơn</x:v>
      </x:c>
      <x:c r="N83" s="12" t="str"/>
    </x:row>
    <x:row r="84">
      <x:c r="A84" s="12" t="str">
        <x:v>PR-CTSV-2026-083</x:v>
      </x:c>
      <x:c r="B84" s="22" t="n">
        <x:v>46128</x:v>
      </x:c>
      <x:c r="C84" s="12" t="str">
        <x:v>DT-CTSV-2026-036</x:v>
      </x:c>
      <x:c r="D84" s="12" t="str">
        <x:v>Career Fair</x:v>
      </x:c>
      <x:c r="E84" s="12" t="str">
        <x:v>Student Life Partner</x:v>
      </x:c>
      <x:c r="F84" s="12" t="str">
        <x:v>Thanh toán Career Fair - đợt 4</x:v>
      </x:c>
      <x:c r="G84" s="16" t="n">
        <x:v>6075000</x:v>
      </x:c>
      <x:c r="H84" s="16" t="n">
        <x:f>G84*10%</x:f>
        <x:v>607500</x:v>
      </x:c>
      <x:c r="I84" s="16" t="n">
        <x:f>G84+H84</x:f>
        <x:v>6682500</x:v>
      </x:c>
      <x:c r="J84" s="22" t="n">
        <x:v>46152</x:v>
      </x:c>
      <x:c r="K84" s="12" t="str">
        <x:v>Đã duyệt</x:v>
      </x:c>
      <x:c r="L84" s="12" t="str">
        <x:v>Vũ Khánh Linh</x:v>
      </x:c>
      <x:c r="M84" s="12" t="str">
        <x:v>Đầy đủ</x:v>
      </x:c>
      <x:c r="N84" s="12" t="str"/>
    </x:row>
    <x:row r="85">
      <x:c r="A85" s="12" t="str">
        <x:v>PR-CTSV-2026-084</x:v>
      </x:c>
      <x:c r="B85" s="22" t="n">
        <x:v>46155</x:v>
      </x:c>
      <x:c r="C85" s="12" t="str">
        <x:v>DT-CTSV-2026-017</x:v>
      </x:c>
      <x:c r="D85" s="12" t="str">
        <x:v>Student Wellbeing</x:v>
      </x:c>
      <x:c r="E85" s="12" t="str">
        <x:v>TravelCare</x:v>
      </x:c>
      <x:c r="F85" s="12" t="str">
        <x:v>Thanh toán Student Wellbeing - đợt 4</x:v>
      </x:c>
      <x:c r="G85" s="16" t="n">
        <x:v>119952000</x:v>
      </x:c>
      <x:c r="H85" s="16" t="n">
        <x:f>G85*10%</x:f>
        <x:v>11995200</x:v>
      </x:c>
      <x:c r="I85" s="16" t="n">
        <x:f>G85+H85</x:f>
        <x:v>131947200</x:v>
      </x:c>
      <x:c r="J85" s="22" t="n">
        <x:v>46175</x:v>
      </x:c>
      <x:c r="K85" s="12" t="str">
        <x:v>Đã thanh toán</x:v>
      </x:c>
      <x:c r="L85" s="12" t="str">
        <x:v>Trần Hoàng Nam</x:v>
      </x:c>
      <x:c r="M85" s="12" t="str">
        <x:v>Thiếu biên bản nghiệm thu</x:v>
      </x:c>
      <x:c r="N85" s="12" t="str"/>
    </x:row>
    <x:row r="86">
      <x:c r="A86" s="12" t="str">
        <x:v>PR-CTSV-2026-085</x:v>
      </x:c>
      <x:c r="B86" s="22" t="n">
        <x:v>46249</x:v>
      </x:c>
      <x:c r="C86" s="12" t="str">
        <x:v>DT-CTSV-2026-019</x:v>
      </x:c>
      <x:c r="D86" s="12" t="str">
        <x:v>Community Service</x:v>
      </x:c>
      <x:c r="E86" s="12" t="str">
        <x:v>TravelCare</x:v>
      </x:c>
      <x:c r="F86" s="12" t="str">
        <x:v>Thanh toán Community Service - đợt 2</x:v>
      </x:c>
      <x:c r="G86" s="16" t="n">
        <x:v>82572000</x:v>
      </x:c>
      <x:c r="H86" s="16" t="n">
        <x:f>G86*10%</x:f>
        <x:v>8257200</x:v>
      </x:c>
      <x:c r="I86" s="16" t="n">
        <x:f>G86+H86</x:f>
        <x:v>90829200</x:v>
      </x:c>
      <x:c r="J86" s="22" t="n">
        <x:v>46260</x:v>
      </x:c>
      <x:c r="K86" s="12" t="str">
        <x:v>Chờ bổ sung chứng từ</x:v>
      </x:c>
      <x:c r="L86" s="12" t="str">
        <x:v>Vũ Khánh Linh</x:v>
      </x:c>
      <x:c r="M86" s="12" t="str">
        <x:v>Đầy đủ</x:v>
      </x:c>
      <x:c r="N86" s="12" t="str"/>
    </x:row>
    <x:row r="87">
      <x:c r="A87" s="12" t="str">
        <x:v>PR-CTSV-2026-086</x:v>
      </x:c>
      <x:c r="B87" s="22" t="n">
        <x:v>46270</x:v>
      </x:c>
      <x:c r="C87" s="12" t="str">
        <x:v>DT-CTSV-2026-032</x:v>
      </x:c>
      <x:c r="D87" s="12" t="str">
        <x:v>Graduation Ceremony</x:v>
      </x:c>
      <x:c r="E87" s="12" t="str">
        <x:v>Wellbeing Clinic</x:v>
      </x:c>
      <x:c r="F87" s="12" t="str">
        <x:v>Thanh toán Graduation Ceremony - đợt 2</x:v>
      </x:c>
      <x:c r="G87" s="16" t="n">
        <x:v>38582000</x:v>
      </x:c>
      <x:c r="H87" s="16" t="n">
        <x:f>G87*10%</x:f>
        <x:v>3858200</x:v>
      </x:c>
      <x:c r="I87" s="16" t="n">
        <x:f>G87+H87</x:f>
        <x:v>42440200</x:v>
      </x:c>
      <x:c r="J87" s="22" t="n">
        <x:v>46288</x:v>
      </x:c>
      <x:c r="K87" s="12" t="str">
        <x:v>Chờ phê duyệt</x:v>
      </x:c>
      <x:c r="L87" s="12" t="str">
        <x:v>Nguyễn Minh Anh</x:v>
      </x:c>
      <x:c r="M87" s="12" t="str">
        <x:v>Thiếu biên bản nghiệm thu</x:v>
      </x:c>
      <x:c r="N87" s="12" t="str"/>
    </x:row>
    <x:row r="88">
      <x:c r="A88" s="12" t="str">
        <x:v>PR-CTSV-2026-087</x:v>
      </x:c>
      <x:c r="B88" s="22" t="n">
        <x:v>46344</x:v>
      </x:c>
      <x:c r="C88" s="12" t="str">
        <x:v>DT-CTSV-2026-051</x:v>
      </x:c>
      <x:c r="D88" s="12" t="str">
        <x:v>Mental Health Program</x:v>
      </x:c>
      <x:c r="E88" s="12" t="str">
        <x:v>Learning Hub</x:v>
      </x:c>
      <x:c r="F88" s="12" t="str">
        <x:v>Thanh toán Mental Health Program - đợt 1</x:v>
      </x:c>
      <x:c r="G88" s="16" t="n">
        <x:v>35110000</x:v>
      </x:c>
      <x:c r="H88" s="16" t="n">
        <x:f>G88*10%</x:f>
        <x:v>3511000</x:v>
      </x:c>
      <x:c r="I88" s="16" t="n">
        <x:f>G88+H88</x:f>
        <x:v>38621000</x:v>
      </x:c>
      <x:c r="J88" s="22" t="n">
        <x:v>46367</x:v>
      </x:c>
      <x:c r="K88" s="12" t="str">
        <x:v>Đã duyệt</x:v>
      </x:c>
      <x:c r="L88" s="12" t="str">
        <x:v>Vũ Khánh Linh</x:v>
      </x:c>
      <x:c r="M88" s="12" t="str">
        <x:v>Thiếu hóa đơn</x:v>
      </x:c>
      <x:c r="N88" s="12" t="str"/>
    </x:row>
    <x:row r="89">
      <x:c r="A89" s="12" t="str">
        <x:v>PR-CTSV-2026-088</x:v>
      </x:c>
      <x:c r="B89" s="22" t="n">
        <x:v>46346</x:v>
      </x:c>
      <x:c r="C89" s="12" t="str">
        <x:v>DT-CTSV-2026-044</x:v>
      </x:c>
      <x:c r="D89" s="12" t="str">
        <x:v>Orientation Week</x:v>
      </x:c>
      <x:c r="E89" s="12" t="str">
        <x:v>Learning Hub</x:v>
      </x:c>
      <x:c r="F89" s="12" t="str">
        <x:v>Thanh toán Orientation Week - đợt 1</x:v>
      </x:c>
      <x:c r="G89" s="16" t="n">
        <x:v>87314000</x:v>
      </x:c>
      <x:c r="H89" s="16" t="n">
        <x:f>G89*10%</x:f>
        <x:v>8731400</x:v>
      </x:c>
      <x:c r="I89" s="16" t="n">
        <x:f>G89+H89</x:f>
        <x:v>96045400</x:v>
      </x:c>
      <x:c r="J89" s="22" t="n">
        <x:v>46353</x:v>
      </x:c>
      <x:c r="K89" s="12" t="str">
        <x:v>Đã thanh toán</x:v>
      </x:c>
      <x:c r="L89" s="12" t="str">
        <x:v>Nguyễn Minh Anh</x:v>
      </x:c>
      <x:c r="M89" s="12" t="str">
        <x:v>Thiếu biên bản nghiệm thu</x:v>
      </x:c>
      <x:c r="N89" s="12" t="str"/>
    </x:row>
    <x:row r="90">
      <x:c r="A90" s="12" t="str">
        <x:v>PR-CTSV-2026-089</x:v>
      </x:c>
      <x:c r="B90" s="22" t="n">
        <x:v>46309</x:v>
      </x:c>
      <x:c r="C90" s="12" t="str">
        <x:v>DT-CTSV-2026-054</x:v>
      </x:c>
      <x:c r="D90" s="12" t="str">
        <x:v>Mental Health Program</x:v>
      </x:c>
      <x:c r="E90" s="12" t="str">
        <x:v>Community Support Center</x:v>
      </x:c>
      <x:c r="F90" s="12" t="str">
        <x:v>Thanh toán Mental Health Program - đợt 3</x:v>
      </x:c>
      <x:c r="G90" s="16" t="n">
        <x:v>75318000</x:v>
      </x:c>
      <x:c r="H90" s="16" t="n">
        <x:f>0</x:f>
        <x:v>0</x:v>
      </x:c>
      <x:c r="I90" s="16" t="n">
        <x:f>G90+H90</x:f>
        <x:v>75318000</x:v>
      </x:c>
      <x:c r="J90" s="22" t="n">
        <x:v>46336</x:v>
      </x:c>
      <x:c r="K90" s="12" t="str">
        <x:v>Chờ phê duyệt</x:v>
      </x:c>
      <x:c r="L90" s="12" t="str">
        <x:v>Phạm Quang Huy</x:v>
      </x:c>
      <x:c r="M90" s="12" t="str">
        <x:v>Thiếu hóa đơn</x:v>
      </x:c>
      <x:c r="N90" s="12" t="str"/>
    </x:row>
    <x:row r="91">
      <x:c r="A91" s="12" t="str">
        <x:v>PR-CTSV-2026-090</x:v>
      </x:c>
      <x:c r="B91" s="22" t="n">
        <x:v>46157</x:v>
      </x:c>
      <x:c r="C91" s="12" t="str">
        <x:v>DT-CTSV-2026-104</x:v>
      </x:c>
      <x:c r="D91" s="12" t="str">
        <x:v>Student Clubs</x:v>
      </x:c>
      <x:c r="E91" s="12" t="str">
        <x:v>IT Solutions Edu</x:v>
      </x:c>
      <x:c r="F91" s="12" t="str">
        <x:v>Thanh toán Student Clubs - đợt 4</x:v>
      </x:c>
      <x:c r="G91" s="16" t="n">
        <x:v>11537000</x:v>
      </x:c>
      <x:c r="H91" s="16" t="n">
        <x:f>0</x:f>
        <x:v>0</x:v>
      </x:c>
      <x:c r="I91" s="16" t="n">
        <x:f>G91+H91</x:f>
        <x:v>11537000</x:v>
      </x:c>
      <x:c r="J91" s="22" t="n">
        <x:v>46179</x:v>
      </x:c>
      <x:c r="K91" s="12" t="str">
        <x:v>Chờ bổ sung chứng từ</x:v>
      </x:c>
      <x:c r="L91" s="12" t="str">
        <x:v>Trần Hoàng Nam</x:v>
      </x:c>
      <x:c r="M91" s="12" t="str">
        <x:v>Thiếu biên bản nghiệm thu</x:v>
      </x:c>
      <x:c r="N91" s="12" t="str"/>
    </x:row>
    <x:row r="92">
      <x:c r="A92" s="12" t="str">
        <x:v>PR-CTSV-2026-091</x:v>
      </x:c>
      <x:c r="B92" s="22" t="n">
        <x:v>46196</x:v>
      </x:c>
      <x:c r="C92" s="12" t="str">
        <x:v>DT-CTSV-2026-037</x:v>
      </x:c>
      <x:c r="D92" s="12" t="str">
        <x:v>Graduation Ceremony</x:v>
      </x:c>
      <x:c r="E92" s="12" t="str">
        <x:v>Student Life Partner</x:v>
      </x:c>
      <x:c r="F92" s="12" t="str">
        <x:v>Thanh toán Graduation Ceremony - đợt 4</x:v>
      </x:c>
      <x:c r="G92" s="16" t="n">
        <x:v>40360000</x:v>
      </x:c>
      <x:c r="H92" s="16" t="n">
        <x:f>G92*10%</x:f>
        <x:v>4036000</x:v>
      </x:c>
      <x:c r="I92" s="16" t="n">
        <x:f>G92+H92</x:f>
        <x:v>44396000</x:v>
      </x:c>
      <x:c r="J92" s="22" t="n">
        <x:v>46207</x:v>
      </x:c>
      <x:c r="K92" s="12" t="str">
        <x:v>Chờ phê duyệt</x:v>
      </x:c>
      <x:c r="L92" s="12" t="str">
        <x:v>Vũ Khánh Linh</x:v>
      </x:c>
      <x:c r="M92" s="12" t="str">
        <x:v>Đầy đủ</x:v>
      </x:c>
      <x:c r="N92" s="12" t="str"/>
    </x:row>
    <x:row r="93">
      <x:c r="A93" s="12" t="str">
        <x:v>PR-CTSV-2026-092</x:v>
      </x:c>
      <x:c r="B93" s="22" t="n">
        <x:v>46127</x:v>
      </x:c>
      <x:c r="C93" s="12" t="str">
        <x:v>DT-CTSV-2026-082</x:v>
      </x:c>
      <x:c r="D93" s="12" t="str">
        <x:v>Student Leadership</x:v>
      </x:c>
      <x:c r="E93" s="12" t="str">
        <x:v>VinUni Catering</x:v>
      </x:c>
      <x:c r="F93" s="12" t="str">
        <x:v>Thanh toán Student Leadership - đợt 1</x:v>
      </x:c>
      <x:c r="G93" s="16" t="n">
        <x:v>17335000</x:v>
      </x:c>
      <x:c r="H93" s="16" t="n">
        <x:f>G93*10%</x:f>
        <x:v>1733500</x:v>
      </x:c>
      <x:c r="I93" s="16" t="n">
        <x:f>G93+H93</x:f>
        <x:v>19068500</x:v>
      </x:c>
      <x:c r="J93" s="22" t="n">
        <x:v>46135</x:v>
      </x:c>
      <x:c r="K93" s="12" t="str">
        <x:v>Chờ phê duyệt</x:v>
      </x:c>
      <x:c r="L93" s="12" t="str">
        <x:v>Phạm Quang Huy</x:v>
      </x:c>
      <x:c r="M93" s="12" t="str">
        <x:v>Đang kiểm tra</x:v>
      </x:c>
      <x:c r="N93" s="12" t="str"/>
    </x:row>
    <x:row r="94">
      <x:c r="A94" s="12" t="str">
        <x:v>PR-CTSV-2026-093</x:v>
      </x:c>
      <x:c r="B94" s="22" t="n">
        <x:v>46092</x:v>
      </x:c>
      <x:c r="C94" s="12" t="str">
        <x:v>DT-CTSV-2026-064</x:v>
      </x:c>
      <x:c r="D94" s="12" t="str">
        <x:v>Orientation Week</x:v>
      </x:c>
      <x:c r="E94" s="12" t="str">
        <x:v>Career Expo JSC</x:v>
      </x:c>
      <x:c r="F94" s="12" t="str">
        <x:v>Thanh toán Orientation Week - đợt 2</x:v>
      </x:c>
      <x:c r="G94" s="16" t="n">
        <x:v>112248000</x:v>
      </x:c>
      <x:c r="H94" s="16" t="n">
        <x:f>G94*10%</x:f>
        <x:v>11224800</x:v>
      </x:c>
      <x:c r="I94" s="16" t="n">
        <x:f>G94+H94</x:f>
        <x:v>123472800</x:v>
      </x:c>
      <x:c r="J94" s="22" t="n">
        <x:v>46114</x:v>
      </x:c>
      <x:c r="K94" s="12" t="str">
        <x:v>Chờ bổ sung chứng từ</x:v>
      </x:c>
      <x:c r="L94" s="12" t="str">
        <x:v>Phạm Quang Huy</x:v>
      </x:c>
      <x:c r="M94" s="12" t="str">
        <x:v>Thiếu biên bản nghiệm thu</x:v>
      </x:c>
      <x:c r="N94" s="12" t="str"/>
    </x:row>
    <x:row r="95">
      <x:c r="A95" s="12" t="str">
        <x:v>PR-CTSV-2026-094</x:v>
      </x:c>
      <x:c r="B95" s="22" t="n">
        <x:v>46025</x:v>
      </x:c>
      <x:c r="C95" s="12" t="str">
        <x:v>DT-CTSV-2026-128</x:v>
      </x:c>
      <x:c r="D95" s="12" t="str">
        <x:v>Mental Health Program</x:v>
      </x:c>
      <x:c r="E95" s="12" t="str">
        <x:v>Career Expo JSC</x:v>
      </x:c>
      <x:c r="F95" s="12" t="str">
        <x:v>Thanh toán Mental Health Program - đợt 2</x:v>
      </x:c>
      <x:c r="G95" s="16" t="n">
        <x:v>113592000</x:v>
      </x:c>
      <x:c r="H95" s="16" t="n">
        <x:f>G95*10%</x:f>
        <x:v>11359200</x:v>
      </x:c>
      <x:c r="I95" s="16" t="n">
        <x:f>G95+H95</x:f>
        <x:v>124951200</x:v>
      </x:c>
      <x:c r="J95" s="22" t="n">
        <x:v>46050</x:v>
      </x:c>
      <x:c r="K95" s="12" t="str">
        <x:v>Chờ phê duyệt</x:v>
      </x:c>
      <x:c r="L95" s="12" t="str">
        <x:v>Nguyễn Minh Anh</x:v>
      </x:c>
      <x:c r="M95" s="12" t="str">
        <x:v>Đầy đủ</x:v>
      </x:c>
      <x:c r="N95" s="12" t="str"/>
    </x:row>
    <x:row r="96">
      <x:c r="A96" s="12" t="str">
        <x:v>PR-CTSV-2026-095</x:v>
      </x:c>
      <x:c r="B96" s="22" t="n">
        <x:v>46254</x:v>
      </x:c>
      <x:c r="C96" s="12" t="str">
        <x:v>DT-CTSV-2026-073</x:v>
      </x:c>
      <x:c r="D96" s="12" t="str">
        <x:v>Student Wellbeing</x:v>
      </x:c>
      <x:c r="E96" s="12" t="str">
        <x:v>IT Solutions Edu</x:v>
      </x:c>
      <x:c r="F96" s="12" t="str">
        <x:v>Thanh toán Student Wellbeing - đợt 3</x:v>
      </x:c>
      <x:c r="G96" s="16" t="n">
        <x:v>106233000</x:v>
      </x:c>
      <x:c r="H96" s="16" t="n">
        <x:f>G96*10%</x:f>
        <x:v>10623300</x:v>
      </x:c>
      <x:c r="I96" s="16" t="n">
        <x:f>G96+H96</x:f>
        <x:v>116856300</x:v>
      </x:c>
      <x:c r="J96" s="22" t="n">
        <x:v>46278</x:v>
      </x:c>
      <x:c r="K96" s="12" t="str">
        <x:v>Đã thanh toán</x:v>
      </x:c>
      <x:c r="L96" s="12" t="str">
        <x:v>Nguyễn Minh Anh</x:v>
      </x:c>
      <x:c r="M96" s="12" t="str">
        <x:v>Đang kiểm tra</x:v>
      </x:c>
      <x:c r="N96" s="12" t="str"/>
    </x:row>
    <x:row r="97">
      <x:c r="A97" s="12" t="str">
        <x:v>PR-CTSV-2026-096</x:v>
      </x:c>
      <x:c r="B97" s="22" t="n">
        <x:v>46166</x:v>
      </x:c>
      <x:c r="C97" s="12" t="str">
        <x:v>DT-CTSV-2026-035</x:v>
      </x:c>
      <x:c r="D97" s="12" t="str">
        <x:v>Student Clubs</x:v>
      </x:c>
      <x:c r="E97" s="12" t="str">
        <x:v>EventPlus Vietnam</x:v>
      </x:c>
      <x:c r="F97" s="12" t="str">
        <x:v>Thanh toán Student Clubs - đợt 4</x:v>
      </x:c>
      <x:c r="G97" s="16" t="n">
        <x:v>45795000</x:v>
      </x:c>
      <x:c r="H97" s="16" t="n">
        <x:f>G97*10%</x:f>
        <x:v>4579500</x:v>
      </x:c>
      <x:c r="I97" s="16" t="n">
        <x:f>G97+H97</x:f>
        <x:v>50374500</x:v>
      </x:c>
      <x:c r="J97" s="22" t="n">
        <x:v>46174</x:v>
      </x:c>
      <x:c r="K97" s="12" t="str">
        <x:v>Đã duyệt</x:v>
      </x:c>
      <x:c r="L97" s="12" t="str">
        <x:v>Lê Thu Hà</x:v>
      </x:c>
      <x:c r="M97" s="12" t="str">
        <x:v>Thiếu biên bản nghiệm thu</x:v>
      </x:c>
      <x:c r="N97" s="12" t="str"/>
    </x:row>
    <x:row r="98">
      <x:c r="A98" s="12" t="str">
        <x:v>PR-CTSV-2026-097</x:v>
      </x:c>
      <x:c r="B98" s="22" t="n">
        <x:v>46220</x:v>
      </x:c>
      <x:c r="C98" s="12" t="str">
        <x:v>DT-CTSV-2026-019</x:v>
      </x:c>
      <x:c r="D98" s="12" t="str">
        <x:v>Community Service</x:v>
      </x:c>
      <x:c r="E98" s="12" t="str">
        <x:v>Learning Hub</x:v>
      </x:c>
      <x:c r="F98" s="12" t="str">
        <x:v>Thanh toán Community Service - đợt 1</x:v>
      </x:c>
      <x:c r="G98" s="16" t="n">
        <x:v>55691000</x:v>
      </x:c>
      <x:c r="H98" s="16" t="n">
        <x:f>G98*10%</x:f>
        <x:v>5569100</x:v>
      </x:c>
      <x:c r="I98" s="16" t="n">
        <x:f>G98+H98</x:f>
        <x:v>61260100</x:v>
      </x:c>
      <x:c r="J98" s="22" t="n">
        <x:v>46231</x:v>
      </x:c>
      <x:c r="K98" s="12" t="str">
        <x:v>Đã thanh toán</x:v>
      </x:c>
      <x:c r="L98" s="12" t="str">
        <x:v>Phạm Quang Huy</x:v>
      </x:c>
      <x:c r="M98" s="12" t="str">
        <x:v>Thiếu biên bản nghiệm thu</x:v>
      </x:c>
      <x:c r="N98" s="12" t="str"/>
    </x:row>
    <x:row r="99">
      <x:c r="A99" s="12" t="str">
        <x:v>PR-CTSV-2026-098</x:v>
      </x:c>
      <x:c r="B99" s="22" t="n">
        <x:v>46277</x:v>
      </x:c>
      <x:c r="C99" s="12" t="str">
        <x:v>DT-CTSV-2026-087</x:v>
      </x:c>
      <x:c r="D99" s="12" t="str">
        <x:v>Community Service</x:v>
      </x:c>
      <x:c r="E99" s="12" t="str">
        <x:v>TravelCare</x:v>
      </x:c>
      <x:c r="F99" s="12" t="str">
        <x:v>Thanh toán Community Service - đợt 4</x:v>
      </x:c>
      <x:c r="G99" s="16" t="n">
        <x:v>91330000</x:v>
      </x:c>
      <x:c r="H99" s="16" t="n">
        <x:f>G99*10%</x:f>
        <x:v>9133000</x:v>
      </x:c>
      <x:c r="I99" s="16" t="n">
        <x:f>G99+H99</x:f>
        <x:v>100463000</x:v>
      </x:c>
      <x:c r="J99" s="22" t="n">
        <x:v>46300</x:v>
      </x:c>
      <x:c r="K99" s="12" t="str">
        <x:v>Đã thanh toán</x:v>
      </x:c>
      <x:c r="L99" s="12" t="str">
        <x:v>Nguyễn Minh Anh</x:v>
      </x:c>
      <x:c r="M99" s="12" t="str">
        <x:v>Đầy đủ</x:v>
      </x:c>
      <x:c r="N99" s="12" t="str"/>
    </x:row>
    <x:row r="100">
      <x:c r="A100" s="12" t="str">
        <x:v>PR-CTSV-2026-099</x:v>
      </x:c>
      <x:c r="B100" s="22" t="n">
        <x:v>46367</x:v>
      </x:c>
      <x:c r="C100" s="12" t="str">
        <x:v>DT-CTSV-2026-036</x:v>
      </x:c>
      <x:c r="D100" s="12" t="str">
        <x:v>Career Fair</x:v>
      </x:c>
      <x:c r="E100" s="12" t="str">
        <x:v>VinUni Catering</x:v>
      </x:c>
      <x:c r="F100" s="12" t="str">
        <x:v>Thanh toán Career Fair - đợt 2</x:v>
      </x:c>
      <x:c r="G100" s="16" t="n">
        <x:v>97064000</x:v>
      </x:c>
      <x:c r="H100" s="16" t="n">
        <x:f>G100*10%</x:f>
        <x:v>9706400</x:v>
      </x:c>
      <x:c r="I100" s="16" t="n">
        <x:f>G100+H100</x:f>
        <x:v>106770400</x:v>
      </x:c>
      <x:c r="J100" s="22" t="n">
        <x:v>46384</x:v>
      </x:c>
      <x:c r="K100" s="12" t="str">
        <x:v>Chờ phê duyệt</x:v>
      </x:c>
      <x:c r="L100" s="12" t="str">
        <x:v>Trần Hoàng Nam</x:v>
      </x:c>
      <x:c r="M100" s="12" t="str">
        <x:v>Đang kiểm tra</x:v>
      </x:c>
      <x:c r="N100" s="12" t="str"/>
    </x:row>
    <x:row r="101">
      <x:c r="A101" s="12" t="str">
        <x:v>PR-CTSV-2026-100</x:v>
      </x:c>
      <x:c r="B101" s="22" t="n">
        <x:v>46306</x:v>
      </x:c>
      <x:c r="C101" s="12" t="str">
        <x:v>DT-CTSV-2026-077</x:v>
      </x:c>
      <x:c r="D101" s="12" t="str">
        <x:v>Scholarship Program</x:v>
      </x:c>
      <x:c r="E101" s="12" t="str">
        <x:v>TravelCare</x:v>
      </x:c>
      <x:c r="F101" s="12" t="str">
        <x:v>Thanh toán Scholarship Program - đợt 4</x:v>
      </x:c>
      <x:c r="G101" s="16" t="n">
        <x:v>62355000</x:v>
      </x:c>
      <x:c r="H101" s="16" t="n">
        <x:f>0</x:f>
        <x:v>0</x:v>
      </x:c>
      <x:c r="I101" s="16" t="n">
        <x:f>G101+H101</x:f>
        <x:v>62355000</x:v>
      </x:c>
      <x:c r="J101" s="22" t="n">
        <x:v>46335</x:v>
      </x:c>
      <x:c r="K101" s="12" t="str">
        <x:v>Chờ phê duyệt</x:v>
      </x:c>
      <x:c r="L101" s="12" t="str">
        <x:v>Phạm Quang Huy</x:v>
      </x:c>
      <x:c r="M101" s="12" t="str">
        <x:v>Đầy đủ</x:v>
      </x:c>
      <x:c r="N101" s="12" t="str"/>
    </x:row>
    <x:row r="102">
      <x:c r="A102" s="12" t="str">
        <x:v>PR-CTSV-2026-101</x:v>
      </x:c>
      <x:c r="B102" s="22" t="n">
        <x:v>46195</x:v>
      </x:c>
      <x:c r="C102" s="12" t="str">
        <x:v>DT-CTSV-2026-095</x:v>
      </x:c>
      <x:c r="D102" s="12" t="str">
        <x:v>Mental Health Program</x:v>
      </x:c>
      <x:c r="E102" s="12" t="str">
        <x:v>Viện Tâm lý Việt Nam</x:v>
      </x:c>
      <x:c r="F102" s="12" t="str">
        <x:v>Thanh toán Mental Health Program - đợt 1</x:v>
      </x:c>
      <x:c r="G102" s="16" t="n">
        <x:v>15823000</x:v>
      </x:c>
      <x:c r="H102" s="16" t="n">
        <x:f>G102*10%</x:f>
        <x:v>1582300</x:v>
      </x:c>
      <x:c r="I102" s="16" t="n">
        <x:f>G102+H102</x:f>
        <x:v>17405300</x:v>
      </x:c>
      <x:c r="J102" s="22" t="n">
        <x:v>46221</x:v>
      </x:c>
      <x:c r="K102" s="12" t="str">
        <x:v>Chờ bổ sung chứng từ</x:v>
      </x:c>
      <x:c r="L102" s="12" t="str">
        <x:v>Lê Thu Hà</x:v>
      </x:c>
      <x:c r="M102" s="12" t="str">
        <x:v>Thiếu hóa đơn</x:v>
      </x:c>
      <x:c r="N102" s="12" t="str"/>
    </x:row>
    <x:row r="103">
      <x:c r="A103" s="12" t="str">
        <x:v>PR-CTSV-2026-102</x:v>
      </x:c>
      <x:c r="B103" s="22" t="n">
        <x:v>46311</x:v>
      </x:c>
      <x:c r="C103" s="12" t="str">
        <x:v>DT-CTSV-2026-014</x:v>
      </x:c>
      <x:c r="D103" s="12" t="str">
        <x:v>Orientation Week</x:v>
      </x:c>
      <x:c r="E103" s="12" t="str">
        <x:v>Learning Hub</x:v>
      </x:c>
      <x:c r="F103" s="12" t="str">
        <x:v>Thanh toán Orientation Week - đợt 4</x:v>
      </x:c>
      <x:c r="G103" s="16" t="n">
        <x:v>22949000</x:v>
      </x:c>
      <x:c r="H103" s="16" t="n">
        <x:f>G103*10%</x:f>
        <x:v>2294900</x:v>
      </x:c>
      <x:c r="I103" s="16" t="n">
        <x:f>G103+H103</x:f>
        <x:v>25243900</x:v>
      </x:c>
      <x:c r="J103" s="22" t="n">
        <x:v>46322</x:v>
      </x:c>
      <x:c r="K103" s="12" t="str">
        <x:v>Đã duyệt</x:v>
      </x:c>
      <x:c r="L103" s="12" t="str">
        <x:v>Nguyễn Minh Anh</x:v>
      </x:c>
      <x:c r="M103" s="12" t="str">
        <x:v>Đầy đủ</x:v>
      </x:c>
      <x:c r="N103" s="12" t="str"/>
    </x:row>
    <x:row r="104">
      <x:c r="A104" s="12" t="str">
        <x:v>PR-CTSV-2026-103</x:v>
      </x:c>
      <x:c r="B104" s="22" t="n">
        <x:v>46037</x:v>
      </x:c>
      <x:c r="C104" s="12" t="str">
        <x:v>DT-CTSV-2026-049</x:v>
      </x:c>
      <x:c r="D104" s="12" t="str">
        <x:v>Student Clubs</x:v>
      </x:c>
      <x:c r="E104" s="12" t="str">
        <x:v>Wellbeing Clinic</x:v>
      </x:c>
      <x:c r="F104" s="12" t="str">
        <x:v>Thanh toán Student Clubs - đợt 2</x:v>
      </x:c>
      <x:c r="G104" s="16" t="n">
        <x:v>39702000</x:v>
      </x:c>
      <x:c r="H104" s="16" t="n">
        <x:f>G104*10%</x:f>
        <x:v>3970200</x:v>
      </x:c>
      <x:c r="I104" s="16" t="n">
        <x:f>G104+H104</x:f>
        <x:v>43672200</x:v>
      </x:c>
      <x:c r="J104" s="22" t="n">
        <x:v>46057</x:v>
      </x:c>
      <x:c r="K104" s="12" t="str">
        <x:v>Chờ bổ sung chứng từ</x:v>
      </x:c>
      <x:c r="L104" s="12" t="str">
        <x:v>Đỗ Hải Yến</x:v>
      </x:c>
      <x:c r="M104" s="12" t="str">
        <x:v>Đầy đủ</x:v>
      </x:c>
      <x:c r="N104" s="12" t="str"/>
    </x:row>
    <x:row r="105">
      <x:c r="A105" s="12" t="str">
        <x:v>PR-CTSV-2026-104</x:v>
      </x:c>
      <x:c r="B105" s="22" t="n">
        <x:v>46272</x:v>
      </x:c>
      <x:c r="C105" s="12" t="str">
        <x:v>DT-CTSV-2026-036</x:v>
      </x:c>
      <x:c r="D105" s="12" t="str">
        <x:v>Career Fair</x:v>
      </x:c>
      <x:c r="E105" s="12" t="str">
        <x:v>IT Solutions Edu</x:v>
      </x:c>
      <x:c r="F105" s="12" t="str">
        <x:v>Thanh toán Career Fair - đợt 4</x:v>
      </x:c>
      <x:c r="G105" s="16" t="n">
        <x:v>68623000</x:v>
      </x:c>
      <x:c r="H105" s="16" t="n">
        <x:f>G105*10%</x:f>
        <x:v>6862300</x:v>
      </x:c>
      <x:c r="I105" s="16" t="n">
        <x:f>G105+H105</x:f>
        <x:v>75485300</x:v>
      </x:c>
      <x:c r="J105" s="22" t="n">
        <x:v>46289</x:v>
      </x:c>
      <x:c r="K105" s="12" t="str">
        <x:v>Đã duyệt</x:v>
      </x:c>
      <x:c r="L105" s="12" t="str">
        <x:v>Phạm Quang Huy</x:v>
      </x:c>
      <x:c r="M105" s="12" t="str">
        <x:v>Thiếu biên bản nghiệm thu</x:v>
      </x:c>
      <x:c r="N105" s="12" t="str"/>
    </x:row>
    <x:row r="106">
      <x:c r="A106" s="12" t="str">
        <x:v>PR-CTSV-2026-105</x:v>
      </x:c>
      <x:c r="B106" s="22" t="n">
        <x:v>46195</x:v>
      </x:c>
      <x:c r="C106" s="12" t="str">
        <x:v>DT-CTSV-2026-140</x:v>
      </x:c>
      <x:c r="D106" s="12" t="str">
        <x:v>International Exchange</x:v>
      </x:c>
      <x:c r="E106" s="12" t="str">
        <x:v>Community Support Center</x:v>
      </x:c>
      <x:c r="F106" s="12" t="str">
        <x:v>Thanh toán International Exchange - đợt 3</x:v>
      </x:c>
      <x:c r="G106" s="16" t="n">
        <x:v>93322000</x:v>
      </x:c>
      <x:c r="H106" s="16" t="n">
        <x:f>G106*10%</x:f>
        <x:v>9332200</x:v>
      </x:c>
      <x:c r="I106" s="16" t="n">
        <x:f>G106+H106</x:f>
        <x:v>102654200</x:v>
      </x:c>
      <x:c r="J106" s="22" t="n">
        <x:v>46221</x:v>
      </x:c>
      <x:c r="K106" s="12" t="str">
        <x:v>Chờ bổ sung chứng từ</x:v>
      </x:c>
      <x:c r="L106" s="12" t="str">
        <x:v>Trần Hoàng Nam</x:v>
      </x:c>
      <x:c r="M106" s="12" t="str">
        <x:v>Thiếu hóa đơn</x:v>
      </x:c>
      <x:c r="N106" s="12" t="str"/>
    </x:row>
    <x:row r="107">
      <x:c r="A107" s="12" t="str">
        <x:v>PR-CTSV-2026-106</x:v>
      </x:c>
      <x:c r="B107" s="22" t="n">
        <x:v>46275</x:v>
      </x:c>
      <x:c r="C107" s="12" t="str">
        <x:v>DT-CTSV-2026-072</x:v>
      </x:c>
      <x:c r="D107" s="12" t="str">
        <x:v>Scholarship Program</x:v>
      </x:c>
      <x:c r="E107" s="12" t="str">
        <x:v>Viện Tâm lý Việt Nam</x:v>
      </x:c>
      <x:c r="F107" s="12" t="str">
        <x:v>Thanh toán Scholarship Program - đợt 3</x:v>
      </x:c>
      <x:c r="G107" s="16" t="n">
        <x:v>29309000</x:v>
      </x:c>
      <x:c r="H107" s="16" t="n">
        <x:f>0</x:f>
        <x:v>0</x:v>
      </x:c>
      <x:c r="I107" s="16" t="n">
        <x:f>G107+H107</x:f>
        <x:v>29309000</x:v>
      </x:c>
      <x:c r="J107" s="22" t="n">
        <x:v>46304</x:v>
      </x:c>
      <x:c r="K107" s="12" t="str">
        <x:v>Đã duyệt</x:v>
      </x:c>
      <x:c r="L107" s="12" t="str">
        <x:v>Đỗ Hải Yến</x:v>
      </x:c>
      <x:c r="M107" s="12" t="str">
        <x:v>Đang kiểm tra</x:v>
      </x:c>
      <x:c r="N107" s="12" t="str"/>
    </x:row>
    <x:row r="108">
      <x:c r="A108" s="12" t="str">
        <x:v>PR-CTSV-2026-107</x:v>
      </x:c>
      <x:c r="B108" s="22" t="n">
        <x:v>46246</x:v>
      </x:c>
      <x:c r="C108" s="12" t="str">
        <x:v>DT-CTSV-2026-082</x:v>
      </x:c>
      <x:c r="D108" s="12" t="str">
        <x:v>Student Leadership</x:v>
      </x:c>
      <x:c r="E108" s="12" t="str">
        <x:v>Wellbeing Clinic</x:v>
      </x:c>
      <x:c r="F108" s="12" t="str">
        <x:v>Thanh toán Student Leadership - đợt 3</x:v>
      </x:c>
      <x:c r="G108" s="16" t="n">
        <x:v>68577000</x:v>
      </x:c>
      <x:c r="H108" s="16" t="n">
        <x:f>G108*10%</x:f>
        <x:v>6857700</x:v>
      </x:c>
      <x:c r="I108" s="16" t="n">
        <x:f>G108+H108</x:f>
        <x:v>75434700</x:v>
      </x:c>
      <x:c r="J108" s="22" t="n">
        <x:v>46262</x:v>
      </x:c>
      <x:c r="K108" s="12" t="str">
        <x:v>Đã thanh toán</x:v>
      </x:c>
      <x:c r="L108" s="12" t="str">
        <x:v>Vũ Khánh Linh</x:v>
      </x:c>
      <x:c r="M108" s="12" t="str">
        <x:v>Đang kiểm tra</x:v>
      </x:c>
      <x:c r="N108" s="12" t="str"/>
    </x:row>
    <x:row r="109">
      <x:c r="A109" s="12" t="str">
        <x:v>PR-CTSV-2026-108</x:v>
      </x:c>
      <x:c r="B109" s="22" t="n">
        <x:v>46198</x:v>
      </x:c>
      <x:c r="C109" s="12" t="str">
        <x:v>DT-CTSV-2026-102</x:v>
      </x:c>
      <x:c r="D109" s="12" t="str">
        <x:v>Student Wellbeing</x:v>
      </x:c>
      <x:c r="E109" s="12" t="str">
        <x:v>Viện Tâm lý Việt Nam</x:v>
      </x:c>
      <x:c r="F109" s="12" t="str">
        <x:v>Thanh toán Student Wellbeing - đợt 1</x:v>
      </x:c>
      <x:c r="G109" s="16" t="n">
        <x:v>97140000</x:v>
      </x:c>
      <x:c r="H109" s="16" t="n">
        <x:f>G109*10%</x:f>
        <x:v>9714000</x:v>
      </x:c>
      <x:c r="I109" s="16" t="n">
        <x:f>G109+H109</x:f>
        <x:v>106854000</x:v>
      </x:c>
      <x:c r="J109" s="22" t="n">
        <x:v>46216</x:v>
      </x:c>
      <x:c r="K109" s="12" t="str">
        <x:v>Chờ bổ sung chứng từ</x:v>
      </x:c>
      <x:c r="L109" s="12" t="str">
        <x:v>Đỗ Hải Yến</x:v>
      </x:c>
      <x:c r="M109" s="12" t="str">
        <x:v>Thiếu biên bản nghiệm thu</x:v>
      </x:c>
      <x:c r="N109" s="12" t="str"/>
    </x:row>
    <x:row r="110">
      <x:c r="A110" s="12" t="str">
        <x:v>PR-CTSV-2026-109</x:v>
      </x:c>
      <x:c r="B110" s="22" t="n">
        <x:v>46119</x:v>
      </x:c>
      <x:c r="C110" s="12" t="str">
        <x:v>DT-CTSV-2026-123</x:v>
      </x:c>
      <x:c r="D110" s="12" t="str">
        <x:v>Community Service</x:v>
      </x:c>
      <x:c r="E110" s="12" t="str">
        <x:v>TravelCare</x:v>
      </x:c>
      <x:c r="F110" s="12" t="str">
        <x:v>Thanh toán Community Service - đợt 3</x:v>
      </x:c>
      <x:c r="G110" s="16" t="n">
        <x:v>99870000</x:v>
      </x:c>
      <x:c r="H110" s="16" t="n">
        <x:f>G110*10%</x:f>
        <x:v>9987000</x:v>
      </x:c>
      <x:c r="I110" s="16" t="n">
        <x:f>G110+H110</x:f>
        <x:v>109857000</x:v>
      </x:c>
      <x:c r="J110" s="22" t="n">
        <x:v>46130</x:v>
      </x:c>
      <x:c r="K110" s="12" t="str">
        <x:v>Đã thanh toán</x:v>
      </x:c>
      <x:c r="L110" s="12" t="str">
        <x:v>Vũ Khánh Linh</x:v>
      </x:c>
      <x:c r="M110" s="12" t="str">
        <x:v>Thiếu hóa đơn</x:v>
      </x:c>
      <x:c r="N110" s="12" t="str"/>
    </x:row>
    <x:row r="111">
      <x:c r="A111" s="12" t="str">
        <x:v>PR-CTSV-2026-110</x:v>
      </x:c>
      <x:c r="B111" s="22" t="n">
        <x:v>46044</x:v>
      </x:c>
      <x:c r="C111" s="12" t="str">
        <x:v>DT-CTSV-2026-063</x:v>
      </x:c>
      <x:c r="D111" s="12" t="str">
        <x:v>Career Fair</x:v>
      </x:c>
      <x:c r="E111" s="12" t="str">
        <x:v>Career Expo JSC</x:v>
      </x:c>
      <x:c r="F111" s="12" t="str">
        <x:v>Thanh toán Career Fair - đợt 1</x:v>
      </x:c>
      <x:c r="G111" s="16" t="n">
        <x:v>108906000</x:v>
      </x:c>
      <x:c r="H111" s="16" t="n">
        <x:f>G111*10%</x:f>
        <x:v>10890600</x:v>
      </x:c>
      <x:c r="I111" s="16" t="n">
        <x:f>G111+H111</x:f>
        <x:v>119796600</x:v>
      </x:c>
      <x:c r="J111" s="22" t="n">
        <x:v>46054</x:v>
      </x:c>
      <x:c r="K111" s="12" t="str">
        <x:v>Chờ bổ sung chứng từ</x:v>
      </x:c>
      <x:c r="L111" s="12" t="str">
        <x:v>Lê Thu Hà</x:v>
      </x:c>
      <x:c r="M111" s="12" t="str">
        <x:v>Đang kiểm tra</x:v>
      </x:c>
      <x:c r="N111" s="12" t="str"/>
    </x:row>
    <x:row r="112">
      <x:c r="A112" s="12" t="str">
        <x:v>PR-CTSV-2026-111</x:v>
      </x:c>
      <x:c r="B112" s="22" t="n">
        <x:v>46351</x:v>
      </x:c>
      <x:c r="C112" s="12" t="str">
        <x:v>DT-CTSV-2026-026</x:v>
      </x:c>
      <x:c r="D112" s="12" t="str">
        <x:v>Graduation Ceremony</x:v>
      </x:c>
      <x:c r="E112" s="12" t="str">
        <x:v>VinUni Catering</x:v>
      </x:c>
      <x:c r="F112" s="12" t="str">
        <x:v>Thanh toán Graduation Ceremony - đợt 4</x:v>
      </x:c>
      <x:c r="G112" s="16" t="n">
        <x:v>19083000</x:v>
      </x:c>
      <x:c r="H112" s="16" t="n">
        <x:f>G112*10%</x:f>
        <x:v>1908300</x:v>
      </x:c>
      <x:c r="I112" s="16" t="n">
        <x:f>G112+H112</x:f>
        <x:v>20991300</x:v>
      </x:c>
      <x:c r="J112" s="22" t="n">
        <x:v>46378</x:v>
      </x:c>
      <x:c r="K112" s="12" t="str">
        <x:v>Chờ bổ sung chứng từ</x:v>
      </x:c>
      <x:c r="L112" s="12" t="str">
        <x:v>Phạm Quang Huy</x:v>
      </x:c>
      <x:c r="M112" s="12" t="str">
        <x:v>Thiếu hóa đơn</x:v>
      </x:c>
      <x:c r="N112" s="12" t="str"/>
    </x:row>
    <x:row r="113">
      <x:c r="A113" s="12" t="str">
        <x:v>PR-CTSV-2026-112</x:v>
      </x:c>
      <x:c r="B113" s="22" t="n">
        <x:v>46183</x:v>
      </x:c>
      <x:c r="C113" s="12" t="str">
        <x:v>DT-CTSV-2026-074</x:v>
      </x:c>
      <x:c r="D113" s="12" t="str">
        <x:v>Career Fair</x:v>
      </x:c>
      <x:c r="E113" s="12" t="str">
        <x:v>Công ty Đồng phục ABC</x:v>
      </x:c>
      <x:c r="F113" s="12" t="str">
        <x:v>Thanh toán Career Fair - đợt 2</x:v>
      </x:c>
      <x:c r="G113" s="16" t="n">
        <x:v>78570000</x:v>
      </x:c>
      <x:c r="H113" s="16" t="n">
        <x:f>G113*10%</x:f>
        <x:v>7857000</x:v>
      </x:c>
      <x:c r="I113" s="16" t="n">
        <x:f>G113+H113</x:f>
        <x:v>86427000</x:v>
      </x:c>
      <x:c r="J113" s="22" t="n">
        <x:v>46207</x:v>
      </x:c>
      <x:c r="K113" s="12" t="str">
        <x:v>Đã thanh toán</x:v>
      </x:c>
      <x:c r="L113" s="12" t="str">
        <x:v>Trần Hoàng Nam</x:v>
      </x:c>
      <x:c r="M113" s="12" t="str">
        <x:v>Đang kiểm tra</x:v>
      </x:c>
      <x:c r="N113" s="12" t="str"/>
    </x:row>
    <x:row r="114">
      <x:c r="A114" s="12" t="str">
        <x:v>PR-CTSV-2026-113</x:v>
      </x:c>
      <x:c r="B114" s="22" t="n">
        <x:v>46035</x:v>
      </x:c>
      <x:c r="C114" s="12" t="str">
        <x:v>DT-CTSV-2026-046</x:v>
      </x:c>
      <x:c r="D114" s="12" t="str">
        <x:v>Orientation Week</x:v>
      </x:c>
      <x:c r="E114" s="12" t="str">
        <x:v>Wellbeing Clinic</x:v>
      </x:c>
      <x:c r="F114" s="12" t="str">
        <x:v>Thanh toán Orientation Week - đợt 3</x:v>
      </x:c>
      <x:c r="G114" s="16" t="n">
        <x:v>95191000</x:v>
      </x:c>
      <x:c r="H114" s="16" t="n">
        <x:f>G114*10%</x:f>
        <x:v>9519100</x:v>
      </x:c>
      <x:c r="I114" s="16" t="n">
        <x:f>G114+H114</x:f>
        <x:v>104710100</x:v>
      </x:c>
      <x:c r="J114" s="22" t="n">
        <x:v>46043</x:v>
      </x:c>
      <x:c r="K114" s="12" t="str">
        <x:v>Đã thanh toán</x:v>
      </x:c>
      <x:c r="L114" s="12" t="str">
        <x:v>Lê Thu Hà</x:v>
      </x:c>
      <x:c r="M114" s="12" t="str">
        <x:v>Đầy đủ</x:v>
      </x:c>
      <x:c r="N114" s="12" t="str"/>
    </x:row>
    <x:row r="115">
      <x:c r="A115" s="12" t="str">
        <x:v>PR-CTSV-2026-114</x:v>
      </x:c>
      <x:c r="B115" s="22" t="n">
        <x:v>46157</x:v>
      </x:c>
      <x:c r="C115" s="12" t="str">
        <x:v>DT-CTSV-2026-086</x:v>
      </x:c>
      <x:c r="D115" s="12" t="str">
        <x:v>Scholarship Program</x:v>
      </x:c>
      <x:c r="E115" s="12" t="str">
        <x:v>TravelCare</x:v>
      </x:c>
      <x:c r="F115" s="12" t="str">
        <x:v>Thanh toán Scholarship Program - đợt 4</x:v>
      </x:c>
      <x:c r="G115" s="16" t="n">
        <x:v>118724000</x:v>
      </x:c>
      <x:c r="H115" s="16" t="n">
        <x:f>0</x:f>
        <x:v>0</x:v>
      </x:c>
      <x:c r="I115" s="16" t="n">
        <x:f>G115+H115</x:f>
        <x:v>118724000</x:v>
      </x:c>
      <x:c r="J115" s="22" t="n">
        <x:v>46168</x:v>
      </x:c>
      <x:c r="K115" s="12" t="str">
        <x:v>Chờ bổ sung chứng từ</x:v>
      </x:c>
      <x:c r="L115" s="12" t="str">
        <x:v>Lê Thu Hà</x:v>
      </x:c>
      <x:c r="M115" s="12" t="str">
        <x:v>Thiếu hóa đơn</x:v>
      </x:c>
      <x:c r="N115" s="12" t="str"/>
    </x:row>
    <x:row r="116">
      <x:c r="A116" s="12" t="str">
        <x:v>PR-CTSV-2026-115</x:v>
      </x:c>
      <x:c r="B116" s="22" t="n">
        <x:v>46179</x:v>
      </x:c>
      <x:c r="C116" s="12" t="str">
        <x:v>DT-CTSV-2026-029</x:v>
      </x:c>
      <x:c r="D116" s="12" t="str">
        <x:v>Student Clubs</x:v>
      </x:c>
      <x:c r="E116" s="12" t="str">
        <x:v>Wellbeing Clinic</x:v>
      </x:c>
      <x:c r="F116" s="12" t="str">
        <x:v>Thanh toán Student Clubs - đợt 2</x:v>
      </x:c>
      <x:c r="G116" s="16" t="n">
        <x:v>88540000</x:v>
      </x:c>
      <x:c r="H116" s="16" t="n">
        <x:f>G116*10%</x:f>
        <x:v>8854000</x:v>
      </x:c>
      <x:c r="I116" s="16" t="n">
        <x:f>G116+H116</x:f>
        <x:v>97394000</x:v>
      </x:c>
      <x:c r="J116" s="22" t="n">
        <x:v>46186</x:v>
      </x:c>
      <x:c r="K116" s="12" t="str">
        <x:v>Chờ phê duyệt</x:v>
      </x:c>
      <x:c r="L116" s="12" t="str">
        <x:v>Lê Thu Hà</x:v>
      </x:c>
      <x:c r="M116" s="12" t="str">
        <x:v>Thiếu hóa đơn</x:v>
      </x:c>
      <x:c r="N116" s="12" t="str"/>
    </x:row>
    <x:row r="117">
      <x:c r="A117" s="12" t="str">
        <x:v>PR-CTSV-2026-116</x:v>
      </x:c>
      <x:c r="B117" s="22" t="n">
        <x:v>46316</x:v>
      </x:c>
      <x:c r="C117" s="12" t="str">
        <x:v>DT-CTSV-2026-045</x:v>
      </x:c>
      <x:c r="D117" s="12" t="str">
        <x:v>Career Fair</x:v>
      </x:c>
      <x:c r="E117" s="12" t="str">
        <x:v>TravelCare</x:v>
      </x:c>
      <x:c r="F117" s="12" t="str">
        <x:v>Thanh toán Career Fair - đợt 3</x:v>
      </x:c>
      <x:c r="G117" s="16" t="n">
        <x:v>107954000</x:v>
      </x:c>
      <x:c r="H117" s="16" t="n">
        <x:f>G117*10%</x:f>
        <x:v>10795400</x:v>
      </x:c>
      <x:c r="I117" s="16" t="n">
        <x:f>G117+H117</x:f>
        <x:v>118749400</x:v>
      </x:c>
      <x:c r="J117" s="22" t="n">
        <x:v>46325</x:v>
      </x:c>
      <x:c r="K117" s="12" t="str">
        <x:v>Chờ bổ sung chứng từ</x:v>
      </x:c>
      <x:c r="L117" s="12" t="str">
        <x:v>Đỗ Hải Yến</x:v>
      </x:c>
      <x:c r="M117" s="12" t="str">
        <x:v>Đầy đủ</x:v>
      </x:c>
      <x:c r="N117" s="12" t="str"/>
    </x:row>
    <x:row r="118">
      <x:c r="A118" s="12" t="str">
        <x:v>PR-CTSV-2026-117</x:v>
      </x:c>
      <x:c r="B118" s="22" t="n">
        <x:v>46097</x:v>
      </x:c>
      <x:c r="C118" s="12" t="str">
        <x:v>DT-CTSV-2026-048</x:v>
      </x:c>
      <x:c r="D118" s="12" t="str">
        <x:v>Mental Health Program</x:v>
      </x:c>
      <x:c r="E118" s="12" t="str">
        <x:v>Viện Tâm lý Việt Nam</x:v>
      </x:c>
      <x:c r="F118" s="12" t="str">
        <x:v>Thanh toán Mental Health Program - đợt 4</x:v>
      </x:c>
      <x:c r="G118" s="16" t="n">
        <x:v>40861000</x:v>
      </x:c>
      <x:c r="H118" s="16" t="n">
        <x:f>G118*10%</x:f>
        <x:v>4086100</x:v>
      </x:c>
      <x:c r="I118" s="16" t="n">
        <x:f>G118+H118</x:f>
        <x:v>44947100</x:v>
      </x:c>
      <x:c r="J118" s="22" t="n">
        <x:v>46111</x:v>
      </x:c>
      <x:c r="K118" s="12" t="str">
        <x:v>Chờ bổ sung chứng từ</x:v>
      </x:c>
      <x:c r="L118" s="12" t="str">
        <x:v>Lê Thu Hà</x:v>
      </x:c>
      <x:c r="M118" s="12" t="str">
        <x:v>Thiếu biên bản nghiệm thu</x:v>
      </x:c>
      <x:c r="N118" s="12" t="str"/>
    </x:row>
    <x:row r="119">
      <x:c r="A119" s="12" t="str">
        <x:v>PR-CTSV-2026-118</x:v>
      </x:c>
      <x:c r="B119" s="22" t="n">
        <x:v>46319</x:v>
      </x:c>
      <x:c r="C119" s="12" t="str">
        <x:v>DT-CTSV-2026-078</x:v>
      </x:c>
      <x:c r="D119" s="12" t="str">
        <x:v>Graduation Ceremony</x:v>
      </x:c>
      <x:c r="E119" s="12" t="str">
        <x:v>Student Life Partner</x:v>
      </x:c>
      <x:c r="F119" s="12" t="str">
        <x:v>Thanh toán Graduation Ceremony - đợt 2</x:v>
      </x:c>
      <x:c r="G119" s="16" t="n">
        <x:v>70026000</x:v>
      </x:c>
      <x:c r="H119" s="16" t="n">
        <x:f>G119*10%</x:f>
        <x:v>7002600</x:v>
      </x:c>
      <x:c r="I119" s="16" t="n">
        <x:f>G119+H119</x:f>
        <x:v>77028600</x:v>
      </x:c>
      <x:c r="J119" s="22" t="n">
        <x:v>46327</x:v>
      </x:c>
      <x:c r="K119" s="12" t="str">
        <x:v>Đã thanh toán</x:v>
      </x:c>
      <x:c r="L119" s="12" t="str">
        <x:v>Phạm Quang Huy</x:v>
      </x:c>
      <x:c r="M119" s="12" t="str">
        <x:v>Thiếu biên bản nghiệm thu</x:v>
      </x:c>
      <x:c r="N119" s="12" t="str"/>
    </x:row>
    <x:row r="120">
      <x:c r="A120" s="12" t="str">
        <x:v>PR-CTSV-2026-119</x:v>
      </x:c>
      <x:c r="B120" s="22" t="n">
        <x:v>46225</x:v>
      </x:c>
      <x:c r="C120" s="12" t="str">
        <x:v>DT-CTSV-2026-041</x:v>
      </x:c>
      <x:c r="D120" s="12" t="str">
        <x:v>Community Service</x:v>
      </x:c>
      <x:c r="E120" s="12" t="str">
        <x:v>Wellbeing Clinic</x:v>
      </x:c>
      <x:c r="F120" s="12" t="str">
        <x:v>Thanh toán Community Service - đợt 3</x:v>
      </x:c>
      <x:c r="G120" s="16" t="n">
        <x:v>61794000</x:v>
      </x:c>
      <x:c r="H120" s="16" t="n">
        <x:f>G120*10%</x:f>
        <x:v>6179400</x:v>
      </x:c>
      <x:c r="I120" s="16" t="n">
        <x:f>G120+H120</x:f>
        <x:v>67973400</x:v>
      </x:c>
      <x:c r="J120" s="22" t="n">
        <x:v>46254</x:v>
      </x:c>
      <x:c r="K120" s="12" t="str">
        <x:v>Đã thanh toán</x:v>
      </x:c>
      <x:c r="L120" s="12" t="str">
        <x:v>Đỗ Hải Yến</x:v>
      </x:c>
      <x:c r="M120" s="12" t="str">
        <x:v>Thiếu biên bản nghiệm thu</x:v>
      </x:c>
      <x:c r="N120" s="12" t="str"/>
    </x:row>
    <x:row r="121">
      <x:c r="A121" s="12" t="str">
        <x:v>PR-CTSV-2026-120</x:v>
      </x:c>
      <x:c r="B121" s="22" t="n">
        <x:v>46303</x:v>
      </x:c>
      <x:c r="C121" s="12" t="str">
        <x:v>DT-CTSV-2026-095</x:v>
      </x:c>
      <x:c r="D121" s="12" t="str">
        <x:v>Mental Health Program</x:v>
      </x:c>
      <x:c r="E121" s="12" t="str">
        <x:v>VinUni Catering</x:v>
      </x:c>
      <x:c r="F121" s="12" t="str">
        <x:v>Thanh toán Mental Health Program - đợt 4</x:v>
      </x:c>
      <x:c r="G121" s="16" t="n">
        <x:v>28638000</x:v>
      </x:c>
      <x:c r="H121" s="16" t="n">
        <x:f>G121*10%</x:f>
        <x:v>2863800</x:v>
      </x:c>
      <x:c r="I121" s="16" t="n">
        <x:f>G121+H121</x:f>
        <x:v>31501800</x:v>
      </x:c>
      <x:c r="J121" s="22" t="n">
        <x:v>46333</x:v>
      </x:c>
      <x:c r="K121" s="12" t="str">
        <x:v>Chờ phê duyệt</x:v>
      </x:c>
      <x:c r="L121" s="12" t="str">
        <x:v>Phạm Quang Huy</x:v>
      </x:c>
      <x:c r="M121" s="12" t="str">
        <x:v>Đang kiểm tra</x:v>
      </x:c>
      <x:c r="N121" s="12" t="str"/>
    </x:row>
    <x:row r="122">
      <x:c r="A122" s="12" t="str">
        <x:v>PR-CTSV-2026-121</x:v>
      </x:c>
      <x:c r="B122" s="22" t="n">
        <x:v>46333</x:v>
      </x:c>
      <x:c r="C122" s="12" t="str">
        <x:v>DT-CTSV-2026-138</x:v>
      </x:c>
      <x:c r="D122" s="12" t="str">
        <x:v>Community Service</x:v>
      </x:c>
      <x:c r="E122" s="12" t="str">
        <x:v>Learning Hub</x:v>
      </x:c>
      <x:c r="F122" s="12" t="str">
        <x:v>Thanh toán Community Service - đợt 1</x:v>
      </x:c>
      <x:c r="G122" s="16" t="n">
        <x:v>92137000</x:v>
      </x:c>
      <x:c r="H122" s="16" t="n">
        <x:f>G122*10%</x:f>
        <x:v>9213700</x:v>
      </x:c>
      <x:c r="I122" s="16" t="n">
        <x:f>G122+H122</x:f>
        <x:v>101350700</x:v>
      </x:c>
      <x:c r="J122" s="22" t="n">
        <x:v>46356</x:v>
      </x:c>
      <x:c r="K122" s="12" t="str">
        <x:v>Chờ bổ sung chứng từ</x:v>
      </x:c>
      <x:c r="L122" s="12" t="str">
        <x:v>Vũ Khánh Linh</x:v>
      </x:c>
      <x:c r="M122" s="12" t="str">
        <x:v>Thiếu biên bản nghiệm thu</x:v>
      </x:c>
      <x:c r="N122" s="12" t="str"/>
    </x:row>
    <x:row r="123">
      <x:c r="A123" s="12" t="str">
        <x:v>PR-CTSV-2026-122</x:v>
      </x:c>
      <x:c r="B123" s="22" t="n">
        <x:v>46299</x:v>
      </x:c>
      <x:c r="C123" s="12" t="str">
        <x:v>DT-CTSV-2026-020</x:v>
      </x:c>
      <x:c r="D123" s="12" t="str">
        <x:v>Mental Health Program</x:v>
      </x:c>
      <x:c r="E123" s="12" t="str">
        <x:v>TravelCare</x:v>
      </x:c>
      <x:c r="F123" s="12" t="str">
        <x:v>Thanh toán Mental Health Program - đợt 2</x:v>
      </x:c>
      <x:c r="G123" s="16" t="n">
        <x:v>10225000</x:v>
      </x:c>
      <x:c r="H123" s="16" t="n">
        <x:f>G123*10%</x:f>
        <x:v>1022500</x:v>
      </x:c>
      <x:c r="I123" s="16" t="n">
        <x:f>G123+H123</x:f>
        <x:v>11247500</x:v>
      </x:c>
      <x:c r="J123" s="22" t="n">
        <x:v>46324</x:v>
      </x:c>
      <x:c r="K123" s="12" t="str">
        <x:v>Đã duyệt</x:v>
      </x:c>
      <x:c r="L123" s="12" t="str">
        <x:v>Trần Hoàng Nam</x:v>
      </x:c>
      <x:c r="M123" s="12" t="str">
        <x:v>Thiếu biên bản nghiệm thu</x:v>
      </x:c>
      <x:c r="N123" s="12" t="str"/>
    </x:row>
    <x:row r="124">
      <x:c r="A124" s="12" t="str">
        <x:v>PR-CTSV-2026-123</x:v>
      </x:c>
      <x:c r="B124" s="22" t="n">
        <x:v>46238</x:v>
      </x:c>
      <x:c r="C124" s="12" t="str">
        <x:v>DT-CTSV-2026-134</x:v>
      </x:c>
      <x:c r="D124" s="12" t="str">
        <x:v>Student Leadership</x:v>
      </x:c>
      <x:c r="E124" s="12" t="str">
        <x:v>IT Solutions Edu</x:v>
      </x:c>
      <x:c r="F124" s="12" t="str">
        <x:v>Thanh toán Student Leadership - đợt 1</x:v>
      </x:c>
      <x:c r="G124" s="16" t="n">
        <x:v>82594000</x:v>
      </x:c>
      <x:c r="H124" s="16" t="n">
        <x:f>G124*10%</x:f>
        <x:v>8259400</x:v>
      </x:c>
      <x:c r="I124" s="16" t="n">
        <x:f>G124+H124</x:f>
        <x:v>90853400</x:v>
      </x:c>
      <x:c r="J124" s="22" t="n">
        <x:v>46261</x:v>
      </x:c>
      <x:c r="K124" s="12" t="str">
        <x:v>Chờ bổ sung chứng từ</x:v>
      </x:c>
      <x:c r="L124" s="12" t="str">
        <x:v>Nguyễn Minh Anh</x:v>
      </x:c>
      <x:c r="M124" s="12" t="str">
        <x:v>Đang kiểm tra</x:v>
      </x:c>
      <x:c r="N124" s="12" t="str"/>
    </x:row>
    <x:row r="125">
      <x:c r="A125" s="12" t="str">
        <x:v>PR-CTSV-2026-124</x:v>
      </x:c>
      <x:c r="B125" s="22" t="n">
        <x:v>46279</x:v>
      </x:c>
      <x:c r="C125" s="12" t="str">
        <x:v>DT-CTSV-2026-034</x:v>
      </x:c>
      <x:c r="D125" s="12" t="str">
        <x:v>Community Service</x:v>
      </x:c>
      <x:c r="E125" s="12" t="str">
        <x:v>IT Solutions Edu</x:v>
      </x:c>
      <x:c r="F125" s="12" t="str">
        <x:v>Thanh toán Community Service - đợt 3</x:v>
      </x:c>
      <x:c r="G125" s="16" t="n">
        <x:v>56445000</x:v>
      </x:c>
      <x:c r="H125" s="16" t="n">
        <x:f>0</x:f>
        <x:v>0</x:v>
      </x:c>
      <x:c r="I125" s="16" t="n">
        <x:f>G125+H125</x:f>
        <x:v>56445000</x:v>
      </x:c>
      <x:c r="J125" s="22" t="n">
        <x:v>46309</x:v>
      </x:c>
      <x:c r="K125" s="12" t="str">
        <x:v>Đã thanh toán</x:v>
      </x:c>
      <x:c r="L125" s="12" t="str">
        <x:v>Phạm Quang Huy</x:v>
      </x:c>
      <x:c r="M125" s="12" t="str">
        <x:v>Thiếu biên bản nghiệm thu</x:v>
      </x:c>
      <x:c r="N125" s="12" t="str"/>
    </x:row>
    <x:row r="126">
      <x:c r="A126" s="12" t="str">
        <x:v>PR-CTSV-2026-125</x:v>
      </x:c>
      <x:c r="B126" s="22" t="n">
        <x:v>46363</x:v>
      </x:c>
      <x:c r="C126" s="12" t="str">
        <x:v>DT-CTSV-2026-001</x:v>
      </x:c>
      <x:c r="D126" s="12" t="str">
        <x:v>Student Clubs</x:v>
      </x:c>
      <x:c r="E126" s="12" t="str">
        <x:v>Student Life Partner</x:v>
      </x:c>
      <x:c r="F126" s="12" t="str">
        <x:v>Thanh toán Student Clubs - đợt 1</x:v>
      </x:c>
      <x:c r="G126" s="16" t="n">
        <x:v>70662000</x:v>
      </x:c>
      <x:c r="H126" s="16" t="n">
        <x:f>0</x:f>
        <x:v>0</x:v>
      </x:c>
      <x:c r="I126" s="16" t="n">
        <x:f>G126+H126</x:f>
        <x:v>70662000</x:v>
      </x:c>
      <x:c r="J126" s="22" t="n">
        <x:v>46387</x:v>
      </x:c>
      <x:c r="K126" s="12" t="str">
        <x:v>Đã thanh toán</x:v>
      </x:c>
      <x:c r="L126" s="12" t="str">
        <x:v>Nguyễn Minh Anh</x:v>
      </x:c>
      <x:c r="M126" s="12" t="str">
        <x:v>Đang kiểm tra</x:v>
      </x:c>
      <x:c r="N126" s="12" t="str"/>
    </x:row>
    <x:row r="127">
      <x:c r="A127" s="12" t="str">
        <x:v>PR-CTSV-2026-126</x:v>
      </x:c>
      <x:c r="B127" s="22" t="n">
        <x:v>46156</x:v>
      </x:c>
      <x:c r="C127" s="12" t="str">
        <x:v>DT-CTSV-2026-009</x:v>
      </x:c>
      <x:c r="D127" s="12" t="str">
        <x:v>Career Fair</x:v>
      </x:c>
      <x:c r="E127" s="12" t="str">
        <x:v>Community Support Center</x:v>
      </x:c>
      <x:c r="F127" s="12" t="str">
        <x:v>Thanh toán Career Fair - đợt 4</x:v>
      </x:c>
      <x:c r="G127" s="16" t="n">
        <x:v>24057000</x:v>
      </x:c>
      <x:c r="H127" s="16" t="n">
        <x:f>G127*10%</x:f>
        <x:v>2405700</x:v>
      </x:c>
      <x:c r="I127" s="16" t="n">
        <x:f>G127+H127</x:f>
        <x:v>26462700</x:v>
      </x:c>
      <x:c r="J127" s="22" t="n">
        <x:v>46174</x:v>
      </x:c>
      <x:c r="K127" s="12" t="str">
        <x:v>Chờ bổ sung chứng từ</x:v>
      </x:c>
      <x:c r="L127" s="12" t="str">
        <x:v>Phạm Quang Huy</x:v>
      </x:c>
      <x:c r="M127" s="12" t="str">
        <x:v>Đang kiểm tra</x:v>
      </x:c>
      <x:c r="N127" s="12" t="str"/>
    </x:row>
    <x:row r="128">
      <x:c r="A128" s="12" t="str">
        <x:v>PR-CTSV-2026-127</x:v>
      </x:c>
      <x:c r="B128" s="22" t="n">
        <x:v>46075</x:v>
      </x:c>
      <x:c r="C128" s="12" t="str">
        <x:v>DT-CTSV-2026-097</x:v>
      </x:c>
      <x:c r="D128" s="12" t="str">
        <x:v>Career Fair</x:v>
      </x:c>
      <x:c r="E128" s="12" t="str">
        <x:v>VinUni Catering</x:v>
      </x:c>
      <x:c r="F128" s="12" t="str">
        <x:v>Thanh toán Career Fair - đợt 3</x:v>
      </x:c>
      <x:c r="G128" s="16" t="n">
        <x:v>115804000</x:v>
      </x:c>
      <x:c r="H128" s="16" t="n">
        <x:f>G128*10%</x:f>
        <x:v>11580400</x:v>
      </x:c>
      <x:c r="I128" s="16" t="n">
        <x:f>G128+H128</x:f>
        <x:v>127384400</x:v>
      </x:c>
      <x:c r="J128" s="22" t="n">
        <x:v>46085</x:v>
      </x:c>
      <x:c r="K128" s="12" t="str">
        <x:v>Đã duyệt</x:v>
      </x:c>
      <x:c r="L128" s="12" t="str">
        <x:v>Vũ Khánh Linh</x:v>
      </x:c>
      <x:c r="M128" s="12" t="str">
        <x:v>Đang kiểm tra</x:v>
      </x:c>
      <x:c r="N128" s="12" t="str"/>
    </x:row>
    <x:row r="129">
      <x:c r="A129" s="12" t="str">
        <x:v>PR-CTSV-2026-128</x:v>
      </x:c>
      <x:c r="B129" s="22" t="n">
        <x:v>46105</x:v>
      </x:c>
      <x:c r="C129" s="12" t="str">
        <x:v>DT-CTSV-2026-136</x:v>
      </x:c>
      <x:c r="D129" s="12" t="str">
        <x:v>Graduation Ceremony</x:v>
      </x:c>
      <x:c r="E129" s="12" t="str">
        <x:v>EventPlus Vietnam</x:v>
      </x:c>
      <x:c r="F129" s="12" t="str">
        <x:v>Thanh toán Graduation Ceremony - đợt 3</x:v>
      </x:c>
      <x:c r="G129" s="16" t="n">
        <x:v>117510000</x:v>
      </x:c>
      <x:c r="H129" s="16" t="n">
        <x:f>G129*10%</x:f>
        <x:v>11751000</x:v>
      </x:c>
      <x:c r="I129" s="16" t="n">
        <x:f>G129+H129</x:f>
        <x:v>129261000</x:v>
      </x:c>
      <x:c r="J129" s="22" t="n">
        <x:v>46126</x:v>
      </x:c>
      <x:c r="K129" s="12" t="str">
        <x:v>Chờ bổ sung chứng từ</x:v>
      </x:c>
      <x:c r="L129" s="12" t="str">
        <x:v>Vũ Khánh Linh</x:v>
      </x:c>
      <x:c r="M129" s="12" t="str">
        <x:v>Đang kiểm tra</x:v>
      </x:c>
      <x:c r="N129" s="12" t="str"/>
    </x:row>
    <x:row r="130">
      <x:c r="A130" s="12" t="str">
        <x:v>PR-CTSV-2026-129</x:v>
      </x:c>
      <x:c r="B130" s="22" t="n">
        <x:v>46127</x:v>
      </x:c>
      <x:c r="C130" s="12" t="str">
        <x:v>DT-CTSV-2026-059</x:v>
      </x:c>
      <x:c r="D130" s="12" t="str">
        <x:v>Career Fair</x:v>
      </x:c>
      <x:c r="E130" s="12" t="str">
        <x:v>Wellbeing Clinic</x:v>
      </x:c>
      <x:c r="F130" s="12" t="str">
        <x:v>Thanh toán Career Fair - đợt 1</x:v>
      </x:c>
      <x:c r="G130" s="16" t="n">
        <x:v>43500000</x:v>
      </x:c>
      <x:c r="H130" s="16" t="n">
        <x:f>G130*10%</x:f>
        <x:v>4350000</x:v>
      </x:c>
      <x:c r="I130" s="16" t="n">
        <x:f>G130+H130</x:f>
        <x:v>47850000</x:v>
      </x:c>
      <x:c r="J130" s="22" t="n">
        <x:v>46135</x:v>
      </x:c>
      <x:c r="K130" s="12" t="str">
        <x:v>Chờ bổ sung chứng từ</x:v>
      </x:c>
      <x:c r="L130" s="12" t="str">
        <x:v>Vũ Khánh Linh</x:v>
      </x:c>
      <x:c r="M130" s="12" t="str">
        <x:v>Đầy đủ</x:v>
      </x:c>
      <x:c r="N130" s="12" t="str"/>
    </x:row>
    <x:row r="131">
      <x:c r="A131" s="12" t="str">
        <x:v>PR-CTSV-2026-130</x:v>
      </x:c>
      <x:c r="B131" s="22" t="n">
        <x:v>46115</x:v>
      </x:c>
      <x:c r="C131" s="12" t="str">
        <x:v>DT-CTSV-2026-062</x:v>
      </x:c>
      <x:c r="D131" s="12" t="str">
        <x:v>Career Fair</x:v>
      </x:c>
      <x:c r="E131" s="12" t="str">
        <x:v>Learning Hub</x:v>
      </x:c>
      <x:c r="F131" s="12" t="str">
        <x:v>Thanh toán Career Fair - đợt 1</x:v>
      </x:c>
      <x:c r="G131" s="16" t="n">
        <x:v>14804000</x:v>
      </x:c>
      <x:c r="H131" s="16" t="n">
        <x:f>0</x:f>
        <x:v>0</x:v>
      </x:c>
      <x:c r="I131" s="16" t="n">
        <x:f>G131+H131</x:f>
        <x:v>14804000</x:v>
      </x:c>
      <x:c r="J131" s="22" t="n">
        <x:v>46129</x:v>
      </x:c>
      <x:c r="K131" s="12" t="str">
        <x:v>Đã thanh toán</x:v>
      </x:c>
      <x:c r="L131" s="12" t="str">
        <x:v>Phạm Quang Huy</x:v>
      </x:c>
      <x:c r="M131" s="12" t="str">
        <x:v>Đang kiểm tra</x:v>
      </x:c>
      <x:c r="N131" s="12" t="str"/>
    </x:row>
    <x:row r="132">
      <x:c r="A132" s="12" t="str">
        <x:v>PR-CTSV-2026-131</x:v>
      </x:c>
      <x:c r="B132" s="22" t="n">
        <x:v>46272</x:v>
      </x:c>
      <x:c r="C132" s="12" t="str">
        <x:v>DT-CTSV-2026-060</x:v>
      </x:c>
      <x:c r="D132" s="12" t="str">
        <x:v>Student Wellbeing</x:v>
      </x:c>
      <x:c r="E132" s="12" t="str">
        <x:v>VinUni Catering</x:v>
      </x:c>
      <x:c r="F132" s="12" t="str">
        <x:v>Thanh toán Student Wellbeing - đợt 3</x:v>
      </x:c>
      <x:c r="G132" s="16" t="n">
        <x:v>91263000</x:v>
      </x:c>
      <x:c r="H132" s="16" t="n">
        <x:f>G132*10%</x:f>
        <x:v>9126300</x:v>
      </x:c>
      <x:c r="I132" s="16" t="n">
        <x:f>G132+H132</x:f>
        <x:v>100389300</x:v>
      </x:c>
      <x:c r="J132" s="22" t="n">
        <x:v>46286</x:v>
      </x:c>
      <x:c r="K132" s="12" t="str">
        <x:v>Chờ phê duyệt</x:v>
      </x:c>
      <x:c r="L132" s="12" t="str">
        <x:v>Vũ Khánh Linh</x:v>
      </x:c>
      <x:c r="M132" s="12" t="str">
        <x:v>Thiếu biên bản nghiệm thu</x:v>
      </x:c>
      <x:c r="N132" s="12" t="str"/>
    </x:row>
    <x:row r="133">
      <x:c r="A133" s="12" t="str">
        <x:v>PR-CTSV-2026-132</x:v>
      </x:c>
      <x:c r="B133" s="22" t="n">
        <x:v>46147</x:v>
      </x:c>
      <x:c r="C133" s="12" t="str">
        <x:v>DT-CTSV-2026-061</x:v>
      </x:c>
      <x:c r="D133" s="12" t="str">
        <x:v>Orientation Week</x:v>
      </x:c>
      <x:c r="E133" s="12" t="str">
        <x:v>PrintPro</x:v>
      </x:c>
      <x:c r="F133" s="12" t="str">
        <x:v>Thanh toán Orientation Week - đợt 3</x:v>
      </x:c>
      <x:c r="G133" s="16" t="n">
        <x:v>118326000</x:v>
      </x:c>
      <x:c r="H133" s="16" t="n">
        <x:f>G133*10%</x:f>
        <x:v>11832600</x:v>
      </x:c>
      <x:c r="I133" s="16" t="n">
        <x:f>G133+H133</x:f>
        <x:v>130158600</x:v>
      </x:c>
      <x:c r="J133" s="22" t="n">
        <x:v>46162</x:v>
      </x:c>
      <x:c r="K133" s="12" t="str">
        <x:v>Đã thanh toán</x:v>
      </x:c>
      <x:c r="L133" s="12" t="str">
        <x:v>Vũ Khánh Linh</x:v>
      </x:c>
      <x:c r="M133" s="12" t="str">
        <x:v>Thiếu hóa đơn</x:v>
      </x:c>
      <x:c r="N133" s="12" t="str"/>
    </x:row>
    <x:row r="134">
      <x:c r="A134" s="12" t="str">
        <x:v>PR-CTSV-2026-133</x:v>
      </x:c>
      <x:c r="B134" s="22" t="n">
        <x:v>46281</x:v>
      </x:c>
      <x:c r="C134" s="12" t="str">
        <x:v>DT-CTSV-2026-110</x:v>
      </x:c>
      <x:c r="D134" s="12" t="str">
        <x:v>Career Fair</x:v>
      </x:c>
      <x:c r="E134" s="12" t="str">
        <x:v>Community Support Center</x:v>
      </x:c>
      <x:c r="F134" s="12" t="str">
        <x:v>Thanh toán Career Fair - đợt 4</x:v>
      </x:c>
      <x:c r="G134" s="16" t="n">
        <x:v>8485000</x:v>
      </x:c>
      <x:c r="H134" s="16" t="n">
        <x:f>G134*10%</x:f>
        <x:v>848500</x:v>
      </x:c>
      <x:c r="I134" s="16" t="n">
        <x:f>G134+H134</x:f>
        <x:v>9333500</x:v>
      </x:c>
      <x:c r="J134" s="22" t="n">
        <x:v>46304</x:v>
      </x:c>
      <x:c r="K134" s="12" t="str">
        <x:v>Chờ phê duyệt</x:v>
      </x:c>
      <x:c r="L134" s="12" t="str">
        <x:v>Đỗ Hải Yến</x:v>
      </x:c>
      <x:c r="M134" s="12" t="str">
        <x:v>Đang kiểm tra</x:v>
      </x:c>
      <x:c r="N134" s="12" t="str"/>
    </x:row>
    <x:row r="135">
      <x:c r="A135" s="12" t="str">
        <x:v>PR-CTSV-2026-134</x:v>
      </x:c>
      <x:c r="B135" s="22" t="n">
        <x:v>46091</x:v>
      </x:c>
      <x:c r="C135" s="12" t="str">
        <x:v>DT-CTSV-2026-105</x:v>
      </x:c>
      <x:c r="D135" s="12" t="str">
        <x:v>International Exchange</x:v>
      </x:c>
      <x:c r="E135" s="12" t="str">
        <x:v>IT Solutions Edu</x:v>
      </x:c>
      <x:c r="F135" s="12" t="str">
        <x:v>Thanh toán International Exchange - đợt 2</x:v>
      </x:c>
      <x:c r="G135" s="16" t="n">
        <x:v>47045000</x:v>
      </x:c>
      <x:c r="H135" s="16" t="n">
        <x:f>G135*10%</x:f>
        <x:v>4704500</x:v>
      </x:c>
      <x:c r="I135" s="16" t="n">
        <x:f>G135+H135</x:f>
        <x:v>51749500</x:v>
      </x:c>
      <x:c r="J135" s="22" t="n">
        <x:v>46105</x:v>
      </x:c>
      <x:c r="K135" s="12" t="str">
        <x:v>Chờ phê duyệt</x:v>
      </x:c>
      <x:c r="L135" s="12" t="str">
        <x:v>Đỗ Hải Yến</x:v>
      </x:c>
      <x:c r="M135" s="12" t="str">
        <x:v>Thiếu hóa đơn</x:v>
      </x:c>
      <x:c r="N135" s="12" t="str"/>
    </x:row>
    <x:row r="136">
      <x:c r="A136" s="12" t="str">
        <x:v>PR-CTSV-2026-135</x:v>
      </x:c>
      <x:c r="B136" s="22" t="n">
        <x:v>46040</x:v>
      </x:c>
      <x:c r="C136" s="12" t="str">
        <x:v>DT-CTSV-2026-119</x:v>
      </x:c>
      <x:c r="D136" s="12" t="str">
        <x:v>Graduation Ceremony</x:v>
      </x:c>
      <x:c r="E136" s="12" t="str">
        <x:v>TravelCare</x:v>
      </x:c>
      <x:c r="F136" s="12" t="str">
        <x:v>Thanh toán Graduation Ceremony - đợt 2</x:v>
      </x:c>
      <x:c r="G136" s="16" t="n">
        <x:v>51283000</x:v>
      </x:c>
      <x:c r="H136" s="16" t="n">
        <x:f>G136*10%</x:f>
        <x:v>5128300</x:v>
      </x:c>
      <x:c r="I136" s="16" t="n">
        <x:f>G136+H136</x:f>
        <x:v>56411300</x:v>
      </x:c>
      <x:c r="J136" s="22" t="n">
        <x:v>46059</x:v>
      </x:c>
      <x:c r="K136" s="12" t="str">
        <x:v>Đã duyệt</x:v>
      </x:c>
      <x:c r="L136" s="12" t="str">
        <x:v>Lê Thu Hà</x:v>
      </x:c>
      <x:c r="M136" s="12" t="str">
        <x:v>Thiếu hóa đơn</x:v>
      </x:c>
      <x:c r="N136" s="12" t="str"/>
    </x:row>
    <x:row r="137">
      <x:c r="A137" s="12" t="str">
        <x:v>PR-CTSV-2026-136</x:v>
      </x:c>
      <x:c r="B137" s="22" t="n">
        <x:v>46329</x:v>
      </x:c>
      <x:c r="C137" s="12" t="str">
        <x:v>DT-CTSV-2026-085</x:v>
      </x:c>
      <x:c r="D137" s="12" t="str">
        <x:v>Mental Health Program</x:v>
      </x:c>
      <x:c r="E137" s="12" t="str">
        <x:v>Công ty Đồng phục ABC</x:v>
      </x:c>
      <x:c r="F137" s="12" t="str">
        <x:v>Thanh toán Mental Health Program - đợt 2</x:v>
      </x:c>
      <x:c r="G137" s="16" t="n">
        <x:v>110900000</x:v>
      </x:c>
      <x:c r="H137" s="16" t="n">
        <x:f>G137*10%</x:f>
        <x:v>11090000</x:v>
      </x:c>
      <x:c r="I137" s="16" t="n">
        <x:f>G137+H137</x:f>
        <x:v>121990000</x:v>
      </x:c>
      <x:c r="J137" s="22" t="n">
        <x:v>46337</x:v>
      </x:c>
      <x:c r="K137" s="12" t="str">
        <x:v>Chờ phê duyệt</x:v>
      </x:c>
      <x:c r="L137" s="12" t="str">
        <x:v>Phạm Quang Huy</x:v>
      </x:c>
      <x:c r="M137" s="12" t="str">
        <x:v>Đầy đủ</x:v>
      </x:c>
      <x:c r="N137" s="12" t="str"/>
    </x:row>
    <x:row r="138">
      <x:c r="A138" s="12" t="str">
        <x:v>PR-CTSV-2026-137</x:v>
      </x:c>
      <x:c r="B138" s="22" t="n">
        <x:v>46137</x:v>
      </x:c>
      <x:c r="C138" s="12" t="str">
        <x:v>DT-CTSV-2026-019</x:v>
      </x:c>
      <x:c r="D138" s="12" t="str">
        <x:v>Community Service</x:v>
      </x:c>
      <x:c r="E138" s="12" t="str">
        <x:v>Career Expo JSC</x:v>
      </x:c>
      <x:c r="F138" s="12" t="str">
        <x:v>Thanh toán Community Service - đợt 4</x:v>
      </x:c>
      <x:c r="G138" s="16" t="n">
        <x:v>71747000</x:v>
      </x:c>
      <x:c r="H138" s="16" t="n">
        <x:f>G138*10%</x:f>
        <x:v>7174700</x:v>
      </x:c>
      <x:c r="I138" s="16" t="n">
        <x:f>G138+H138</x:f>
        <x:v>78921700</x:v>
      </x:c>
      <x:c r="J138" s="22" t="n">
        <x:v>46150</x:v>
      </x:c>
      <x:c r="K138" s="12" t="str">
        <x:v>Chờ phê duyệt</x:v>
      </x:c>
      <x:c r="L138" s="12" t="str">
        <x:v>Lê Thu Hà</x:v>
      </x:c>
      <x:c r="M138" s="12" t="str">
        <x:v>Đầy đủ</x:v>
      </x:c>
      <x:c r="N138" s="12" t="str"/>
    </x:row>
    <x:row r="139">
      <x:c r="A139" s="12" t="str">
        <x:v>PR-CTSV-2026-138</x:v>
      </x:c>
      <x:c r="B139" s="22" t="n">
        <x:v>46136</x:v>
      </x:c>
      <x:c r="C139" s="12" t="str">
        <x:v>DT-CTSV-2026-055</x:v>
      </x:c>
      <x:c r="D139" s="12" t="str">
        <x:v>Community Service</x:v>
      </x:c>
      <x:c r="E139" s="12" t="str">
        <x:v>IT Solutions Edu</x:v>
      </x:c>
      <x:c r="F139" s="12" t="str">
        <x:v>Thanh toán Community Service - đợt 2</x:v>
      </x:c>
      <x:c r="G139" s="16" t="n">
        <x:v>16725000</x:v>
      </x:c>
      <x:c r="H139" s="16" t="n">
        <x:f>G139*10%</x:f>
        <x:v>1672500</x:v>
      </x:c>
      <x:c r="I139" s="16" t="n">
        <x:f>G139+H139</x:f>
        <x:v>18397500</x:v>
      </x:c>
      <x:c r="J139" s="22" t="n">
        <x:v>46165</x:v>
      </x:c>
      <x:c r="K139" s="12" t="str">
        <x:v>Đã duyệt</x:v>
      </x:c>
      <x:c r="L139" s="12" t="str">
        <x:v>Phạm Quang Huy</x:v>
      </x:c>
      <x:c r="M139" s="12" t="str">
        <x:v>Thiếu hóa đơn</x:v>
      </x:c>
      <x:c r="N139" s="12" t="str"/>
    </x:row>
    <x:row r="140">
      <x:c r="A140" s="12" t="str">
        <x:v>PR-CTSV-2026-139</x:v>
      </x:c>
      <x:c r="B140" s="22" t="n">
        <x:v>46198</x:v>
      </x:c>
      <x:c r="C140" s="12" t="str">
        <x:v>DT-CTSV-2026-142</x:v>
      </x:c>
      <x:c r="D140" s="12" t="str">
        <x:v>Mental Health Program</x:v>
      </x:c>
      <x:c r="E140" s="12" t="str">
        <x:v>Community Support Center</x:v>
      </x:c>
      <x:c r="F140" s="12" t="str">
        <x:v>Thanh toán Mental Health Program - đợt 3</x:v>
      </x:c>
      <x:c r="G140" s="16" t="n">
        <x:v>36117000</x:v>
      </x:c>
      <x:c r="H140" s="16" t="n">
        <x:f>G140*10%</x:f>
        <x:v>3611700</x:v>
      </x:c>
      <x:c r="I140" s="16" t="n">
        <x:f>G140+H140</x:f>
        <x:v>39728700</x:v>
      </x:c>
      <x:c r="J140" s="22" t="n">
        <x:v>46214</x:v>
      </x:c>
      <x:c r="K140" s="12" t="str">
        <x:v>Chờ phê duyệt</x:v>
      </x:c>
      <x:c r="L140" s="12" t="str">
        <x:v>Lê Thu Hà</x:v>
      </x:c>
      <x:c r="M140" s="12" t="str">
        <x:v>Đang kiểm tra</x:v>
      </x:c>
      <x:c r="N140" s="12" t="str"/>
    </x:row>
    <x:row r="141">
      <x:c r="A141" s="12" t="str">
        <x:v>PR-CTSV-2026-140</x:v>
      </x:c>
      <x:c r="B141" s="22" t="n">
        <x:v>46077</x:v>
      </x:c>
      <x:c r="C141" s="12" t="str">
        <x:v>DT-CTSV-2026-120</x:v>
      </x:c>
      <x:c r="D141" s="12" t="str">
        <x:v>Student Leadership</x:v>
      </x:c>
      <x:c r="E141" s="12" t="str">
        <x:v>Career Expo JSC</x:v>
      </x:c>
      <x:c r="F141" s="12" t="str">
        <x:v>Thanh toán Student Leadership - đợt 3</x:v>
      </x:c>
      <x:c r="G141" s="16" t="n">
        <x:v>57930000</x:v>
      </x:c>
      <x:c r="H141" s="16" t="n">
        <x:f>G141*10%</x:f>
        <x:v>5793000</x:v>
      </x:c>
      <x:c r="I141" s="16" t="n">
        <x:f>G141+H141</x:f>
        <x:v>63723000</x:v>
      </x:c>
      <x:c r="J141" s="22" t="n">
        <x:v>46094</x:v>
      </x:c>
      <x:c r="K141" s="12" t="str">
        <x:v>Chờ bổ sung chứng từ</x:v>
      </x:c>
      <x:c r="L141" s="12" t="str">
        <x:v>Nguyễn Minh Anh</x:v>
      </x:c>
      <x:c r="M141" s="12" t="str">
        <x:v>Thiếu hóa đơn</x:v>
      </x:c>
      <x:c r="N141" s="12" t="str"/>
    </x:row>
    <x:row r="142">
      <x:c r="A142" s="12" t="str">
        <x:v>PR-CTSV-2026-141</x:v>
      </x:c>
      <x:c r="B142" s="22" t="n">
        <x:v>46031</x:v>
      </x:c>
      <x:c r="C142" s="12" t="str">
        <x:v>DT-CTSV-2026-038</x:v>
      </x:c>
      <x:c r="D142" s="12" t="str">
        <x:v>Orientation Week</x:v>
      </x:c>
      <x:c r="E142" s="12" t="str">
        <x:v>Wellbeing Clinic</x:v>
      </x:c>
      <x:c r="F142" s="12" t="str">
        <x:v>Thanh toán Orientation Week - đợt 4</x:v>
      </x:c>
      <x:c r="G142" s="16" t="n">
        <x:v>67737000</x:v>
      </x:c>
      <x:c r="H142" s="16" t="n">
        <x:f>G142*10%</x:f>
        <x:v>6773700</x:v>
      </x:c>
      <x:c r="I142" s="16" t="n">
        <x:f>G142+H142</x:f>
        <x:v>74510700</x:v>
      </x:c>
      <x:c r="J142" s="22" t="n">
        <x:v>46047</x:v>
      </x:c>
      <x:c r="K142" s="12" t="str">
        <x:v>Đã duyệt</x:v>
      </x:c>
      <x:c r="L142" s="12" t="str">
        <x:v>Trần Hoàng Nam</x:v>
      </x:c>
      <x:c r="M142" s="12" t="str">
        <x:v>Thiếu biên bản nghiệm thu</x:v>
      </x:c>
      <x:c r="N142" s="12" t="str"/>
    </x:row>
    <x:row r="143">
      <x:c r="A143" s="12" t="str">
        <x:v>PR-CTSV-2026-142</x:v>
      </x:c>
      <x:c r="B143" s="22" t="n">
        <x:v>46222</x:v>
      </x:c>
      <x:c r="C143" s="12" t="str">
        <x:v>DT-CTSV-2026-059</x:v>
      </x:c>
      <x:c r="D143" s="12" t="str">
        <x:v>Career Fair</x:v>
      </x:c>
      <x:c r="E143" s="12" t="str">
        <x:v>Community Support Center</x:v>
      </x:c>
      <x:c r="F143" s="12" t="str">
        <x:v>Thanh toán Career Fair - đợt 3</x:v>
      </x:c>
      <x:c r="G143" s="16" t="n">
        <x:v>100503000</x:v>
      </x:c>
      <x:c r="H143" s="16" t="n">
        <x:f>G143*10%</x:f>
        <x:v>10050300</x:v>
      </x:c>
      <x:c r="I143" s="16" t="n">
        <x:f>G143+H143</x:f>
        <x:v>110553300</x:v>
      </x:c>
      <x:c r="J143" s="22" t="n">
        <x:v>46237</x:v>
      </x:c>
      <x:c r="K143" s="12" t="str">
        <x:v>Chờ bổ sung chứng từ</x:v>
      </x:c>
      <x:c r="L143" s="12" t="str">
        <x:v>Đỗ Hải Yến</x:v>
      </x:c>
      <x:c r="M143" s="12" t="str">
        <x:v>Đang kiểm tra</x:v>
      </x:c>
      <x:c r="N143" s="12" t="str"/>
    </x:row>
    <x:row r="144">
      <x:c r="A144" s="12" t="str">
        <x:v>PR-CTSV-2026-143</x:v>
      </x:c>
      <x:c r="B144" s="22" t="n">
        <x:v>46105</x:v>
      </x:c>
      <x:c r="C144" s="12" t="str">
        <x:v>DT-CTSV-2026-118</x:v>
      </x:c>
      <x:c r="D144" s="12" t="str">
        <x:v>Mental Health Program</x:v>
      </x:c>
      <x:c r="E144" s="12" t="str">
        <x:v>Wellbeing Clinic</x:v>
      </x:c>
      <x:c r="F144" s="12" t="str">
        <x:v>Thanh toán Mental Health Program - đợt 4</x:v>
      </x:c>
      <x:c r="G144" s="16" t="n">
        <x:v>96012000</x:v>
      </x:c>
      <x:c r="H144" s="16" t="n">
        <x:f>G144*10%</x:f>
        <x:v>9601200</x:v>
      </x:c>
      <x:c r="I144" s="16" t="n">
        <x:f>G144+H144</x:f>
        <x:v>105613200</x:v>
      </x:c>
      <x:c r="J144" s="22" t="n">
        <x:v>46117</x:v>
      </x:c>
      <x:c r="K144" s="12" t="str">
        <x:v>Đã thanh toán</x:v>
      </x:c>
      <x:c r="L144" s="12" t="str">
        <x:v>Vũ Khánh Linh</x:v>
      </x:c>
      <x:c r="M144" s="12" t="str">
        <x:v>Đầy đủ</x:v>
      </x:c>
      <x:c r="N144" s="12" t="str"/>
    </x:row>
    <x:row r="145">
      <x:c r="A145" s="12" t="str">
        <x:v>PR-CTSV-2026-144</x:v>
      </x:c>
      <x:c r="B145" s="22" t="n">
        <x:v>46328</x:v>
      </x:c>
      <x:c r="C145" s="12" t="str">
        <x:v>DT-CTSV-2026-020</x:v>
      </x:c>
      <x:c r="D145" s="12" t="str">
        <x:v>Mental Health Program</x:v>
      </x:c>
      <x:c r="E145" s="12" t="str">
        <x:v>Community Support Center</x:v>
      </x:c>
      <x:c r="F145" s="12" t="str">
        <x:v>Thanh toán Mental Health Program - đợt 2</x:v>
      </x:c>
      <x:c r="G145" s="16" t="n">
        <x:v>92427000</x:v>
      </x:c>
      <x:c r="H145" s="16" t="n">
        <x:f>G145*10%</x:f>
        <x:v>9242700</x:v>
      </x:c>
      <x:c r="I145" s="16" t="n">
        <x:f>G145+H145</x:f>
        <x:v>101669700</x:v>
      </x:c>
      <x:c r="J145" s="22" t="n">
        <x:v>46337</x:v>
      </x:c>
      <x:c r="K145" s="12" t="str">
        <x:v>Đã duyệt</x:v>
      </x:c>
      <x:c r="L145" s="12" t="str">
        <x:v>Nguyễn Minh Anh</x:v>
      </x:c>
      <x:c r="M145" s="12" t="str">
        <x:v>Thiếu hóa đơn</x:v>
      </x:c>
      <x:c r="N145" s="12" t="str"/>
    </x:row>
    <x:row r="146">
      <x:c r="A146" s="12" t="str">
        <x:v>PR-CTSV-2026-145</x:v>
      </x:c>
      <x:c r="B146" s="22" t="n">
        <x:v>46246</x:v>
      </x:c>
      <x:c r="C146" s="12" t="str">
        <x:v>DT-CTSV-2026-130</x:v>
      </x:c>
      <x:c r="D146" s="12" t="str">
        <x:v>Student Clubs</x:v>
      </x:c>
      <x:c r="E146" s="12" t="str">
        <x:v>Learning Hub</x:v>
      </x:c>
      <x:c r="F146" s="12" t="str">
        <x:v>Thanh toán Student Clubs - đợt 4</x:v>
      </x:c>
      <x:c r="G146" s="16" t="n">
        <x:v>10072000</x:v>
      </x:c>
      <x:c r="H146" s="16" t="n">
        <x:f>G146*10%</x:f>
        <x:v>1007200</x:v>
      </x:c>
      <x:c r="I146" s="16" t="n">
        <x:f>G146+H146</x:f>
        <x:v>11079200</x:v>
      </x:c>
      <x:c r="J146" s="22" t="n">
        <x:v>46274</x:v>
      </x:c>
      <x:c r="K146" s="12" t="str">
        <x:v>Chờ bổ sung chứng từ</x:v>
      </x:c>
      <x:c r="L146" s="12" t="str">
        <x:v>Nguyễn Minh Anh</x:v>
      </x:c>
      <x:c r="M146" s="12" t="str">
        <x:v>Đầy đủ</x:v>
      </x:c>
      <x:c r="N146" s="12" t="str"/>
    </x:row>
    <x:row r="147">
      <x:c r="A147" s="12" t="str">
        <x:v>PR-CTSV-2026-146</x:v>
      </x:c>
      <x:c r="B147" s="22" t="n">
        <x:v>46279</x:v>
      </x:c>
      <x:c r="C147" s="12" t="str">
        <x:v>DT-CTSV-2026-137</x:v>
      </x:c>
      <x:c r="D147" s="12" t="str">
        <x:v>Graduation Ceremony</x:v>
      </x:c>
      <x:c r="E147" s="12" t="str">
        <x:v>Viện Tâm lý Việt Nam</x:v>
      </x:c>
      <x:c r="F147" s="12" t="str">
        <x:v>Thanh toán Graduation Ceremony - đợt 3</x:v>
      </x:c>
      <x:c r="G147" s="16" t="n">
        <x:v>4386000</x:v>
      </x:c>
      <x:c r="H147" s="16" t="n">
        <x:f>G147*10%</x:f>
        <x:v>438600</x:v>
      </x:c>
      <x:c r="I147" s="16" t="n">
        <x:f>G147+H147</x:f>
        <x:v>4824600</x:v>
      </x:c>
      <x:c r="J147" s="22" t="n">
        <x:v>46286</x:v>
      </x:c>
      <x:c r="K147" s="12" t="str">
        <x:v>Chờ bổ sung chứng từ</x:v>
      </x:c>
      <x:c r="L147" s="12" t="str">
        <x:v>Trần Hoàng Nam</x:v>
      </x:c>
      <x:c r="M147" s="12" t="str">
        <x:v>Đầy đủ</x:v>
      </x:c>
      <x:c r="N147" s="12" t="str"/>
    </x:row>
    <x:row r="148">
      <x:c r="A148" s="12" t="str">
        <x:v>PR-CTSV-2026-147</x:v>
      </x:c>
      <x:c r="B148" s="22" t="n">
        <x:v>46270</x:v>
      </x:c>
      <x:c r="C148" s="12" t="str">
        <x:v>DT-CTSV-2026-025</x:v>
      </x:c>
      <x:c r="D148" s="12" t="str">
        <x:v>Career Fair</x:v>
      </x:c>
      <x:c r="E148" s="12" t="str">
        <x:v>Viện Tâm lý Việt Nam</x:v>
      </x:c>
      <x:c r="F148" s="12" t="str">
        <x:v>Thanh toán Career Fair - đợt 3</x:v>
      </x:c>
      <x:c r="G148" s="16" t="n">
        <x:v>31193000</x:v>
      </x:c>
      <x:c r="H148" s="16" t="n">
        <x:f>G148*10%</x:f>
        <x:v>3119300</x:v>
      </x:c>
      <x:c r="I148" s="16" t="n">
        <x:f>G148+H148</x:f>
        <x:v>34312300</x:v>
      </x:c>
      <x:c r="J148" s="22" t="n">
        <x:v>46285</x:v>
      </x:c>
      <x:c r="K148" s="12" t="str">
        <x:v>Chờ bổ sung chứng từ</x:v>
      </x:c>
      <x:c r="L148" s="12" t="str">
        <x:v>Nguyễn Minh Anh</x:v>
      </x:c>
      <x:c r="M148" s="12" t="str">
        <x:v>Thiếu biên bản nghiệm thu</x:v>
      </x:c>
      <x:c r="N148" s="12" t="str"/>
    </x:row>
    <x:row r="149">
      <x:c r="A149" s="12" t="str">
        <x:v>PR-CTSV-2026-148</x:v>
      </x:c>
      <x:c r="B149" s="22" t="n">
        <x:v>46253</x:v>
      </x:c>
      <x:c r="C149" s="12" t="str">
        <x:v>DT-CTSV-2026-104</x:v>
      </x:c>
      <x:c r="D149" s="12" t="str">
        <x:v>Student Clubs</x:v>
      </x:c>
      <x:c r="E149" s="12" t="str">
        <x:v>Viện Tâm lý Việt Nam</x:v>
      </x:c>
      <x:c r="F149" s="12" t="str">
        <x:v>Thanh toán Student Clubs - đợt 1</x:v>
      </x:c>
      <x:c r="G149" s="16" t="n">
        <x:v>31455000</x:v>
      </x:c>
      <x:c r="H149" s="16" t="n">
        <x:f>G149*10%</x:f>
        <x:v>3145500</x:v>
      </x:c>
      <x:c r="I149" s="16" t="n">
        <x:f>G149+H149</x:f>
        <x:v>34600500</x:v>
      </x:c>
      <x:c r="J149" s="22" t="n">
        <x:v>46280</x:v>
      </x:c>
      <x:c r="K149" s="12" t="str">
        <x:v>Đã thanh toán</x:v>
      </x:c>
      <x:c r="L149" s="12" t="str">
        <x:v>Nguyễn Minh Anh</x:v>
      </x:c>
      <x:c r="M149" s="12" t="str">
        <x:v>Đang kiểm tra</x:v>
      </x:c>
      <x:c r="N149" s="12" t="str"/>
    </x:row>
    <x:row r="150">
      <x:c r="A150" s="12" t="str">
        <x:v>PR-CTSV-2026-149</x:v>
      </x:c>
      <x:c r="B150" s="22" t="n">
        <x:v>46221</x:v>
      </x:c>
      <x:c r="C150" s="12" t="str">
        <x:v>DT-CTSV-2026-098</x:v>
      </x:c>
      <x:c r="D150" s="12" t="str">
        <x:v>Student Clubs</x:v>
      </x:c>
      <x:c r="E150" s="12" t="str">
        <x:v>Wellbeing Clinic</x:v>
      </x:c>
      <x:c r="F150" s="12" t="str">
        <x:v>Thanh toán Student Clubs - đợt 2</x:v>
      </x:c>
      <x:c r="G150" s="16" t="n">
        <x:v>58692000</x:v>
      </x:c>
      <x:c r="H150" s="16" t="n">
        <x:f>G150*10%</x:f>
        <x:v>5869200</x:v>
      </x:c>
      <x:c r="I150" s="16" t="n">
        <x:f>G150+H150</x:f>
        <x:v>64561200</x:v>
      </x:c>
      <x:c r="J150" s="22" t="n">
        <x:v>46230</x:v>
      </x:c>
      <x:c r="K150" s="12" t="str">
        <x:v>Chờ bổ sung chứng từ</x:v>
      </x:c>
      <x:c r="L150" s="12" t="str">
        <x:v>Phạm Quang Huy</x:v>
      </x:c>
      <x:c r="M150" s="12" t="str">
        <x:v>Thiếu biên bản nghiệm thu</x:v>
      </x:c>
      <x:c r="N150" s="12" t="str"/>
    </x:row>
    <x:row r="151">
      <x:c r="A151" s="12" t="str">
        <x:v>PR-CTSV-2026-150</x:v>
      </x:c>
      <x:c r="B151" s="22" t="n">
        <x:v>46070</x:v>
      </x:c>
      <x:c r="C151" s="12" t="str">
        <x:v>DT-CTSV-2026-145</x:v>
      </x:c>
      <x:c r="D151" s="12" t="str">
        <x:v>Scholarship Program</x:v>
      </x:c>
      <x:c r="E151" s="12" t="str">
        <x:v>Career Expo JSC</x:v>
      </x:c>
      <x:c r="F151" s="12" t="str">
        <x:v>Thanh toán Scholarship Program - đợt 2</x:v>
      </x:c>
      <x:c r="G151" s="16" t="n">
        <x:v>110540000</x:v>
      </x:c>
      <x:c r="H151" s="16" t="n">
        <x:f>0</x:f>
        <x:v>0</x:v>
      </x:c>
      <x:c r="I151" s="16" t="n">
        <x:f>G151+H151</x:f>
        <x:v>110540000</x:v>
      </x:c>
      <x:c r="J151" s="22" t="n">
        <x:v>46099</x:v>
      </x:c>
      <x:c r="K151" s="12" t="str">
        <x:v>Chờ bổ sung chứng từ</x:v>
      </x:c>
      <x:c r="L151" s="12" t="str">
        <x:v>Lê Thu Hà</x:v>
      </x:c>
      <x:c r="M151" s="12" t="str">
        <x:v>Đầy đủ</x:v>
      </x:c>
      <x:c r="N151" s="12" t="str"/>
    </x:row>
    <x:row r="152">
      <x:c r="A152" s="12" t="str">
        <x:v>PR-CTSV-2026-151</x:v>
      </x:c>
      <x:c r="B152" s="22" t="n">
        <x:v>46335</x:v>
      </x:c>
      <x:c r="C152" s="12" t="str">
        <x:v>DT-CTSV-2026-020</x:v>
      </x:c>
      <x:c r="D152" s="12" t="str">
        <x:v>Mental Health Program</x:v>
      </x:c>
      <x:c r="E152" s="12" t="str">
        <x:v>EventPlus Vietnam</x:v>
      </x:c>
      <x:c r="F152" s="12" t="str">
        <x:v>Thanh toán Mental Health Program - đợt 2</x:v>
      </x:c>
      <x:c r="G152" s="16" t="n">
        <x:v>108219000</x:v>
      </x:c>
      <x:c r="H152" s="16" t="n">
        <x:f>G152*10%</x:f>
        <x:v>10821900</x:v>
      </x:c>
      <x:c r="I152" s="16" t="n">
        <x:f>G152+H152</x:f>
        <x:v>119040900</x:v>
      </x:c>
      <x:c r="J152" s="22" t="n">
        <x:v>46352</x:v>
      </x:c>
      <x:c r="K152" s="12" t="str">
        <x:v>Đã thanh toán</x:v>
      </x:c>
      <x:c r="L152" s="12" t="str">
        <x:v>Trần Hoàng Nam</x:v>
      </x:c>
      <x:c r="M152" s="12" t="str">
        <x:v>Thiếu hóa đơn</x:v>
      </x:c>
      <x:c r="N152" s="12" t="str"/>
    </x:row>
    <x:row r="153">
      <x:c r="A153" s="12" t="str">
        <x:v>PR-CTSV-2026-152</x:v>
      </x:c>
      <x:c r="B153" s="22" t="n">
        <x:v>46063</x:v>
      </x:c>
      <x:c r="C153" s="12" t="str">
        <x:v>DT-CTSV-2026-102</x:v>
      </x:c>
      <x:c r="D153" s="12" t="str">
        <x:v>Student Wellbeing</x:v>
      </x:c>
      <x:c r="E153" s="12" t="str">
        <x:v>PrintPro</x:v>
      </x:c>
      <x:c r="F153" s="12" t="str">
        <x:v>Thanh toán Student Wellbeing - đợt 3</x:v>
      </x:c>
      <x:c r="G153" s="16" t="n">
        <x:v>22006000</x:v>
      </x:c>
      <x:c r="H153" s="16" t="n">
        <x:f>G153*10%</x:f>
        <x:v>2200600</x:v>
      </x:c>
      <x:c r="I153" s="16" t="n">
        <x:f>G153+H153</x:f>
        <x:v>24206600</x:v>
      </x:c>
      <x:c r="J153" s="22" t="n">
        <x:v>46082</x:v>
      </x:c>
      <x:c r="K153" s="12" t="str">
        <x:v>Đã duyệt</x:v>
      </x:c>
      <x:c r="L153" s="12" t="str">
        <x:v>Đỗ Hải Yến</x:v>
      </x:c>
      <x:c r="M153" s="12" t="str">
        <x:v>Đầy đủ</x:v>
      </x:c>
      <x:c r="N153" s="12" t="str"/>
    </x:row>
    <x:row r="154">
      <x:c r="A154" s="12" t="str">
        <x:v>PR-CTSV-2026-153</x:v>
      </x:c>
      <x:c r="B154" s="22" t="n">
        <x:v>46368</x:v>
      </x:c>
      <x:c r="C154" s="12" t="str">
        <x:v>DT-CTSV-2026-129</x:v>
      </x:c>
      <x:c r="D154" s="12" t="str">
        <x:v>Career Fair</x:v>
      </x:c>
      <x:c r="E154" s="12" t="str">
        <x:v>Công ty Đồng phục ABC</x:v>
      </x:c>
      <x:c r="F154" s="12" t="str">
        <x:v>Thanh toán Career Fair - đợt 3</x:v>
      </x:c>
      <x:c r="G154" s="16" t="n">
        <x:v>9282000</x:v>
      </x:c>
      <x:c r="H154" s="16" t="n">
        <x:f>G154*10%</x:f>
        <x:v>928200</x:v>
      </x:c>
      <x:c r="I154" s="16" t="n">
        <x:f>G154+H154</x:f>
        <x:v>10210200</x:v>
      </x:c>
      <x:c r="J154" s="22" t="n">
        <x:v>46394</x:v>
      </x:c>
      <x:c r="K154" s="12" t="str">
        <x:v>Chờ bổ sung chứng từ</x:v>
      </x:c>
      <x:c r="L154" s="12" t="str">
        <x:v>Lê Thu Hà</x:v>
      </x:c>
      <x:c r="M154" s="12" t="str">
        <x:v>Đầy đủ</x:v>
      </x:c>
      <x:c r="N154" s="12" t="str"/>
    </x:row>
    <x:row r="155">
      <x:c r="A155" s="12" t="str">
        <x:v>PR-CTSV-2026-154</x:v>
      </x:c>
      <x:c r="B155" s="22" t="n">
        <x:v>46250</x:v>
      </x:c>
      <x:c r="C155" s="12" t="str">
        <x:v>DT-CTSV-2026-070</x:v>
      </x:c>
      <x:c r="D155" s="12" t="str">
        <x:v>Community Service</x:v>
      </x:c>
      <x:c r="E155" s="12" t="str">
        <x:v>PrintPro</x:v>
      </x:c>
      <x:c r="F155" s="12" t="str">
        <x:v>Thanh toán Community Service - đợt 4</x:v>
      </x:c>
      <x:c r="G155" s="16" t="n">
        <x:v>29692000</x:v>
      </x:c>
      <x:c r="H155" s="16" t="n">
        <x:f>G155*10%</x:f>
        <x:v>2969200</x:v>
      </x:c>
      <x:c r="I155" s="16" t="n">
        <x:f>G155+H155</x:f>
        <x:v>32661200</x:v>
      </x:c>
      <x:c r="J155" s="22" t="n">
        <x:v>46262</x:v>
      </x:c>
      <x:c r="K155" s="12" t="str">
        <x:v>Chờ bổ sung chứng từ</x:v>
      </x:c>
      <x:c r="L155" s="12" t="str">
        <x:v>Nguyễn Minh Anh</x:v>
      </x:c>
      <x:c r="M155" s="12" t="str">
        <x:v>Thiếu biên bản nghiệm thu</x:v>
      </x:c>
      <x:c r="N155" s="12" t="str"/>
    </x:row>
    <x:row r="156">
      <x:c r="A156" s="12" t="str">
        <x:v>PR-CTSV-2026-155</x:v>
      </x:c>
      <x:c r="B156" s="22" t="n">
        <x:v>46359</x:v>
      </x:c>
      <x:c r="C156" s="12" t="str">
        <x:v>DT-CTSV-2026-064</x:v>
      </x:c>
      <x:c r="D156" s="12" t="str">
        <x:v>Orientation Week</x:v>
      </x:c>
      <x:c r="E156" s="12" t="str">
        <x:v>Wellbeing Clinic</x:v>
      </x:c>
      <x:c r="F156" s="12" t="str">
        <x:v>Thanh toán Orientation Week - đợt 2</x:v>
      </x:c>
      <x:c r="G156" s="16" t="n">
        <x:v>12598000</x:v>
      </x:c>
      <x:c r="H156" s="16" t="n">
        <x:f>G156*10%</x:f>
        <x:v>1259800</x:v>
      </x:c>
      <x:c r="I156" s="16" t="n">
        <x:f>G156+H156</x:f>
        <x:v>13857800</x:v>
      </x:c>
      <x:c r="J156" s="22" t="n">
        <x:v>46389</x:v>
      </x:c>
      <x:c r="K156" s="12" t="str">
        <x:v>Chờ bổ sung chứng từ</x:v>
      </x:c>
      <x:c r="L156" s="12" t="str">
        <x:v>Lê Thu Hà</x:v>
      </x:c>
      <x:c r="M156" s="12" t="str">
        <x:v>Thiếu biên bản nghiệm thu</x:v>
      </x:c>
      <x:c r="N156" s="12" t="str"/>
    </x:row>
    <x:row r="157">
      <x:c r="A157" s="12" t="str">
        <x:v>PR-CTSV-2026-156</x:v>
      </x:c>
      <x:c r="B157" s="22" t="n">
        <x:v>46054</x:v>
      </x:c>
      <x:c r="C157" s="12" t="str">
        <x:v>DT-CTSV-2026-028</x:v>
      </x:c>
      <x:c r="D157" s="12" t="str">
        <x:v>Career Fair</x:v>
      </x:c>
      <x:c r="E157" s="12" t="str">
        <x:v>Viện Tâm lý Việt Nam</x:v>
      </x:c>
      <x:c r="F157" s="12" t="str">
        <x:v>Thanh toán Career Fair - đợt 1</x:v>
      </x:c>
      <x:c r="G157" s="16" t="n">
        <x:v>113326000</x:v>
      </x:c>
      <x:c r="H157" s="16" t="n">
        <x:f>G157*10%</x:f>
        <x:v>11332600</x:v>
      </x:c>
      <x:c r="I157" s="16" t="n">
        <x:f>G157+H157</x:f>
        <x:v>124658600</x:v>
      </x:c>
      <x:c r="J157" s="22" t="n">
        <x:v>46065</x:v>
      </x:c>
      <x:c r="K157" s="12" t="str">
        <x:v>Đã thanh toán</x:v>
      </x:c>
      <x:c r="L157" s="12" t="str">
        <x:v>Trần Hoàng Nam</x:v>
      </x:c>
      <x:c r="M157" s="12" t="str">
        <x:v>Đang kiểm tra</x:v>
      </x:c>
      <x:c r="N157" s="12" t="str"/>
    </x:row>
    <x:row r="158">
      <x:c r="A158" s="12" t="str">
        <x:v>PR-CTSV-2026-157</x:v>
      </x:c>
      <x:c r="B158" s="22" t="n">
        <x:v>46283</x:v>
      </x:c>
      <x:c r="C158" s="12" t="str">
        <x:v>DT-CTSV-2026-115</x:v>
      </x:c>
      <x:c r="D158" s="12" t="str">
        <x:v>International Exchange</x:v>
      </x:c>
      <x:c r="E158" s="12" t="str">
        <x:v>Công ty Đồng phục ABC</x:v>
      </x:c>
      <x:c r="F158" s="12" t="str">
        <x:v>Thanh toán International Exchange - đợt 3</x:v>
      </x:c>
      <x:c r="G158" s="16" t="n">
        <x:v>62955000</x:v>
      </x:c>
      <x:c r="H158" s="16" t="n">
        <x:f>G158*10%</x:f>
        <x:v>6295500</x:v>
      </x:c>
      <x:c r="I158" s="16" t="n">
        <x:f>G158+H158</x:f>
        <x:v>69250500</x:v>
      </x:c>
      <x:c r="J158" s="22" t="n">
        <x:v>46307</x:v>
      </x:c>
      <x:c r="K158" s="12" t="str">
        <x:v>Đã thanh toán</x:v>
      </x:c>
      <x:c r="L158" s="12" t="str">
        <x:v>Vũ Khánh Linh</x:v>
      </x:c>
      <x:c r="M158" s="12" t="str">
        <x:v>Thiếu biên bản nghiệm thu</x:v>
      </x:c>
      <x:c r="N158" s="12" t="str"/>
    </x:row>
    <x:row r="159">
      <x:c r="A159" s="12" t="str">
        <x:v>PR-CTSV-2026-158</x:v>
      </x:c>
      <x:c r="B159" s="22" t="n">
        <x:v>46032</x:v>
      </x:c>
      <x:c r="C159" s="12" t="str">
        <x:v>DT-CTSV-2026-099</x:v>
      </x:c>
      <x:c r="D159" s="12" t="str">
        <x:v>Student Wellbeing</x:v>
      </x:c>
      <x:c r="E159" s="12" t="str">
        <x:v>Wellbeing Clinic</x:v>
      </x:c>
      <x:c r="F159" s="12" t="str">
        <x:v>Thanh toán Student Wellbeing - đợt 2</x:v>
      </x:c>
      <x:c r="G159" s="16" t="n">
        <x:v>51415000</x:v>
      </x:c>
      <x:c r="H159" s="16" t="n">
        <x:f>G159*10%</x:f>
        <x:v>5141500</x:v>
      </x:c>
      <x:c r="I159" s="16" t="n">
        <x:f>G159+H159</x:f>
        <x:v>56556500</x:v>
      </x:c>
      <x:c r="J159" s="22" t="n">
        <x:v>46057</x:v>
      </x:c>
      <x:c r="K159" s="12" t="str">
        <x:v>Đã duyệt</x:v>
      </x:c>
      <x:c r="L159" s="12" t="str">
        <x:v>Đỗ Hải Yến</x:v>
      </x:c>
      <x:c r="M159" s="12" t="str">
        <x:v>Đang kiểm tra</x:v>
      </x:c>
      <x:c r="N159" s="12" t="str"/>
    </x:row>
    <x:row r="160">
      <x:c r="A160" s="12" t="str">
        <x:v>PR-CTSV-2026-159</x:v>
      </x:c>
      <x:c r="B160" s="22" t="n">
        <x:v>46090</x:v>
      </x:c>
      <x:c r="C160" s="12" t="str">
        <x:v>DT-CTSV-2026-044</x:v>
      </x:c>
      <x:c r="D160" s="12" t="str">
        <x:v>Orientation Week</x:v>
      </x:c>
      <x:c r="E160" s="12" t="str">
        <x:v>Công ty Đồng phục ABC</x:v>
      </x:c>
      <x:c r="F160" s="12" t="str">
        <x:v>Thanh toán Orientation Week - đợt 2</x:v>
      </x:c>
      <x:c r="G160" s="16" t="n">
        <x:v>38232000</x:v>
      </x:c>
      <x:c r="H160" s="16" t="n">
        <x:f>G160*10%</x:f>
        <x:v>3823200</x:v>
      </x:c>
      <x:c r="I160" s="16" t="n">
        <x:f>G160+H160</x:f>
        <x:v>42055200</x:v>
      </x:c>
      <x:c r="J160" s="22" t="n">
        <x:v>46110</x:v>
      </x:c>
      <x:c r="K160" s="12" t="str">
        <x:v>Chờ phê duyệt</x:v>
      </x:c>
      <x:c r="L160" s="12" t="str">
        <x:v>Phạm Quang Huy</x:v>
      </x:c>
      <x:c r="M160" s="12" t="str">
        <x:v>Thiếu biên bản nghiệm thu</x:v>
      </x:c>
      <x:c r="N160" s="12" t="str"/>
    </x:row>
    <x:row r="161">
      <x:c r="A161" s="12" t="str">
        <x:v>PR-CTSV-2026-160</x:v>
      </x:c>
      <x:c r="B161" s="22" t="n">
        <x:v>46065</x:v>
      </x:c>
      <x:c r="C161" s="12" t="str">
        <x:v>DT-CTSV-2026-124</x:v>
      </x:c>
      <x:c r="D161" s="12" t="str">
        <x:v>Graduation Ceremony</x:v>
      </x:c>
      <x:c r="E161" s="12" t="str">
        <x:v>Community Support Center</x:v>
      </x:c>
      <x:c r="F161" s="12" t="str">
        <x:v>Thanh toán Graduation Ceremony - đợt 4</x:v>
      </x:c>
      <x:c r="G161" s="16" t="n">
        <x:v>32448000</x:v>
      </x:c>
      <x:c r="H161" s="16" t="n">
        <x:f>G161*10%</x:f>
        <x:v>3244800</x:v>
      </x:c>
      <x:c r="I161" s="16" t="n">
        <x:f>G161+H161</x:f>
        <x:v>35692800</x:v>
      </x:c>
      <x:c r="J161" s="22" t="n">
        <x:v>46091</x:v>
      </x:c>
      <x:c r="K161" s="12" t="str">
        <x:v>Đã duyệt</x:v>
      </x:c>
      <x:c r="L161" s="12" t="str">
        <x:v>Phạm Quang Huy</x:v>
      </x:c>
      <x:c r="M161" s="12" t="str">
        <x:v>Đầy đủ</x:v>
      </x:c>
      <x:c r="N161" s="12" t="str"/>
    </x:row>
    <x:row r="162">
      <x:c r="A162" s="12" t="str">
        <x:v>PR-CTSV-2026-161</x:v>
      </x:c>
      <x:c r="B162" s="22" t="n">
        <x:v>46143</x:v>
      </x:c>
      <x:c r="C162" s="12" t="str">
        <x:v>DT-CTSV-2026-035</x:v>
      </x:c>
      <x:c r="D162" s="12" t="str">
        <x:v>Student Clubs</x:v>
      </x:c>
      <x:c r="E162" s="12" t="str">
        <x:v>Learning Hub</x:v>
      </x:c>
      <x:c r="F162" s="12" t="str">
        <x:v>Thanh toán Student Clubs - đợt 4</x:v>
      </x:c>
      <x:c r="G162" s="16" t="n">
        <x:v>114012000</x:v>
      </x:c>
      <x:c r="H162" s="16" t="n">
        <x:f>G162*10%</x:f>
        <x:v>11401200</x:v>
      </x:c>
      <x:c r="I162" s="16" t="n">
        <x:f>G162+H162</x:f>
        <x:v>125413200</x:v>
      </x:c>
      <x:c r="J162" s="22" t="n">
        <x:v>46160</x:v>
      </x:c>
      <x:c r="K162" s="12" t="str">
        <x:v>Chờ bổ sung chứng từ</x:v>
      </x:c>
      <x:c r="L162" s="12" t="str">
        <x:v>Lê Thu Hà</x:v>
      </x:c>
      <x:c r="M162" s="12" t="str">
        <x:v>Đang kiểm tra</x:v>
      </x:c>
      <x:c r="N162" s="12" t="str"/>
    </x:row>
    <x:row r="163">
      <x:c r="A163" s="12" t="str">
        <x:v>PR-CTSV-2026-162</x:v>
      </x:c>
      <x:c r="B163" s="22" t="n">
        <x:v>46153</x:v>
      </x:c>
      <x:c r="C163" s="12" t="str">
        <x:v>DT-CTSV-2026-035</x:v>
      </x:c>
      <x:c r="D163" s="12" t="str">
        <x:v>Student Clubs</x:v>
      </x:c>
      <x:c r="E163" s="12" t="str">
        <x:v>IT Solutions Edu</x:v>
      </x:c>
      <x:c r="F163" s="12" t="str">
        <x:v>Thanh toán Student Clubs - đợt 3</x:v>
      </x:c>
      <x:c r="G163" s="16" t="n">
        <x:v>73575000</x:v>
      </x:c>
      <x:c r="H163" s="16" t="n">
        <x:f>G163*10%</x:f>
        <x:v>7357500</x:v>
      </x:c>
      <x:c r="I163" s="16" t="n">
        <x:f>G163+H163</x:f>
        <x:v>80932500</x:v>
      </x:c>
      <x:c r="J163" s="22" t="n">
        <x:v>46165</x:v>
      </x:c>
      <x:c r="K163" s="12" t="str">
        <x:v>Chờ bổ sung chứng từ</x:v>
      </x:c>
      <x:c r="L163" s="12" t="str">
        <x:v>Lê Thu Hà</x:v>
      </x:c>
      <x:c r="M163" s="12" t="str">
        <x:v>Thiếu biên bản nghiệm thu</x:v>
      </x:c>
      <x:c r="N163" s="12" t="str"/>
    </x:row>
    <x:row r="164">
      <x:c r="A164" s="12" t="str">
        <x:v>PR-CTSV-2026-163</x:v>
      </x:c>
      <x:c r="B164" s="22" t="n">
        <x:v>46303</x:v>
      </x:c>
      <x:c r="C164" s="12" t="str">
        <x:v>DT-CTSV-2026-126</x:v>
      </x:c>
      <x:c r="D164" s="12" t="str">
        <x:v>Career Fair</x:v>
      </x:c>
      <x:c r="E164" s="12" t="str">
        <x:v>PrintPro</x:v>
      </x:c>
      <x:c r="F164" s="12" t="str">
        <x:v>Thanh toán Career Fair - đợt 3</x:v>
      </x:c>
      <x:c r="G164" s="16" t="n">
        <x:v>41128000</x:v>
      </x:c>
      <x:c r="H164" s="16" t="n">
        <x:f>G164*10%</x:f>
        <x:v>4112800</x:v>
      </x:c>
      <x:c r="I164" s="16" t="n">
        <x:f>G164+H164</x:f>
        <x:v>45240800</x:v>
      </x:c>
      <x:c r="J164" s="22" t="n">
        <x:v>46313</x:v>
      </x:c>
      <x:c r="K164" s="12" t="str">
        <x:v>Đã duyệt</x:v>
      </x:c>
      <x:c r="L164" s="12" t="str">
        <x:v>Vũ Khánh Linh</x:v>
      </x:c>
      <x:c r="M164" s="12" t="str">
        <x:v>Thiếu hóa đơn</x:v>
      </x:c>
      <x:c r="N164" s="12" t="str"/>
    </x:row>
    <x:row r="165">
      <x:c r="A165" s="12" t="str">
        <x:v>PR-CTSV-2026-164</x:v>
      </x:c>
      <x:c r="B165" s="22" t="n">
        <x:v>46046</x:v>
      </x:c>
      <x:c r="C165" s="12" t="str">
        <x:v>DT-CTSV-2026-141</x:v>
      </x:c>
      <x:c r="D165" s="12" t="str">
        <x:v>International Exchange</x:v>
      </x:c>
      <x:c r="E165" s="12" t="str">
        <x:v>IT Solutions Edu</x:v>
      </x:c>
      <x:c r="F165" s="12" t="str">
        <x:v>Thanh toán International Exchange - đợt 3</x:v>
      </x:c>
      <x:c r="G165" s="16" t="n">
        <x:v>57009000</x:v>
      </x:c>
      <x:c r="H165" s="16" t="n">
        <x:f>G165*10%</x:f>
        <x:v>5700900</x:v>
      </x:c>
      <x:c r="I165" s="16" t="n">
        <x:f>G165+H165</x:f>
        <x:v>62709900</x:v>
      </x:c>
      <x:c r="J165" s="22" t="n">
        <x:v>46075</x:v>
      </x:c>
      <x:c r="K165" s="12" t="str">
        <x:v>Đã thanh toán</x:v>
      </x:c>
      <x:c r="L165" s="12" t="str">
        <x:v>Phạm Quang Huy</x:v>
      </x:c>
      <x:c r="M165" s="12" t="str">
        <x:v>Đang kiểm tra</x:v>
      </x:c>
      <x:c r="N165" s="12" t="str"/>
    </x:row>
    <x:row r="166">
      <x:c r="A166" s="12" t="str">
        <x:v>PR-CTSV-2026-165</x:v>
      </x:c>
      <x:c r="B166" s="22" t="n">
        <x:v>46336</x:v>
      </x:c>
      <x:c r="C166" s="12" t="str">
        <x:v>DT-CTSV-2026-036</x:v>
      </x:c>
      <x:c r="D166" s="12" t="str">
        <x:v>Career Fair</x:v>
      </x:c>
      <x:c r="E166" s="12" t="str">
        <x:v>Wellbeing Clinic</x:v>
      </x:c>
      <x:c r="F166" s="12" t="str">
        <x:v>Thanh toán Career Fair - đợt 4</x:v>
      </x:c>
      <x:c r="G166" s="16" t="n">
        <x:v>31316000</x:v>
      </x:c>
      <x:c r="H166" s="16" t="n">
        <x:f>G166*10%</x:f>
        <x:v>3131600</x:v>
      </x:c>
      <x:c r="I166" s="16" t="n">
        <x:f>G166+H166</x:f>
        <x:v>34447600</x:v>
      </x:c>
      <x:c r="J166" s="22" t="n">
        <x:v>46355</x:v>
      </x:c>
      <x:c r="K166" s="12" t="str">
        <x:v>Đã thanh toán</x:v>
      </x:c>
      <x:c r="L166" s="12" t="str">
        <x:v>Phạm Quang Huy</x:v>
      </x:c>
      <x:c r="M166" s="12" t="str">
        <x:v>Đang kiểm tra</x:v>
      </x:c>
      <x:c r="N166" s="12" t="str"/>
    </x:row>
    <x:row r="167">
      <x:c r="A167" s="12" t="str">
        <x:v>PR-CTSV-2026-166</x:v>
      </x:c>
      <x:c r="B167" s="22" t="n">
        <x:v>46221</x:v>
      </x:c>
      <x:c r="C167" s="12" t="str">
        <x:v>DT-CTSV-2026-150</x:v>
      </x:c>
      <x:c r="D167" s="12" t="str">
        <x:v>Student Leadership</x:v>
      </x:c>
      <x:c r="E167" s="12" t="str">
        <x:v>Wellbeing Clinic</x:v>
      </x:c>
      <x:c r="F167" s="12" t="str">
        <x:v>Thanh toán Student Leadership - đợt 4</x:v>
      </x:c>
      <x:c r="G167" s="16" t="n">
        <x:v>62273000</x:v>
      </x:c>
      <x:c r="H167" s="16" t="n">
        <x:f>G167*10%</x:f>
        <x:v>6227300</x:v>
      </x:c>
      <x:c r="I167" s="16" t="n">
        <x:f>G167+H167</x:f>
        <x:v>68500300</x:v>
      </x:c>
      <x:c r="J167" s="22" t="n">
        <x:v>46245</x:v>
      </x:c>
      <x:c r="K167" s="12" t="str">
        <x:v>Đã thanh toán</x:v>
      </x:c>
      <x:c r="L167" s="12" t="str">
        <x:v>Lê Thu Hà</x:v>
      </x:c>
      <x:c r="M167" s="12" t="str">
        <x:v>Đầy đủ</x:v>
      </x:c>
      <x:c r="N167" s="12" t="str"/>
    </x:row>
    <x:row r="168">
      <x:c r="A168" s="12" t="str">
        <x:v>PR-CTSV-2026-167</x:v>
      </x:c>
      <x:c r="B168" s="22" t="n">
        <x:v>46134</x:v>
      </x:c>
      <x:c r="C168" s="12" t="str">
        <x:v>DT-CTSV-2026-028</x:v>
      </x:c>
      <x:c r="D168" s="12" t="str">
        <x:v>Career Fair</x:v>
      </x:c>
      <x:c r="E168" s="12" t="str">
        <x:v>Learning Hub</x:v>
      </x:c>
      <x:c r="F168" s="12" t="str">
        <x:v>Thanh toán Career Fair - đợt 1</x:v>
      </x:c>
      <x:c r="G168" s="16" t="n">
        <x:v>80769000</x:v>
      </x:c>
      <x:c r="H168" s="16" t="n">
        <x:f>G168*10%</x:f>
        <x:v>8076900</x:v>
      </x:c>
      <x:c r="I168" s="16" t="n">
        <x:f>G168+H168</x:f>
        <x:v>88845900</x:v>
      </x:c>
      <x:c r="J168" s="22" t="n">
        <x:v>46159</x:v>
      </x:c>
      <x:c r="K168" s="12" t="str">
        <x:v>Chờ bổ sung chứng từ</x:v>
      </x:c>
      <x:c r="L168" s="12" t="str">
        <x:v>Lê Thu Hà</x:v>
      </x:c>
      <x:c r="M168" s="12" t="str">
        <x:v>Đang kiểm tra</x:v>
      </x:c>
      <x:c r="N168" s="12" t="str"/>
    </x:row>
    <x:row r="169">
      <x:c r="A169" s="12" t="str">
        <x:v>PR-CTSV-2026-168</x:v>
      </x:c>
      <x:c r="B169" s="22" t="n">
        <x:v>46026</x:v>
      </x:c>
      <x:c r="C169" s="12" t="str">
        <x:v>DT-CTSV-2026-028</x:v>
      </x:c>
      <x:c r="D169" s="12" t="str">
        <x:v>Career Fair</x:v>
      </x:c>
      <x:c r="E169" s="12" t="str">
        <x:v>TravelCare</x:v>
      </x:c>
      <x:c r="F169" s="12" t="str">
        <x:v>Thanh toán Career Fair - đợt 2</x:v>
      </x:c>
      <x:c r="G169" s="16" t="n">
        <x:v>33272000</x:v>
      </x:c>
      <x:c r="H169" s="16" t="n">
        <x:f>G169*10%</x:f>
        <x:v>3327200</x:v>
      </x:c>
      <x:c r="I169" s="16" t="n">
        <x:f>G169+H169</x:f>
        <x:v>36599200</x:v>
      </x:c>
      <x:c r="J169" s="22" t="n">
        <x:v>46047</x:v>
      </x:c>
      <x:c r="K169" s="12" t="str">
        <x:v>Chờ phê duyệt</x:v>
      </x:c>
      <x:c r="L169" s="12" t="str">
        <x:v>Phạm Quang Huy</x:v>
      </x:c>
      <x:c r="M169" s="12" t="str">
        <x:v>Đang kiểm tra</x:v>
      </x:c>
      <x:c r="N169" s="12" t="str"/>
    </x:row>
    <x:row r="170">
      <x:c r="A170" s="12" t="str">
        <x:v>PR-CTSV-2026-169</x:v>
      </x:c>
      <x:c r="B170" s="22" t="n">
        <x:v>46093</x:v>
      </x:c>
      <x:c r="C170" s="12" t="str">
        <x:v>DT-CTSV-2026-129</x:v>
      </x:c>
      <x:c r="D170" s="12" t="str">
        <x:v>Career Fair</x:v>
      </x:c>
      <x:c r="E170" s="12" t="str">
        <x:v>Viện Tâm lý Việt Nam</x:v>
      </x:c>
      <x:c r="F170" s="12" t="str">
        <x:v>Thanh toán Career Fair - đợt 4</x:v>
      </x:c>
      <x:c r="G170" s="16" t="n">
        <x:v>119731000</x:v>
      </x:c>
      <x:c r="H170" s="16" t="n">
        <x:f>G170*10%</x:f>
        <x:v>11973100</x:v>
      </x:c>
      <x:c r="I170" s="16" t="n">
        <x:f>G170+H170</x:f>
        <x:v>131704100</x:v>
      </x:c>
      <x:c r="J170" s="22" t="n">
        <x:v>46102</x:v>
      </x:c>
      <x:c r="K170" s="12" t="str">
        <x:v>Đã thanh toán</x:v>
      </x:c>
      <x:c r="L170" s="12" t="str">
        <x:v>Đỗ Hải Yến</x:v>
      </x:c>
      <x:c r="M170" s="12" t="str">
        <x:v>Thiếu hóa đơn</x:v>
      </x:c>
      <x:c r="N170" s="12" t="str"/>
    </x:row>
    <x:row r="171">
      <x:c r="A171" s="12" t="str">
        <x:v>PR-CTSV-2026-170</x:v>
      </x:c>
      <x:c r="B171" s="22" t="n">
        <x:v>46153</x:v>
      </x:c>
      <x:c r="C171" s="12" t="str">
        <x:v>DT-CTSV-2026-090</x:v>
      </x:c>
      <x:c r="D171" s="12" t="str">
        <x:v>International Exchange</x:v>
      </x:c>
      <x:c r="E171" s="12" t="str">
        <x:v>IT Solutions Edu</x:v>
      </x:c>
      <x:c r="F171" s="12" t="str">
        <x:v>Thanh toán International Exchange - đợt 3</x:v>
      </x:c>
      <x:c r="G171" s="16" t="n">
        <x:v>56273000</x:v>
      </x:c>
      <x:c r="H171" s="16" t="n">
        <x:f>G171*10%</x:f>
        <x:v>5627300</x:v>
      </x:c>
      <x:c r="I171" s="16" t="n">
        <x:f>G171+H171</x:f>
        <x:v>61900300</x:v>
      </x:c>
      <x:c r="J171" s="22" t="n">
        <x:v>46175</x:v>
      </x:c>
      <x:c r="K171" s="12" t="str">
        <x:v>Đã thanh toán</x:v>
      </x:c>
      <x:c r="L171" s="12" t="str">
        <x:v>Phạm Quang Huy</x:v>
      </x:c>
      <x:c r="M171" s="12" t="str">
        <x:v>Đang kiểm tra</x:v>
      </x:c>
      <x:c r="N171" s="12" t="str"/>
    </x:row>
    <x:row r="172">
      <x:c r="A172" s="12" t="str">
        <x:v>PR-CTSV-2026-171</x:v>
      </x:c>
      <x:c r="B172" s="22" t="n">
        <x:v>46063</x:v>
      </x:c>
      <x:c r="C172" s="12" t="str">
        <x:v>DT-CTSV-2026-082</x:v>
      </x:c>
      <x:c r="D172" s="12" t="str">
        <x:v>Student Leadership</x:v>
      </x:c>
      <x:c r="E172" s="12" t="str">
        <x:v>EventPlus Vietnam</x:v>
      </x:c>
      <x:c r="F172" s="12" t="str">
        <x:v>Thanh toán Student Leadership - đợt 3</x:v>
      </x:c>
      <x:c r="G172" s="16" t="n">
        <x:v>8227000</x:v>
      </x:c>
      <x:c r="H172" s="16" t="n">
        <x:f>G172*10%</x:f>
        <x:v>822700</x:v>
      </x:c>
      <x:c r="I172" s="16" t="n">
        <x:f>G172+H172</x:f>
        <x:v>9049700</x:v>
      </x:c>
      <x:c r="J172" s="22" t="n">
        <x:v>46090</x:v>
      </x:c>
      <x:c r="K172" s="12" t="str">
        <x:v>Đã thanh toán</x:v>
      </x:c>
      <x:c r="L172" s="12" t="str">
        <x:v>Đỗ Hải Yến</x:v>
      </x:c>
      <x:c r="M172" s="12" t="str">
        <x:v>Thiếu hóa đơn</x:v>
      </x:c>
      <x:c r="N172" s="12" t="str"/>
    </x:row>
    <x:row r="173">
      <x:c r="A173" s="12" t="str">
        <x:v>PR-CTSV-2026-172</x:v>
      </x:c>
      <x:c r="B173" s="22" t="n">
        <x:v>46271</x:v>
      </x:c>
      <x:c r="C173" s="12" t="str">
        <x:v>DT-CTSV-2026-063</x:v>
      </x:c>
      <x:c r="D173" s="12" t="str">
        <x:v>Career Fair</x:v>
      </x:c>
      <x:c r="E173" s="12" t="str">
        <x:v>PrintPro</x:v>
      </x:c>
      <x:c r="F173" s="12" t="str">
        <x:v>Thanh toán Career Fair - đợt 4</x:v>
      </x:c>
      <x:c r="G173" s="16" t="n">
        <x:v>67573000</x:v>
      </x:c>
      <x:c r="H173" s="16" t="n">
        <x:f>G173*10%</x:f>
        <x:v>6757300</x:v>
      </x:c>
      <x:c r="I173" s="16" t="n">
        <x:f>G173+H173</x:f>
        <x:v>74330300</x:v>
      </x:c>
      <x:c r="J173" s="22" t="n">
        <x:v>46285</x:v>
      </x:c>
      <x:c r="K173" s="12" t="str">
        <x:v>Chờ bổ sung chứng từ</x:v>
      </x:c>
      <x:c r="L173" s="12" t="str">
        <x:v>Đỗ Hải Yến</x:v>
      </x:c>
      <x:c r="M173" s="12" t="str">
        <x:v>Thiếu hóa đơn</x:v>
      </x:c>
      <x:c r="N173" s="12" t="str"/>
    </x:row>
    <x:row r="174">
      <x:c r="A174" s="12" t="str">
        <x:v>PR-CTSV-2026-173</x:v>
      </x:c>
      <x:c r="B174" s="22" t="n">
        <x:v>46348</x:v>
      </x:c>
      <x:c r="C174" s="12" t="str">
        <x:v>DT-CTSV-2026-048</x:v>
      </x:c>
      <x:c r="D174" s="12" t="str">
        <x:v>Mental Health Program</x:v>
      </x:c>
      <x:c r="E174" s="12" t="str">
        <x:v>Learning Hub</x:v>
      </x:c>
      <x:c r="F174" s="12" t="str">
        <x:v>Thanh toán Mental Health Program - đợt 2</x:v>
      </x:c>
      <x:c r="G174" s="16" t="n">
        <x:v>53559000</x:v>
      </x:c>
      <x:c r="H174" s="16" t="n">
        <x:f>0</x:f>
        <x:v>0</x:v>
      </x:c>
      <x:c r="I174" s="16" t="n">
        <x:f>G174+H174</x:f>
        <x:v>53559000</x:v>
      </x:c>
      <x:c r="J174" s="22" t="n">
        <x:v>46369</x:v>
      </x:c>
      <x:c r="K174" s="12" t="str">
        <x:v>Chờ bổ sung chứng từ</x:v>
      </x:c>
      <x:c r="L174" s="12" t="str">
        <x:v>Phạm Quang Huy</x:v>
      </x:c>
      <x:c r="M174" s="12" t="str">
        <x:v>Đầy đủ</x:v>
      </x:c>
      <x:c r="N174" s="12" t="str"/>
    </x:row>
    <x:row r="175">
      <x:c r="A175" s="12" t="str">
        <x:v>PR-CTSV-2026-174</x:v>
      </x:c>
      <x:c r="B175" s="22" t="n">
        <x:v>46121</x:v>
      </x:c>
      <x:c r="C175" s="12" t="str">
        <x:v>DT-CTSV-2026-055</x:v>
      </x:c>
      <x:c r="D175" s="12" t="str">
        <x:v>Community Service</x:v>
      </x:c>
      <x:c r="E175" s="12" t="str">
        <x:v>Công ty Đồng phục ABC</x:v>
      </x:c>
      <x:c r="F175" s="12" t="str">
        <x:v>Thanh toán Community Service - đợt 1</x:v>
      </x:c>
      <x:c r="G175" s="16" t="n">
        <x:v>91022000</x:v>
      </x:c>
      <x:c r="H175" s="16" t="n">
        <x:f>G175*10%</x:f>
        <x:v>9102200</x:v>
      </x:c>
      <x:c r="I175" s="16" t="n">
        <x:f>G175+H175</x:f>
        <x:v>100124200</x:v>
      </x:c>
      <x:c r="J175" s="22" t="n">
        <x:v>46145</x:v>
      </x:c>
      <x:c r="K175" s="12" t="str">
        <x:v>Đã duyệt</x:v>
      </x:c>
      <x:c r="L175" s="12" t="str">
        <x:v>Lê Thu Hà</x:v>
      </x:c>
      <x:c r="M175" s="12" t="str">
        <x:v>Thiếu biên bản nghiệm thu</x:v>
      </x:c>
      <x:c r="N175" s="12" t="str"/>
    </x:row>
    <x:row r="176">
      <x:c r="A176" s="12" t="str">
        <x:v>PR-CTSV-2026-175</x:v>
      </x:c>
      <x:c r="B176" s="22" t="n">
        <x:v>46238</x:v>
      </x:c>
      <x:c r="C176" s="12" t="str">
        <x:v>DT-CTSV-2026-051</x:v>
      </x:c>
      <x:c r="D176" s="12" t="str">
        <x:v>Mental Health Program</x:v>
      </x:c>
      <x:c r="E176" s="12" t="str">
        <x:v>TravelCare</x:v>
      </x:c>
      <x:c r="F176" s="12" t="str">
        <x:v>Thanh toán Mental Health Program - đợt 3</x:v>
      </x:c>
      <x:c r="G176" s="16" t="n">
        <x:v>33695000</x:v>
      </x:c>
      <x:c r="H176" s="16" t="n">
        <x:f>G176*10%</x:f>
        <x:v>3369500</x:v>
      </x:c>
      <x:c r="I176" s="16" t="n">
        <x:f>G176+H176</x:f>
        <x:v>37064500</x:v>
      </x:c>
      <x:c r="J176" s="22" t="n">
        <x:v>46264</x:v>
      </x:c>
      <x:c r="K176" s="12" t="str">
        <x:v>Chờ bổ sung chứng từ</x:v>
      </x:c>
      <x:c r="L176" s="12" t="str">
        <x:v>Vũ Khánh Linh</x:v>
      </x:c>
      <x:c r="M176" s="12" t="str">
        <x:v>Đang kiểm tra</x:v>
      </x:c>
      <x:c r="N176" s="12" t="str"/>
    </x:row>
    <x:row r="177">
      <x:c r="A177" s="12" t="str">
        <x:v>PR-CTSV-2026-176</x:v>
      </x:c>
      <x:c r="B177" s="22" t="n">
        <x:v>46185</x:v>
      </x:c>
      <x:c r="C177" s="12" t="str">
        <x:v>DT-CTSV-2026-030</x:v>
      </x:c>
      <x:c r="D177" s="12" t="str">
        <x:v>Career Fair</x:v>
      </x:c>
      <x:c r="E177" s="12" t="str">
        <x:v>Community Support Center</x:v>
      </x:c>
      <x:c r="F177" s="12" t="str">
        <x:v>Thanh toán Career Fair - đợt 3</x:v>
      </x:c>
      <x:c r="G177" s="16" t="n">
        <x:v>101925000</x:v>
      </x:c>
      <x:c r="H177" s="16" t="n">
        <x:f>G177*10%</x:f>
        <x:v>10192500</x:v>
      </x:c>
      <x:c r="I177" s="16" t="n">
        <x:f>G177+H177</x:f>
        <x:v>112117500</x:v>
      </x:c>
      <x:c r="J177" s="22" t="n">
        <x:v>46211</x:v>
      </x:c>
      <x:c r="K177" s="12" t="str">
        <x:v>Đã thanh toán</x:v>
      </x:c>
      <x:c r="L177" s="12" t="str">
        <x:v>Đỗ Hải Yến</x:v>
      </x:c>
      <x:c r="M177" s="12" t="str">
        <x:v>Thiếu hóa đơn</x:v>
      </x:c>
      <x:c r="N177" s="12" t="str"/>
    </x:row>
    <x:row r="178">
      <x:c r="A178" s="12" t="str">
        <x:v>PR-CTSV-2026-177</x:v>
      </x:c>
      <x:c r="B178" s="22" t="n">
        <x:v>46061</x:v>
      </x:c>
      <x:c r="C178" s="12" t="str">
        <x:v>DT-CTSV-2026-081</x:v>
      </x:c>
      <x:c r="D178" s="12" t="str">
        <x:v>Student Clubs</x:v>
      </x:c>
      <x:c r="E178" s="12" t="str">
        <x:v>Wellbeing Clinic</x:v>
      </x:c>
      <x:c r="F178" s="12" t="str">
        <x:v>Thanh toán Student Clubs - đợt 2</x:v>
      </x:c>
      <x:c r="G178" s="16" t="n">
        <x:v>38729000</x:v>
      </x:c>
      <x:c r="H178" s="16" t="n">
        <x:f>G178*10%</x:f>
        <x:v>3872900</x:v>
      </x:c>
      <x:c r="I178" s="16" t="n">
        <x:f>G178+H178</x:f>
        <x:v>42601900</x:v>
      </x:c>
      <x:c r="J178" s="22" t="n">
        <x:v>46084</x:v>
      </x:c>
      <x:c r="K178" s="12" t="str">
        <x:v>Chờ bổ sung chứng từ</x:v>
      </x:c>
      <x:c r="L178" s="12" t="str">
        <x:v>Phạm Quang Huy</x:v>
      </x:c>
      <x:c r="M178" s="12" t="str">
        <x:v>Thiếu hóa đơn</x:v>
      </x:c>
      <x:c r="N178" s="12" t="str"/>
    </x:row>
    <x:row r="179">
      <x:c r="A179" s="12" t="str">
        <x:v>PR-CTSV-2026-178</x:v>
      </x:c>
      <x:c r="B179" s="22" t="n">
        <x:v>46217</x:v>
      </x:c>
      <x:c r="C179" s="12" t="str">
        <x:v>DT-CTSV-2026-148</x:v>
      </x:c>
      <x:c r="D179" s="12" t="str">
        <x:v>Student Leadership</x:v>
      </x:c>
      <x:c r="E179" s="12" t="str">
        <x:v>Wellbeing Clinic</x:v>
      </x:c>
      <x:c r="F179" s="12" t="str">
        <x:v>Thanh toán Student Leadership - đợt 2</x:v>
      </x:c>
      <x:c r="G179" s="16" t="n">
        <x:v>24733000</x:v>
      </x:c>
      <x:c r="H179" s="16" t="n">
        <x:f>G179*10%</x:f>
        <x:v>2473300</x:v>
      </x:c>
      <x:c r="I179" s="16" t="n">
        <x:f>G179+H179</x:f>
        <x:v>27206300</x:v>
      </x:c>
      <x:c r="J179" s="22" t="n">
        <x:v>46241</x:v>
      </x:c>
      <x:c r="K179" s="12" t="str">
        <x:v>Đã duyệt</x:v>
      </x:c>
      <x:c r="L179" s="12" t="str">
        <x:v>Phạm Quang Huy</x:v>
      </x:c>
      <x:c r="M179" s="12" t="str">
        <x:v>Thiếu biên bản nghiệm thu</x:v>
      </x:c>
      <x:c r="N179" s="12" t="str"/>
    </x:row>
    <x:row r="180">
      <x:c r="A180" s="12" t="str">
        <x:v>PR-CTSV-2026-179</x:v>
      </x:c>
      <x:c r="B180" s="22" t="n">
        <x:v>46092</x:v>
      </x:c>
      <x:c r="C180" s="12" t="str">
        <x:v>DT-CTSV-2026-036</x:v>
      </x:c>
      <x:c r="D180" s="12" t="str">
        <x:v>Career Fair</x:v>
      </x:c>
      <x:c r="E180" s="12" t="str">
        <x:v>Student Life Partner</x:v>
      </x:c>
      <x:c r="F180" s="12" t="str">
        <x:v>Thanh toán Career Fair - đợt 1</x:v>
      </x:c>
      <x:c r="G180" s="16" t="n">
        <x:v>101512000</x:v>
      </x:c>
      <x:c r="H180" s="16" t="n">
        <x:f>G180*10%</x:f>
        <x:v>10151200</x:v>
      </x:c>
      <x:c r="I180" s="16" t="n">
        <x:f>G180+H180</x:f>
        <x:v>111663200</x:v>
      </x:c>
      <x:c r="J180" s="22" t="n">
        <x:v>46114</x:v>
      </x:c>
      <x:c r="K180" s="12" t="str">
        <x:v>Đã duyệt</x:v>
      </x:c>
      <x:c r="L180" s="12" t="str">
        <x:v>Trần Hoàng Nam</x:v>
      </x:c>
      <x:c r="M180" s="12" t="str">
        <x:v>Đang kiểm tra</x:v>
      </x:c>
      <x:c r="N180" s="12" t="str"/>
    </x:row>
    <x:row r="181">
      <x:c r="A181" s="12" t="str">
        <x:v>PR-CTSV-2026-180</x:v>
      </x:c>
      <x:c r="B181" s="22" t="n">
        <x:v>46286</x:v>
      </x:c>
      <x:c r="C181" s="12" t="str">
        <x:v>DT-CTSV-2026-144</x:v>
      </x:c>
      <x:c r="D181" s="12" t="str">
        <x:v>Community Service</x:v>
      </x:c>
      <x:c r="E181" s="12" t="str">
        <x:v>PrintPro</x:v>
      </x:c>
      <x:c r="F181" s="12" t="str">
        <x:v>Thanh toán Community Service - đợt 4</x:v>
      </x:c>
      <x:c r="G181" s="16" t="n">
        <x:v>60911000</x:v>
      </x:c>
      <x:c r="H181" s="16" t="n">
        <x:f>G181*10%</x:f>
        <x:v>6091100</x:v>
      </x:c>
      <x:c r="I181" s="16" t="n">
        <x:f>G181+H181</x:f>
        <x:v>67002100</x:v>
      </x:c>
      <x:c r="J181" s="22" t="n">
        <x:v>46308</x:v>
      </x:c>
      <x:c r="K181" s="12" t="str">
        <x:v>Đã duyệt</x:v>
      </x:c>
      <x:c r="L181" s="12" t="str">
        <x:v>Nguyễn Minh Anh</x:v>
      </x:c>
      <x:c r="M181" s="12" t="str">
        <x:v>Đầy đủ</x:v>
      </x:c>
      <x:c r="N181" s="12" t="str"/>
    </x:row>
    <x:row r="182">
      <x:c r="A182" s="12" t="str">
        <x:v>PR-CTSV-2026-181</x:v>
      </x:c>
      <x:c r="B182" s="22" t="n">
        <x:v>46144</x:v>
      </x:c>
      <x:c r="C182" s="12" t="str">
        <x:v>DT-CTSV-2026-057</x:v>
      </x:c>
      <x:c r="D182" s="12" t="str">
        <x:v>Scholarship Program</x:v>
      </x:c>
      <x:c r="E182" s="12" t="str">
        <x:v>TravelCare</x:v>
      </x:c>
      <x:c r="F182" s="12" t="str">
        <x:v>Thanh toán Scholarship Program - đợt 3</x:v>
      </x:c>
      <x:c r="G182" s="16" t="n">
        <x:v>35157000</x:v>
      </x:c>
      <x:c r="H182" s="16" t="n">
        <x:f>0</x:f>
        <x:v>0</x:v>
      </x:c>
      <x:c r="I182" s="16" t="n">
        <x:f>G182+H182</x:f>
        <x:v>35157000</x:v>
      </x:c>
      <x:c r="J182" s="22" t="n">
        <x:v>46156</x:v>
      </x:c>
      <x:c r="K182" s="12" t="str">
        <x:v>Chờ bổ sung chứng từ</x:v>
      </x:c>
      <x:c r="L182" s="12" t="str">
        <x:v>Vũ Khánh Linh</x:v>
      </x:c>
      <x:c r="M182" s="12" t="str">
        <x:v>Đang kiểm tra</x:v>
      </x:c>
      <x:c r="N182" s="12" t="str"/>
    </x:row>
    <x:row r="183">
      <x:c r="A183" s="12" t="str">
        <x:v>PR-CTSV-2026-182</x:v>
      </x:c>
      <x:c r="B183" s="22" t="n">
        <x:v>46269</x:v>
      </x:c>
      <x:c r="C183" s="12" t="str">
        <x:v>DT-CTSV-2026-141</x:v>
      </x:c>
      <x:c r="D183" s="12" t="str">
        <x:v>International Exchange</x:v>
      </x:c>
      <x:c r="E183" s="12" t="str">
        <x:v>TravelCare</x:v>
      </x:c>
      <x:c r="F183" s="12" t="str">
        <x:v>Thanh toán International Exchange - đợt 3</x:v>
      </x:c>
      <x:c r="G183" s="16" t="n">
        <x:v>70007000</x:v>
      </x:c>
      <x:c r="H183" s="16" t="n">
        <x:f>G183*10%</x:f>
        <x:v>7000700</x:v>
      </x:c>
      <x:c r="I183" s="16" t="n">
        <x:f>G183+H183</x:f>
        <x:v>77007700</x:v>
      </x:c>
      <x:c r="J183" s="22" t="n">
        <x:v>46293</x:v>
      </x:c>
      <x:c r="K183" s="12" t="str">
        <x:v>Đã thanh toán</x:v>
      </x:c>
      <x:c r="L183" s="12" t="str">
        <x:v>Đỗ Hải Yến</x:v>
      </x:c>
      <x:c r="M183" s="12" t="str">
        <x:v>Đang kiểm tra</x:v>
      </x:c>
      <x:c r="N183" s="12" t="str"/>
    </x:row>
    <x:row r="184">
      <x:c r="A184" s="12" t="str">
        <x:v>PR-CTSV-2026-183</x:v>
      </x:c>
      <x:c r="B184" s="22" t="n">
        <x:v>46126</x:v>
      </x:c>
      <x:c r="C184" s="12" t="str">
        <x:v>DT-CTSV-2026-140</x:v>
      </x:c>
      <x:c r="D184" s="12" t="str">
        <x:v>International Exchange</x:v>
      </x:c>
      <x:c r="E184" s="12" t="str">
        <x:v>Career Expo JSC</x:v>
      </x:c>
      <x:c r="F184" s="12" t="str">
        <x:v>Thanh toán International Exchange - đợt 3</x:v>
      </x:c>
      <x:c r="G184" s="16" t="n">
        <x:v>14982000</x:v>
      </x:c>
      <x:c r="H184" s="16" t="n">
        <x:f>G184*10%</x:f>
        <x:v>1498200</x:v>
      </x:c>
      <x:c r="I184" s="16" t="n">
        <x:f>G184+H184</x:f>
        <x:v>16480200</x:v>
      </x:c>
      <x:c r="J184" s="22" t="n">
        <x:v>46134</x:v>
      </x:c>
      <x:c r="K184" s="12" t="str">
        <x:v>Chờ bổ sung chứng từ</x:v>
      </x:c>
      <x:c r="L184" s="12" t="str">
        <x:v>Lê Thu Hà</x:v>
      </x:c>
      <x:c r="M184" s="12" t="str">
        <x:v>Thiếu biên bản nghiệm thu</x:v>
      </x:c>
      <x:c r="N184" s="12" t="str"/>
    </x:row>
    <x:row r="185">
      <x:c r="A185" s="12" t="str">
        <x:v>PR-CTSV-2026-184</x:v>
      </x:c>
      <x:c r="B185" s="22" t="n">
        <x:v>46238</x:v>
      </x:c>
      <x:c r="C185" s="12" t="str">
        <x:v>DT-CTSV-2026-023</x:v>
      </x:c>
      <x:c r="D185" s="12" t="str">
        <x:v>International Exchange</x:v>
      </x:c>
      <x:c r="E185" s="12" t="str">
        <x:v>Wellbeing Clinic</x:v>
      </x:c>
      <x:c r="F185" s="12" t="str">
        <x:v>Thanh toán International Exchange - đợt 3</x:v>
      </x:c>
      <x:c r="G185" s="16" t="n">
        <x:v>93748000</x:v>
      </x:c>
      <x:c r="H185" s="16" t="n">
        <x:f>G185*10%</x:f>
        <x:v>9374800</x:v>
      </x:c>
      <x:c r="I185" s="16" t="n">
        <x:f>G185+H185</x:f>
        <x:v>103122800</x:v>
      </x:c>
      <x:c r="J185" s="22" t="n">
        <x:v>46267</x:v>
      </x:c>
      <x:c r="K185" s="12" t="str">
        <x:v>Chờ bổ sung chứng từ</x:v>
      </x:c>
      <x:c r="L185" s="12" t="str">
        <x:v>Trần Hoàng Nam</x:v>
      </x:c>
      <x:c r="M185" s="12" t="str">
        <x:v>Thiếu hóa đơn</x:v>
      </x:c>
      <x:c r="N185" s="12" t="str"/>
    </x:row>
    <x:row r="186">
      <x:c r="A186" s="12" t="str">
        <x:v>PR-CTSV-2026-185</x:v>
      </x:c>
      <x:c r="B186" s="22" t="n">
        <x:v>46114</x:v>
      </x:c>
      <x:c r="C186" s="12" t="str">
        <x:v>DT-CTSV-2026-053</x:v>
      </x:c>
      <x:c r="D186" s="12" t="str">
        <x:v>Mental Health Program</x:v>
      </x:c>
      <x:c r="E186" s="12" t="str">
        <x:v>Learning Hub</x:v>
      </x:c>
      <x:c r="F186" s="12" t="str">
        <x:v>Thanh toán Mental Health Program - đợt 2</x:v>
      </x:c>
      <x:c r="G186" s="16" t="n">
        <x:v>69698000</x:v>
      </x:c>
      <x:c r="H186" s="16" t="n">
        <x:f>G186*10%</x:f>
        <x:v>6969800</x:v>
      </x:c>
      <x:c r="I186" s="16" t="n">
        <x:f>G186+H186</x:f>
        <x:v>76667800</x:v>
      </x:c>
      <x:c r="J186" s="22" t="n">
        <x:v>46131</x:v>
      </x:c>
      <x:c r="K186" s="12" t="str">
        <x:v>Chờ phê duyệt</x:v>
      </x:c>
      <x:c r="L186" s="12" t="str">
        <x:v>Lê Thu Hà</x:v>
      </x:c>
      <x:c r="M186" s="12" t="str">
        <x:v>Thiếu biên bản nghiệm thu</x:v>
      </x:c>
      <x:c r="N186" s="12" t="str"/>
    </x:row>
    <x:row r="187">
      <x:c r="A187" s="12" t="str">
        <x:v>PR-CTSV-2026-186</x:v>
      </x:c>
      <x:c r="B187" s="22" t="n">
        <x:v>46330</x:v>
      </x:c>
      <x:c r="C187" s="12" t="str">
        <x:v>DT-CTSV-2026-132</x:v>
      </x:c>
      <x:c r="D187" s="12" t="str">
        <x:v>Graduation Ceremony</x:v>
      </x:c>
      <x:c r="E187" s="12" t="str">
        <x:v>PrintPro</x:v>
      </x:c>
      <x:c r="F187" s="12" t="str">
        <x:v>Thanh toán Graduation Ceremony - đợt 1</x:v>
      </x:c>
      <x:c r="G187" s="16" t="n">
        <x:v>18863000</x:v>
      </x:c>
      <x:c r="H187" s="16" t="n">
        <x:f>G187*10%</x:f>
        <x:v>1886300</x:v>
      </x:c>
      <x:c r="I187" s="16" t="n">
        <x:f>G187+H187</x:f>
        <x:v>20749300</x:v>
      </x:c>
      <x:c r="J187" s="22" t="n">
        <x:v>46345</x:v>
      </x:c>
      <x:c r="K187" s="12" t="str">
        <x:v>Đã duyệt</x:v>
      </x:c>
      <x:c r="L187" s="12" t="str">
        <x:v>Đỗ Hải Yến</x:v>
      </x:c>
      <x:c r="M187" s="12" t="str">
        <x:v>Thiếu hóa đơn</x:v>
      </x:c>
      <x:c r="N187" s="12" t="str"/>
    </x:row>
    <x:row r="188">
      <x:c r="A188" s="12" t="str">
        <x:v>PR-CTSV-2026-187</x:v>
      </x:c>
      <x:c r="B188" s="22" t="n">
        <x:v>46104</x:v>
      </x:c>
      <x:c r="C188" s="12" t="str">
        <x:v>DT-CTSV-2026-064</x:v>
      </x:c>
      <x:c r="D188" s="12" t="str">
        <x:v>Orientation Week</x:v>
      </x:c>
      <x:c r="E188" s="12" t="str">
        <x:v>Community Support Center</x:v>
      </x:c>
      <x:c r="F188" s="12" t="str">
        <x:v>Thanh toán Orientation Week - đợt 4</x:v>
      </x:c>
      <x:c r="G188" s="16" t="n">
        <x:v>40685000</x:v>
      </x:c>
      <x:c r="H188" s="16" t="n">
        <x:f>G188*10%</x:f>
        <x:v>4068500</x:v>
      </x:c>
      <x:c r="I188" s="16" t="n">
        <x:f>G188+H188</x:f>
        <x:v>44753500</x:v>
      </x:c>
      <x:c r="J188" s="22" t="n">
        <x:v>46126</x:v>
      </x:c>
      <x:c r="K188" s="12" t="str">
        <x:v>Đã duyệt</x:v>
      </x:c>
      <x:c r="L188" s="12" t="str">
        <x:v>Vũ Khánh Linh</x:v>
      </x:c>
      <x:c r="M188" s="12" t="str">
        <x:v>Thiếu biên bản nghiệm thu</x:v>
      </x:c>
      <x:c r="N188" s="12" t="str"/>
    </x:row>
    <x:row r="189">
      <x:c r="A189" s="12" t="str">
        <x:v>PR-CTSV-2026-188</x:v>
      </x:c>
      <x:c r="B189" s="22" t="n">
        <x:v>46218</x:v>
      </x:c>
      <x:c r="C189" s="12" t="str">
        <x:v>DT-CTSV-2026-107</x:v>
      </x:c>
      <x:c r="D189" s="12" t="str">
        <x:v>Mental Health Program</x:v>
      </x:c>
      <x:c r="E189" s="12" t="str">
        <x:v>Công ty Đồng phục ABC</x:v>
      </x:c>
      <x:c r="F189" s="12" t="str">
        <x:v>Thanh toán Mental Health Program - đợt 4</x:v>
      </x:c>
      <x:c r="G189" s="16" t="n">
        <x:v>11835000</x:v>
      </x:c>
      <x:c r="H189" s="16" t="n">
        <x:f>G189*10%</x:f>
        <x:v>1183500</x:v>
      </x:c>
      <x:c r="I189" s="16" t="n">
        <x:f>G189+H189</x:f>
        <x:v>13018500</x:v>
      </x:c>
      <x:c r="J189" s="22" t="n">
        <x:v>46241</x:v>
      </x:c>
      <x:c r="K189" s="12" t="str">
        <x:v>Chờ phê duyệt</x:v>
      </x:c>
      <x:c r="L189" s="12" t="str">
        <x:v>Đỗ Hải Yến</x:v>
      </x:c>
      <x:c r="M189" s="12" t="str">
        <x:v>Thiếu biên bản nghiệm thu</x:v>
      </x:c>
      <x:c r="N189" s="12" t="str"/>
    </x:row>
    <x:row r="190">
      <x:c r="A190" s="12" t="str">
        <x:v>PR-CTSV-2026-189</x:v>
      </x:c>
      <x:c r="B190" s="22" t="n">
        <x:v>46245</x:v>
      </x:c>
      <x:c r="C190" s="12" t="str">
        <x:v>DT-CTSV-2026-117</x:v>
      </x:c>
      <x:c r="D190" s="12" t="str">
        <x:v>Career Fair</x:v>
      </x:c>
      <x:c r="E190" s="12" t="str">
        <x:v>Wellbeing Clinic</x:v>
      </x:c>
      <x:c r="F190" s="12" t="str">
        <x:v>Thanh toán Career Fair - đợt 1</x:v>
      </x:c>
      <x:c r="G190" s="16" t="n">
        <x:v>71088000</x:v>
      </x:c>
      <x:c r="H190" s="16" t="n">
        <x:f>G190*10%</x:f>
        <x:v>7108800</x:v>
      </x:c>
      <x:c r="I190" s="16" t="n">
        <x:f>G190+H190</x:f>
        <x:v>78196800</x:v>
      </x:c>
      <x:c r="J190" s="22" t="n">
        <x:v>46275</x:v>
      </x:c>
      <x:c r="K190" s="12" t="str">
        <x:v>Chờ bổ sung chứng từ</x:v>
      </x:c>
      <x:c r="L190" s="12" t="str">
        <x:v>Đỗ Hải Yến</x:v>
      </x:c>
      <x:c r="M190" s="12" t="str">
        <x:v>Thiếu biên bản nghiệm thu</x:v>
      </x:c>
      <x:c r="N190" s="12" t="str"/>
    </x:row>
    <x:row r="191">
      <x:c r="A191" s="12" t="str">
        <x:v>PR-CTSV-2026-190</x:v>
      </x:c>
      <x:c r="B191" s="22" t="n">
        <x:v>46278</x:v>
      </x:c>
      <x:c r="C191" s="12" t="str">
        <x:v>DT-CTSV-2026-017</x:v>
      </x:c>
      <x:c r="D191" s="12" t="str">
        <x:v>Student Wellbeing</x:v>
      </x:c>
      <x:c r="E191" s="12" t="str">
        <x:v>Career Expo JSC</x:v>
      </x:c>
      <x:c r="F191" s="12" t="str">
        <x:v>Thanh toán Student Wellbeing - đợt 4</x:v>
      </x:c>
      <x:c r="G191" s="16" t="n">
        <x:v>28486000</x:v>
      </x:c>
      <x:c r="H191" s="16" t="n">
        <x:f>G191*10%</x:f>
        <x:v>2848600</x:v>
      </x:c>
      <x:c r="I191" s="16" t="n">
        <x:f>G191+H191</x:f>
        <x:v>31334600</x:v>
      </x:c>
      <x:c r="J191" s="22" t="n">
        <x:v>46293</x:v>
      </x:c>
      <x:c r="K191" s="12" t="str">
        <x:v>Chờ phê duyệt</x:v>
      </x:c>
      <x:c r="L191" s="12" t="str">
        <x:v>Lê Thu Hà</x:v>
      </x:c>
      <x:c r="M191" s="12" t="str">
        <x:v>Thiếu biên bản nghiệm thu</x:v>
      </x:c>
      <x:c r="N191" s="12" t="str"/>
    </x:row>
    <x:row r="192">
      <x:c r="A192" s="12" t="str">
        <x:v>PR-CTSV-2026-191</x:v>
      </x:c>
      <x:c r="B192" s="22" t="n">
        <x:v>46300</x:v>
      </x:c>
      <x:c r="C192" s="12" t="str">
        <x:v>DT-CTSV-2026-141</x:v>
      </x:c>
      <x:c r="D192" s="12" t="str">
        <x:v>International Exchange</x:v>
      </x:c>
      <x:c r="E192" s="12" t="str">
        <x:v>Student Life Partner</x:v>
      </x:c>
      <x:c r="F192" s="12" t="str">
        <x:v>Thanh toán International Exchange - đợt 1</x:v>
      </x:c>
      <x:c r="G192" s="16" t="n">
        <x:v>69238000</x:v>
      </x:c>
      <x:c r="H192" s="16" t="n">
        <x:f>G192*10%</x:f>
        <x:v>6923800</x:v>
      </x:c>
      <x:c r="I192" s="16" t="n">
        <x:f>G192+H192</x:f>
        <x:v>76161800</x:v>
      </x:c>
      <x:c r="J192" s="22" t="n">
        <x:v>46308</x:v>
      </x:c>
      <x:c r="K192" s="12" t="str">
        <x:v>Đã thanh toán</x:v>
      </x:c>
      <x:c r="L192" s="12" t="str">
        <x:v>Đỗ Hải Yến</x:v>
      </x:c>
      <x:c r="M192" s="12" t="str">
        <x:v>Đang kiểm tra</x:v>
      </x:c>
      <x:c r="N192" s="12" t="str"/>
    </x:row>
    <x:row r="193">
      <x:c r="A193" s="12" t="str">
        <x:v>PR-CTSV-2026-192</x:v>
      </x:c>
      <x:c r="B193" s="22" t="n">
        <x:v>46059</x:v>
      </x:c>
      <x:c r="C193" s="12" t="str">
        <x:v>DT-CTSV-2026-005</x:v>
      </x:c>
      <x:c r="D193" s="12" t="str">
        <x:v>Community Service</x:v>
      </x:c>
      <x:c r="E193" s="12" t="str">
        <x:v>PrintPro</x:v>
      </x:c>
      <x:c r="F193" s="12" t="str">
        <x:v>Thanh toán Community Service - đợt 2</x:v>
      </x:c>
      <x:c r="G193" s="16" t="n">
        <x:v>54630000</x:v>
      </x:c>
      <x:c r="H193" s="16" t="n">
        <x:f>0</x:f>
        <x:v>0</x:v>
      </x:c>
      <x:c r="I193" s="16" t="n">
        <x:f>G193+H193</x:f>
        <x:v>54630000</x:v>
      </x:c>
      <x:c r="J193" s="22" t="n">
        <x:v>46088</x:v>
      </x:c>
      <x:c r="K193" s="12" t="str">
        <x:v>Đã duyệt</x:v>
      </x:c>
      <x:c r="L193" s="12" t="str">
        <x:v>Đỗ Hải Yến</x:v>
      </x:c>
      <x:c r="M193" s="12" t="str">
        <x:v>Thiếu biên bản nghiệm thu</x:v>
      </x:c>
      <x:c r="N193" s="12" t="str"/>
    </x:row>
    <x:row r="194">
      <x:c r="A194" s="12" t="str">
        <x:v>PR-CTSV-2026-193</x:v>
      </x:c>
      <x:c r="B194" s="22" t="n">
        <x:v>46145</x:v>
      </x:c>
      <x:c r="C194" s="12" t="str">
        <x:v>DT-CTSV-2026-041</x:v>
      </x:c>
      <x:c r="D194" s="12" t="str">
        <x:v>Community Service</x:v>
      </x:c>
      <x:c r="E194" s="12" t="str">
        <x:v>Student Life Partner</x:v>
      </x:c>
      <x:c r="F194" s="12" t="str">
        <x:v>Thanh toán Community Service - đợt 2</x:v>
      </x:c>
      <x:c r="G194" s="16" t="n">
        <x:v>79586000</x:v>
      </x:c>
      <x:c r="H194" s="16" t="n">
        <x:f>G194*10%</x:f>
        <x:v>7958600</x:v>
      </x:c>
      <x:c r="I194" s="16" t="n">
        <x:f>G194+H194</x:f>
        <x:v>87544600</x:v>
      </x:c>
      <x:c r="J194" s="22" t="n">
        <x:v>46153</x:v>
      </x:c>
      <x:c r="K194" s="12" t="str">
        <x:v>Chờ bổ sung chứng từ</x:v>
      </x:c>
      <x:c r="L194" s="12" t="str">
        <x:v>Đỗ Hải Yến</x:v>
      </x:c>
      <x:c r="M194" s="12" t="str">
        <x:v>Thiếu biên bản nghiệm thu</x:v>
      </x:c>
      <x:c r="N194" s="12" t="str"/>
    </x:row>
    <x:row r="195">
      <x:c r="A195" s="12" t="str">
        <x:v>PR-CTSV-2026-194</x:v>
      </x:c>
      <x:c r="B195" s="22" t="n">
        <x:v>46224</x:v>
      </x:c>
      <x:c r="C195" s="12" t="str">
        <x:v>DT-CTSV-2026-060</x:v>
      </x:c>
      <x:c r="D195" s="12" t="str">
        <x:v>Student Wellbeing</x:v>
      </x:c>
      <x:c r="E195" s="12" t="str">
        <x:v>Career Expo JSC</x:v>
      </x:c>
      <x:c r="F195" s="12" t="str">
        <x:v>Thanh toán Student Wellbeing - đợt 4</x:v>
      </x:c>
      <x:c r="G195" s="16" t="n">
        <x:v>13670000</x:v>
      </x:c>
      <x:c r="H195" s="16" t="n">
        <x:f>G195*10%</x:f>
        <x:v>1367000</x:v>
      </x:c>
      <x:c r="I195" s="16" t="n">
        <x:f>G195+H195</x:f>
        <x:v>15037000</x:v>
      </x:c>
      <x:c r="J195" s="22" t="n">
        <x:v>46233</x:v>
      </x:c>
      <x:c r="K195" s="12" t="str">
        <x:v>Đã duyệt</x:v>
      </x:c>
      <x:c r="L195" s="12" t="str">
        <x:v>Vũ Khánh Linh</x:v>
      </x:c>
      <x:c r="M195" s="12" t="str">
        <x:v>Thiếu hóa đơn</x:v>
      </x:c>
      <x:c r="N195" s="12" t="str"/>
    </x:row>
    <x:row r="196">
      <x:c r="A196" s="12" t="str">
        <x:v>PR-CTSV-2026-195</x:v>
      </x:c>
      <x:c r="B196" s="22" t="n">
        <x:v>46341</x:v>
      </x:c>
      <x:c r="C196" s="12" t="str">
        <x:v>DT-CTSV-2026-133</x:v>
      </x:c>
      <x:c r="D196" s="12" t="str">
        <x:v>International Exchange</x:v>
      </x:c>
      <x:c r="E196" s="12" t="str">
        <x:v>Công ty Đồng phục ABC</x:v>
      </x:c>
      <x:c r="F196" s="12" t="str">
        <x:v>Thanh toán International Exchange - đợt 4</x:v>
      </x:c>
      <x:c r="G196" s="16" t="n">
        <x:v>4086000</x:v>
      </x:c>
      <x:c r="H196" s="16" t="n">
        <x:f>G196*10%</x:f>
        <x:v>408600</x:v>
      </x:c>
      <x:c r="I196" s="16" t="n">
        <x:f>G196+H196</x:f>
        <x:v>4494600</x:v>
      </x:c>
      <x:c r="J196" s="22" t="n">
        <x:v>46370</x:v>
      </x:c>
      <x:c r="K196" s="12" t="str">
        <x:v>Đã duyệt</x:v>
      </x:c>
      <x:c r="L196" s="12" t="str">
        <x:v>Phạm Quang Huy</x:v>
      </x:c>
      <x:c r="M196" s="12" t="str">
        <x:v>Đầy đủ</x:v>
      </x:c>
      <x:c r="N196" s="12" t="str"/>
    </x:row>
    <x:row r="197">
      <x:c r="A197" s="12" t="str">
        <x:v>PR-CTSV-2026-196</x:v>
      </x:c>
      <x:c r="B197" s="22" t="n">
        <x:v>46206</x:v>
      </x:c>
      <x:c r="C197" s="12" t="str">
        <x:v>DT-CTSV-2026-059</x:v>
      </x:c>
      <x:c r="D197" s="12" t="str">
        <x:v>Career Fair</x:v>
      </x:c>
      <x:c r="E197" s="12" t="str">
        <x:v>Student Life Partner</x:v>
      </x:c>
      <x:c r="F197" s="12" t="str">
        <x:v>Thanh toán Career Fair - đợt 3</x:v>
      </x:c>
      <x:c r="G197" s="16" t="n">
        <x:v>88499000</x:v>
      </x:c>
      <x:c r="H197" s="16" t="n">
        <x:f>G197*10%</x:f>
        <x:v>8849900</x:v>
      </x:c>
      <x:c r="I197" s="16" t="n">
        <x:f>G197+H197</x:f>
        <x:v>97348900</x:v>
      </x:c>
      <x:c r="J197" s="22" t="n">
        <x:v>46222</x:v>
      </x:c>
      <x:c r="K197" s="12" t="str">
        <x:v>Đã duyệt</x:v>
      </x:c>
      <x:c r="L197" s="12" t="str">
        <x:v>Phạm Quang Huy</x:v>
      </x:c>
      <x:c r="M197" s="12" t="str">
        <x:v>Thiếu hóa đơn</x:v>
      </x:c>
      <x:c r="N197" s="12" t="str"/>
    </x:row>
    <x:row r="198">
      <x:c r="A198" s="12" t="str">
        <x:v>PR-CTSV-2026-197</x:v>
      </x:c>
      <x:c r="B198" s="22" t="n">
        <x:v>46070</x:v>
      </x:c>
      <x:c r="C198" s="12" t="str">
        <x:v>DT-CTSV-2026-037</x:v>
      </x:c>
      <x:c r="D198" s="12" t="str">
        <x:v>Graduation Ceremony</x:v>
      </x:c>
      <x:c r="E198" s="12" t="str">
        <x:v>VinUni Catering</x:v>
      </x:c>
      <x:c r="F198" s="12" t="str">
        <x:v>Thanh toán Graduation Ceremony - đợt 4</x:v>
      </x:c>
      <x:c r="G198" s="16" t="n">
        <x:v>68905000</x:v>
      </x:c>
      <x:c r="H198" s="16" t="n">
        <x:f>G198*10%</x:f>
        <x:v>6890500</x:v>
      </x:c>
      <x:c r="I198" s="16" t="n">
        <x:f>G198+H198</x:f>
        <x:v>75795500</x:v>
      </x:c>
      <x:c r="J198" s="22" t="n">
        <x:v>46088</x:v>
      </x:c>
      <x:c r="K198" s="12" t="str">
        <x:v>Đã duyệt</x:v>
      </x:c>
      <x:c r="L198" s="12" t="str">
        <x:v>Đỗ Hải Yến</x:v>
      </x:c>
      <x:c r="M198" s="12" t="str">
        <x:v>Thiếu hóa đơn</x:v>
      </x:c>
      <x:c r="N198" s="12" t="str"/>
    </x:row>
    <x:row r="199">
      <x:c r="A199" s="12" t="str">
        <x:v>PR-CTSV-2026-198</x:v>
      </x:c>
      <x:c r="B199" s="22" t="n">
        <x:v>46317</x:v>
      </x:c>
      <x:c r="C199" s="12" t="str">
        <x:v>DT-CTSV-2026-106</x:v>
      </x:c>
      <x:c r="D199" s="12" t="str">
        <x:v>Community Service</x:v>
      </x:c>
      <x:c r="E199" s="12" t="str">
        <x:v>Công ty Đồng phục ABC</x:v>
      </x:c>
      <x:c r="F199" s="12" t="str">
        <x:v>Thanh toán Community Service - đợt 2</x:v>
      </x:c>
      <x:c r="G199" s="16" t="n">
        <x:v>54758000</x:v>
      </x:c>
      <x:c r="H199" s="16" t="n">
        <x:f>G199*10%</x:f>
        <x:v>5475800</x:v>
      </x:c>
      <x:c r="I199" s="16" t="n">
        <x:f>G199+H199</x:f>
        <x:v>60233800</x:v>
      </x:c>
      <x:c r="J199" s="22" t="n">
        <x:v>46327</x:v>
      </x:c>
      <x:c r="K199" s="12" t="str">
        <x:v>Chờ bổ sung chứng từ</x:v>
      </x:c>
      <x:c r="L199" s="12" t="str">
        <x:v>Lê Thu Hà</x:v>
      </x:c>
      <x:c r="M199" s="12" t="str">
        <x:v>Đang kiểm tra</x:v>
      </x:c>
      <x:c r="N199" s="12" t="str"/>
    </x:row>
    <x:row r="200">
      <x:c r="A200" s="12" t="str">
        <x:v>PR-CTSV-2026-199</x:v>
      </x:c>
      <x:c r="B200" s="22" t="n">
        <x:v>46089</x:v>
      </x:c>
      <x:c r="C200" s="12" t="str">
        <x:v>DT-CTSV-2026-081</x:v>
      </x:c>
      <x:c r="D200" s="12" t="str">
        <x:v>Student Clubs</x:v>
      </x:c>
      <x:c r="E200" s="12" t="str">
        <x:v>TravelCare</x:v>
      </x:c>
      <x:c r="F200" s="12" t="str">
        <x:v>Thanh toán Student Clubs - đợt 3</x:v>
      </x:c>
      <x:c r="G200" s="16" t="n">
        <x:v>35405000</x:v>
      </x:c>
      <x:c r="H200" s="16" t="n">
        <x:f>G200*10%</x:f>
        <x:v>3540500</x:v>
      </x:c>
      <x:c r="I200" s="16" t="n">
        <x:f>G200+H200</x:f>
        <x:v>38945500</x:v>
      </x:c>
      <x:c r="J200" s="22" t="n">
        <x:v>46118</x:v>
      </x:c>
      <x:c r="K200" s="12" t="str">
        <x:v>Đã thanh toán</x:v>
      </x:c>
      <x:c r="L200" s="12" t="str">
        <x:v>Đỗ Hải Yến</x:v>
      </x:c>
      <x:c r="M200" s="12" t="str">
        <x:v>Thiếu biên bản nghiệm thu</x:v>
      </x:c>
      <x:c r="N200" s="12" t="str"/>
    </x:row>
    <x:row r="201">
      <x:c r="A201" s="12" t="str">
        <x:v>PR-CTSV-2026-200</x:v>
      </x:c>
      <x:c r="B201" s="22" t="n">
        <x:v>46285</x:v>
      </x:c>
      <x:c r="C201" s="12" t="str">
        <x:v>DT-CTSV-2026-053</x:v>
      </x:c>
      <x:c r="D201" s="12" t="str">
        <x:v>Mental Health Program</x:v>
      </x:c>
      <x:c r="E201" s="12" t="str">
        <x:v>Viện Tâm lý Việt Nam</x:v>
      </x:c>
      <x:c r="F201" s="12" t="str">
        <x:v>Thanh toán Mental Health Program - đợt 1</x:v>
      </x:c>
      <x:c r="G201" s="16" t="n">
        <x:v>62614000</x:v>
      </x:c>
      <x:c r="H201" s="16" t="n">
        <x:f>G201*10%</x:f>
        <x:v>6261400</x:v>
      </x:c>
      <x:c r="I201" s="16" t="n">
        <x:f>G201+H201</x:f>
        <x:v>68875400</x:v>
      </x:c>
      <x:c r="J201" s="22" t="n">
        <x:v>46299</x:v>
      </x:c>
      <x:c r="K201" s="12" t="str">
        <x:v>Chờ bổ sung chứng từ</x:v>
      </x:c>
      <x:c r="L201" s="12" t="str">
        <x:v>Phạm Quang Huy</x:v>
      </x:c>
      <x:c r="M201" s="12" t="str">
        <x:v>Đầy đủ</x:v>
      </x:c>
      <x:c r="N201" s="12" t="str"/>
    </x:row>
    <x:row r="202">
      <x:c r="A202" s="12" t="str">
        <x:v>PR-CTSV-2026-201</x:v>
      </x:c>
      <x:c r="B202" s="22" t="n">
        <x:v>46255</x:v>
      </x:c>
      <x:c r="C202" s="12" t="str">
        <x:v>DT-CTSV-2026-062</x:v>
      </x:c>
      <x:c r="D202" s="12" t="str">
        <x:v>Career Fair</x:v>
      </x:c>
      <x:c r="E202" s="12" t="str">
        <x:v>EventPlus Vietnam</x:v>
      </x:c>
      <x:c r="F202" s="12" t="str">
        <x:v>Thanh toán Career Fair - đợt 3</x:v>
      </x:c>
      <x:c r="G202" s="16" t="n">
        <x:v>72489000</x:v>
      </x:c>
      <x:c r="H202" s="16" t="n">
        <x:f>G202*10%</x:f>
        <x:v>7248900</x:v>
      </x:c>
      <x:c r="I202" s="16" t="n">
        <x:f>G202+H202</x:f>
        <x:v>79737900</x:v>
      </x:c>
      <x:c r="J202" s="22" t="n">
        <x:v>46272</x:v>
      </x:c>
      <x:c r="K202" s="12" t="str">
        <x:v>Đã duyệt</x:v>
      </x:c>
      <x:c r="L202" s="12" t="str">
        <x:v>Phạm Quang Huy</x:v>
      </x:c>
      <x:c r="M202" s="12" t="str">
        <x:v>Đang kiểm tra</x:v>
      </x:c>
      <x:c r="N202" s="12" t="str"/>
    </x:row>
    <x:row r="203">
      <x:c r="A203" s="12" t="str">
        <x:v>PR-CTSV-2026-202</x:v>
      </x:c>
      <x:c r="B203" s="22" t="n">
        <x:v>46287</x:v>
      </x:c>
      <x:c r="C203" s="12" t="str">
        <x:v>DT-CTSV-2026-094</x:v>
      </x:c>
      <x:c r="D203" s="12" t="str">
        <x:v>Orientation Week</x:v>
      </x:c>
      <x:c r="E203" s="12" t="str">
        <x:v>Công ty Đồng phục ABC</x:v>
      </x:c>
      <x:c r="F203" s="12" t="str">
        <x:v>Thanh toán Orientation Week - đợt 1</x:v>
      </x:c>
      <x:c r="G203" s="16" t="n">
        <x:v>23214000</x:v>
      </x:c>
      <x:c r="H203" s="16" t="n">
        <x:f>G203*10%</x:f>
        <x:v>2321400</x:v>
      </x:c>
      <x:c r="I203" s="16" t="n">
        <x:f>G203+H203</x:f>
        <x:v>25535400</x:v>
      </x:c>
      <x:c r="J203" s="22" t="n">
        <x:v>46312</x:v>
      </x:c>
      <x:c r="K203" s="12" t="str">
        <x:v>Đã thanh toán</x:v>
      </x:c>
      <x:c r="L203" s="12" t="str">
        <x:v>Nguyễn Minh Anh</x:v>
      </x:c>
      <x:c r="M203" s="12" t="str">
        <x:v>Thiếu biên bản nghiệm thu</x:v>
      </x:c>
      <x:c r="N203" s="12" t="str"/>
    </x:row>
    <x:row r="204">
      <x:c r="A204" s="12" t="str">
        <x:v>PR-CTSV-2026-203</x:v>
      </x:c>
      <x:c r="B204" s="22" t="n">
        <x:v>46024</x:v>
      </x:c>
      <x:c r="C204" s="12" t="str">
        <x:v>DT-CTSV-2026-056</x:v>
      </x:c>
      <x:c r="D204" s="12" t="str">
        <x:v>Graduation Ceremony</x:v>
      </x:c>
      <x:c r="E204" s="12" t="str">
        <x:v>Viện Tâm lý Việt Nam</x:v>
      </x:c>
      <x:c r="F204" s="12" t="str">
        <x:v>Thanh toán Graduation Ceremony - đợt 4</x:v>
      </x:c>
      <x:c r="G204" s="16" t="n">
        <x:v>113995000</x:v>
      </x:c>
      <x:c r="H204" s="16" t="n">
        <x:f>G204*10%</x:f>
        <x:v>11399500</x:v>
      </x:c>
      <x:c r="I204" s="16" t="n">
        <x:f>G204+H204</x:f>
        <x:v>125394500</x:v>
      </x:c>
      <x:c r="J204" s="22" t="n">
        <x:v>46044</x:v>
      </x:c>
      <x:c r="K204" s="12" t="str">
        <x:v>Chờ bổ sung chứng từ</x:v>
      </x:c>
      <x:c r="L204" s="12" t="str">
        <x:v>Nguyễn Minh Anh</x:v>
      </x:c>
      <x:c r="M204" s="12" t="str">
        <x:v>Thiếu hóa đơn</x:v>
      </x:c>
      <x:c r="N204" s="12" t="str"/>
    </x:row>
    <x:row r="205">
      <x:c r="A205" s="12" t="str">
        <x:v>PR-CTSV-2026-204</x:v>
      </x:c>
      <x:c r="B205" s="22" t="n">
        <x:v>46063</x:v>
      </x:c>
      <x:c r="C205" s="12" t="str">
        <x:v>DT-CTSV-2026-072</x:v>
      </x:c>
      <x:c r="D205" s="12" t="str">
        <x:v>Scholarship Program</x:v>
      </x:c>
      <x:c r="E205" s="12" t="str">
        <x:v>Career Expo JSC</x:v>
      </x:c>
      <x:c r="F205" s="12" t="str">
        <x:v>Thanh toán Scholarship Program - đợt 2</x:v>
      </x:c>
      <x:c r="G205" s="16" t="n">
        <x:v>12245000</x:v>
      </x:c>
      <x:c r="H205" s="16" t="n">
        <x:f>0</x:f>
        <x:v>0</x:v>
      </x:c>
      <x:c r="I205" s="16" t="n">
        <x:f>G205+H205</x:f>
        <x:v>12245000</x:v>
      </x:c>
      <x:c r="J205" s="22" t="n">
        <x:v>46087</x:v>
      </x:c>
      <x:c r="K205" s="12" t="str">
        <x:v>Chờ phê duyệt</x:v>
      </x:c>
      <x:c r="L205" s="12" t="str">
        <x:v>Phạm Quang Huy</x:v>
      </x:c>
      <x:c r="M205" s="12" t="str">
        <x:v>Đầy đủ</x:v>
      </x:c>
      <x:c r="N205" s="12" t="str"/>
    </x:row>
    <x:row r="206">
      <x:c r="A206" s="12" t="str">
        <x:v>PR-CTSV-2026-205</x:v>
      </x:c>
      <x:c r="B206" s="22" t="n">
        <x:v>46370</x:v>
      </x:c>
      <x:c r="C206" s="12" t="str">
        <x:v>DT-CTSV-2026-080</x:v>
      </x:c>
      <x:c r="D206" s="12" t="str">
        <x:v>Career Fair</x:v>
      </x:c>
      <x:c r="E206" s="12" t="str">
        <x:v>EventPlus Vietnam</x:v>
      </x:c>
      <x:c r="F206" s="12" t="str">
        <x:v>Thanh toán Career Fair - đợt 2</x:v>
      </x:c>
      <x:c r="G206" s="16" t="n">
        <x:v>88405000</x:v>
      </x:c>
      <x:c r="H206" s="16" t="n">
        <x:f>G206*10%</x:f>
        <x:v>8840500</x:v>
      </x:c>
      <x:c r="I206" s="16" t="n">
        <x:f>G206+H206</x:f>
        <x:v>97245500</x:v>
      </x:c>
      <x:c r="J206" s="22" t="n">
        <x:v>46379</x:v>
      </x:c>
      <x:c r="K206" s="12" t="str">
        <x:v>Chờ bổ sung chứng từ</x:v>
      </x:c>
      <x:c r="L206" s="12" t="str">
        <x:v>Nguyễn Minh Anh</x:v>
      </x:c>
      <x:c r="M206" s="12" t="str">
        <x:v>Đang kiểm tra</x:v>
      </x:c>
      <x:c r="N206" s="12" t="str"/>
    </x:row>
    <x:row r="207">
      <x:c r="A207" s="12" t="str">
        <x:v>PR-CTSV-2026-206</x:v>
      </x:c>
      <x:c r="B207" s="22" t="n">
        <x:v>46164</x:v>
      </x:c>
      <x:c r="C207" s="12" t="str">
        <x:v>DT-CTSV-2026-015</x:v>
      </x:c>
      <x:c r="D207" s="12" t="str">
        <x:v>Student Leadership</x:v>
      </x:c>
      <x:c r="E207" s="12" t="str">
        <x:v>Công ty Đồng phục ABC</x:v>
      </x:c>
      <x:c r="F207" s="12" t="str">
        <x:v>Thanh toán Student Leadership - đợt 1</x:v>
      </x:c>
      <x:c r="G207" s="16" t="n">
        <x:v>89778000</x:v>
      </x:c>
      <x:c r="H207" s="16" t="n">
        <x:f>G207*10%</x:f>
        <x:v>8977800</x:v>
      </x:c>
      <x:c r="I207" s="16" t="n">
        <x:f>G207+H207</x:f>
        <x:v>98755800</x:v>
      </x:c>
      <x:c r="J207" s="22" t="n">
        <x:v>46193</x:v>
      </x:c>
      <x:c r="K207" s="12" t="str">
        <x:v>Đã duyệt</x:v>
      </x:c>
      <x:c r="L207" s="12" t="str">
        <x:v>Đỗ Hải Yến</x:v>
      </x:c>
      <x:c r="M207" s="12" t="str">
        <x:v>Đầy đủ</x:v>
      </x:c>
      <x:c r="N207" s="12" t="str"/>
    </x:row>
    <x:row r="208">
      <x:c r="A208" s="12" t="str">
        <x:v>PR-CTSV-2026-207</x:v>
      </x:c>
      <x:c r="B208" s="22" t="n">
        <x:v>46246</x:v>
      </x:c>
      <x:c r="C208" s="12" t="str">
        <x:v>DT-CTSV-2026-042</x:v>
      </x:c>
      <x:c r="D208" s="12" t="str">
        <x:v>Career Fair</x:v>
      </x:c>
      <x:c r="E208" s="12" t="str">
        <x:v>Wellbeing Clinic</x:v>
      </x:c>
      <x:c r="F208" s="12" t="str">
        <x:v>Thanh toán Career Fair - đợt 3</x:v>
      </x:c>
      <x:c r="G208" s="16" t="n">
        <x:v>64191000</x:v>
      </x:c>
      <x:c r="H208" s="16" t="n">
        <x:f>G208*10%</x:f>
        <x:v>6419100</x:v>
      </x:c>
      <x:c r="I208" s="16" t="n">
        <x:f>G208+H208</x:f>
        <x:v>70610100</x:v>
      </x:c>
      <x:c r="J208" s="22" t="n">
        <x:v>46258</x:v>
      </x:c>
      <x:c r="K208" s="12" t="str">
        <x:v>Chờ phê duyệt</x:v>
      </x:c>
      <x:c r="L208" s="12" t="str">
        <x:v>Trần Hoàng Nam</x:v>
      </x:c>
      <x:c r="M208" s="12" t="str">
        <x:v>Thiếu biên bản nghiệm thu</x:v>
      </x:c>
      <x:c r="N208" s="12" t="str"/>
    </x:row>
    <x:row r="209">
      <x:c r="A209" s="12" t="str">
        <x:v>PR-CTSV-2026-208</x:v>
      </x:c>
      <x:c r="B209" s="22" t="n">
        <x:v>46033</x:v>
      </x:c>
      <x:c r="C209" s="12" t="str">
        <x:v>DT-CTSV-2026-031</x:v>
      </x:c>
      <x:c r="D209" s="12" t="str">
        <x:v>Student Clubs</x:v>
      </x:c>
      <x:c r="E209" s="12" t="str">
        <x:v>Công ty Đồng phục ABC</x:v>
      </x:c>
      <x:c r="F209" s="12" t="str">
        <x:v>Thanh toán Student Clubs - đợt 3</x:v>
      </x:c>
      <x:c r="G209" s="16" t="n">
        <x:v>97431000</x:v>
      </x:c>
      <x:c r="H209" s="16" t="n">
        <x:f>G209*10%</x:f>
        <x:v>9743100</x:v>
      </x:c>
      <x:c r="I209" s="16" t="n">
        <x:f>G209+H209</x:f>
        <x:v>107174100</x:v>
      </x:c>
      <x:c r="J209" s="22" t="n">
        <x:v>46062</x:v>
      </x:c>
      <x:c r="K209" s="12" t="str">
        <x:v>Đã thanh toán</x:v>
      </x:c>
      <x:c r="L209" s="12" t="str">
        <x:v>Phạm Quang Huy</x:v>
      </x:c>
      <x:c r="M209" s="12" t="str">
        <x:v>Đang kiểm tra</x:v>
      </x:c>
      <x:c r="N209" s="12" t="str"/>
    </x:row>
    <x:row r="210">
      <x:c r="A210" s="12" t="str">
        <x:v>PR-CTSV-2026-209</x:v>
      </x:c>
      <x:c r="B210" s="22" t="n">
        <x:v>46175</x:v>
      </x:c>
      <x:c r="C210" s="12" t="str">
        <x:v>DT-CTSV-2026-131</x:v>
      </x:c>
      <x:c r="D210" s="12" t="str">
        <x:v>Orientation Week</x:v>
      </x:c>
      <x:c r="E210" s="12" t="str">
        <x:v>Student Life Partner</x:v>
      </x:c>
      <x:c r="F210" s="12" t="str">
        <x:v>Thanh toán Orientation Week - đợt 2</x:v>
      </x:c>
      <x:c r="G210" s="16" t="n">
        <x:v>61454000</x:v>
      </x:c>
      <x:c r="H210" s="16" t="n">
        <x:f>G210*10%</x:f>
        <x:v>6145400</x:v>
      </x:c>
      <x:c r="I210" s="16" t="n">
        <x:f>G210+H210</x:f>
        <x:v>67599400</x:v>
      </x:c>
      <x:c r="J210" s="22" t="n">
        <x:v>46190</x:v>
      </x:c>
      <x:c r="K210" s="12" t="str">
        <x:v>Đã thanh toán</x:v>
      </x:c>
      <x:c r="L210" s="12" t="str">
        <x:v>Vũ Khánh Linh</x:v>
      </x:c>
      <x:c r="M210" s="12" t="str">
        <x:v>Đầy đủ</x:v>
      </x:c>
      <x:c r="N210" s="12" t="str"/>
    </x:row>
    <x:row r="211">
      <x:c r="A211" s="12" t="str">
        <x:v>PR-CTSV-2026-210</x:v>
      </x:c>
      <x:c r="B211" s="22" t="n">
        <x:v>46373</x:v>
      </x:c>
      <x:c r="C211" s="12" t="str">
        <x:v>DT-CTSV-2026-059</x:v>
      </x:c>
      <x:c r="D211" s="12" t="str">
        <x:v>Career Fair</x:v>
      </x:c>
      <x:c r="E211" s="12" t="str">
        <x:v>EventPlus Vietnam</x:v>
      </x:c>
      <x:c r="F211" s="12" t="str">
        <x:v>Thanh toán Career Fair - đợt 2</x:v>
      </x:c>
      <x:c r="G211" s="16" t="n">
        <x:v>3300000</x:v>
      </x:c>
      <x:c r="H211" s="16" t="n">
        <x:f>G211*10%</x:f>
        <x:v>330000</x:v>
      </x:c>
      <x:c r="I211" s="16" t="n">
        <x:f>G211+H211</x:f>
        <x:v>3630000</x:v>
      </x:c>
      <x:c r="J211" s="22" t="n">
        <x:v>46381</x:v>
      </x:c>
      <x:c r="K211" s="12" t="str">
        <x:v>Chờ bổ sung chứng từ</x:v>
      </x:c>
      <x:c r="L211" s="12" t="str">
        <x:v>Lê Thu Hà</x:v>
      </x:c>
      <x:c r="M211" s="12" t="str">
        <x:v>Đang kiểm tra</x:v>
      </x:c>
      <x:c r="N211" s="12" t="str"/>
    </x:row>
    <x:row r="212">
      <x:c r="A212" s="12" t="str">
        <x:v>PR-CTSV-2026-211</x:v>
      </x:c>
      <x:c r="B212" s="22" t="n">
        <x:v>46083</x:v>
      </x:c>
      <x:c r="C212" s="12" t="str">
        <x:v>DT-CTSV-2026-039</x:v>
      </x:c>
      <x:c r="D212" s="12" t="str">
        <x:v>Community Service</x:v>
      </x:c>
      <x:c r="E212" s="12" t="str">
        <x:v>Wellbeing Clinic</x:v>
      </x:c>
      <x:c r="F212" s="12" t="str">
        <x:v>Thanh toán Community Service - đợt 4</x:v>
      </x:c>
      <x:c r="G212" s="16" t="n">
        <x:v>67685000</x:v>
      </x:c>
      <x:c r="H212" s="16" t="n">
        <x:f>G212*10%</x:f>
        <x:v>6768500</x:v>
      </x:c>
      <x:c r="I212" s="16" t="n">
        <x:f>G212+H212</x:f>
        <x:v>74453500</x:v>
      </x:c>
      <x:c r="J212" s="22" t="n">
        <x:v>46097</x:v>
      </x:c>
      <x:c r="K212" s="12" t="str">
        <x:v>Chờ phê duyệt</x:v>
      </x:c>
      <x:c r="L212" s="12" t="str">
        <x:v>Trần Hoàng Nam</x:v>
      </x:c>
      <x:c r="M212" s="12" t="str">
        <x:v>Đang kiểm tra</x:v>
      </x:c>
      <x:c r="N212" s="12" t="str"/>
    </x:row>
    <x:row r="213">
      <x:c r="A213" s="12" t="str">
        <x:v>PR-CTSV-2026-212</x:v>
      </x:c>
      <x:c r="B213" s="22" t="n">
        <x:v>46145</x:v>
      </x:c>
      <x:c r="C213" s="12" t="str">
        <x:v>DT-CTSV-2026-082</x:v>
      </x:c>
      <x:c r="D213" s="12" t="str">
        <x:v>Student Leadership</x:v>
      </x:c>
      <x:c r="E213" s="12" t="str">
        <x:v>Community Support Center</x:v>
      </x:c>
      <x:c r="F213" s="12" t="str">
        <x:v>Thanh toán Student Leadership - đợt 1</x:v>
      </x:c>
      <x:c r="G213" s="16" t="n">
        <x:v>69869000</x:v>
      </x:c>
      <x:c r="H213" s="16" t="n">
        <x:f>G213*10%</x:f>
        <x:v>6986900</x:v>
      </x:c>
      <x:c r="I213" s="16" t="n">
        <x:f>G213+H213</x:f>
        <x:v>76855900</x:v>
      </x:c>
      <x:c r="J213" s="22" t="n">
        <x:v>46157</x:v>
      </x:c>
      <x:c r="K213" s="12" t="str">
        <x:v>Đã duyệt</x:v>
      </x:c>
      <x:c r="L213" s="12" t="str">
        <x:v>Vũ Khánh Linh</x:v>
      </x:c>
      <x:c r="M213" s="12" t="str">
        <x:v>Đầy đủ</x:v>
      </x:c>
      <x:c r="N213" s="12" t="str"/>
    </x:row>
    <x:row r="214">
      <x:c r="A214" s="12" t="str">
        <x:v>PR-CTSV-2026-213</x:v>
      </x:c>
      <x:c r="B214" s="22" t="n">
        <x:v>46068</x:v>
      </x:c>
      <x:c r="C214" s="12" t="str">
        <x:v>DT-CTSV-2026-103</x:v>
      </x:c>
      <x:c r="D214" s="12" t="str">
        <x:v>Student Leadership</x:v>
      </x:c>
      <x:c r="E214" s="12" t="str">
        <x:v>Viện Tâm lý Việt Nam</x:v>
      </x:c>
      <x:c r="F214" s="12" t="str">
        <x:v>Thanh toán Student Leadership - đợt 3</x:v>
      </x:c>
      <x:c r="G214" s="16" t="n">
        <x:v>104325000</x:v>
      </x:c>
      <x:c r="H214" s="16" t="n">
        <x:f>G214*10%</x:f>
        <x:v>10432500</x:v>
      </x:c>
      <x:c r="I214" s="16" t="n">
        <x:f>G214+H214</x:f>
        <x:v>114757500</x:v>
      </x:c>
      <x:c r="J214" s="22" t="n">
        <x:v>46077</x:v>
      </x:c>
      <x:c r="K214" s="12" t="str">
        <x:v>Chờ bổ sung chứng từ</x:v>
      </x:c>
      <x:c r="L214" s="12" t="str">
        <x:v>Nguyễn Minh Anh</x:v>
      </x:c>
      <x:c r="M214" s="12" t="str">
        <x:v>Thiếu biên bản nghiệm thu</x:v>
      </x:c>
      <x:c r="N214" s="12" t="str"/>
    </x:row>
    <x:row r="215">
      <x:c r="A215" s="12" t="str">
        <x:v>PR-CTSV-2026-214</x:v>
      </x:c>
      <x:c r="B215" s="22" t="n">
        <x:v>46161</x:v>
      </x:c>
      <x:c r="C215" s="12" t="str">
        <x:v>DT-CTSV-2026-052</x:v>
      </x:c>
      <x:c r="D215" s="12" t="str">
        <x:v>Student Clubs</x:v>
      </x:c>
      <x:c r="E215" s="12" t="str">
        <x:v>Career Expo JSC</x:v>
      </x:c>
      <x:c r="F215" s="12" t="str">
        <x:v>Thanh toán Student Clubs - đợt 4</x:v>
      </x:c>
      <x:c r="G215" s="16" t="n">
        <x:v>94787000</x:v>
      </x:c>
      <x:c r="H215" s="16" t="n">
        <x:f>G215*10%</x:f>
        <x:v>9478700</x:v>
      </x:c>
      <x:c r="I215" s="16" t="n">
        <x:f>G215+H215</x:f>
        <x:v>104265700</x:v>
      </x:c>
      <x:c r="J215" s="22" t="n">
        <x:v>46179</x:v>
      </x:c>
      <x:c r="K215" s="12" t="str">
        <x:v>Chờ bổ sung chứng từ</x:v>
      </x:c>
      <x:c r="L215" s="12" t="str">
        <x:v>Trần Hoàng Nam</x:v>
      </x:c>
      <x:c r="M215" s="12" t="str">
        <x:v>Thiếu hóa đơn</x:v>
      </x:c>
      <x:c r="N215" s="12" t="str"/>
    </x:row>
    <x:row r="216">
      <x:c r="A216" s="12" t="str">
        <x:v>PR-CTSV-2026-215</x:v>
      </x:c>
      <x:c r="B216" s="22" t="n">
        <x:v>46036</x:v>
      </x:c>
      <x:c r="C216" s="12" t="str">
        <x:v>DT-CTSV-2026-039</x:v>
      </x:c>
      <x:c r="D216" s="12" t="str">
        <x:v>Community Service</x:v>
      </x:c>
      <x:c r="E216" s="12" t="str">
        <x:v>Community Support Center</x:v>
      </x:c>
      <x:c r="F216" s="12" t="str">
        <x:v>Thanh toán Community Service - đợt 1</x:v>
      </x:c>
      <x:c r="G216" s="16" t="n">
        <x:v>5797000</x:v>
      </x:c>
      <x:c r="H216" s="16" t="n">
        <x:f>G216*10%</x:f>
        <x:v>579700</x:v>
      </x:c>
      <x:c r="I216" s="16" t="n">
        <x:f>G216+H216</x:f>
        <x:v>6376700</x:v>
      </x:c>
      <x:c r="J216" s="22" t="n">
        <x:v>46053</x:v>
      </x:c>
      <x:c r="K216" s="12" t="str">
        <x:v>Đã thanh toán</x:v>
      </x:c>
      <x:c r="L216" s="12" t="str">
        <x:v>Đỗ Hải Yến</x:v>
      </x:c>
      <x:c r="M216" s="12" t="str">
        <x:v>Đang kiểm tra</x:v>
      </x:c>
      <x:c r="N216" s="12" t="str"/>
    </x:row>
    <x:row r="217">
      <x:c r="A217" s="12" t="str">
        <x:v>PR-CTSV-2026-216</x:v>
      </x:c>
      <x:c r="B217" s="22" t="n">
        <x:v>46060</x:v>
      </x:c>
      <x:c r="C217" s="12" t="str">
        <x:v>DT-CTSV-2026-079</x:v>
      </x:c>
      <x:c r="D217" s="12" t="str">
        <x:v>Community Service</x:v>
      </x:c>
      <x:c r="E217" s="12" t="str">
        <x:v>IT Solutions Edu</x:v>
      </x:c>
      <x:c r="F217" s="12" t="str">
        <x:v>Thanh toán Community Service - đợt 1</x:v>
      </x:c>
      <x:c r="G217" s="16" t="n">
        <x:v>64988000</x:v>
      </x:c>
      <x:c r="H217" s="16" t="n">
        <x:f>G217*10%</x:f>
        <x:v>6498800</x:v>
      </x:c>
      <x:c r="I217" s="16" t="n">
        <x:f>G217+H217</x:f>
        <x:v>71486800</x:v>
      </x:c>
      <x:c r="J217" s="22" t="n">
        <x:v>46071</x:v>
      </x:c>
      <x:c r="K217" s="12" t="str">
        <x:v>Chờ phê duyệt</x:v>
      </x:c>
      <x:c r="L217" s="12" t="str">
        <x:v>Nguyễn Minh Anh</x:v>
      </x:c>
      <x:c r="M217" s="12" t="str">
        <x:v>Đầy đủ</x:v>
      </x:c>
      <x:c r="N217" s="12" t="str"/>
    </x:row>
    <x:row r="218">
      <x:c r="A218" s="12" t="str">
        <x:v>PR-CTSV-2026-217</x:v>
      </x:c>
      <x:c r="B218" s="22" t="n">
        <x:v>46279</x:v>
      </x:c>
      <x:c r="C218" s="12" t="str">
        <x:v>DT-CTSV-2026-060</x:v>
      </x:c>
      <x:c r="D218" s="12" t="str">
        <x:v>Student Wellbeing</x:v>
      </x:c>
      <x:c r="E218" s="12" t="str">
        <x:v>Wellbeing Clinic</x:v>
      </x:c>
      <x:c r="F218" s="12" t="str">
        <x:v>Thanh toán Student Wellbeing - đợt 1</x:v>
      </x:c>
      <x:c r="G218" s="16" t="n">
        <x:v>84999000</x:v>
      </x:c>
      <x:c r="H218" s="16" t="n">
        <x:f>G218*10%</x:f>
        <x:v>8499900</x:v>
      </x:c>
      <x:c r="I218" s="16" t="n">
        <x:f>G218+H218</x:f>
        <x:v>93498900</x:v>
      </x:c>
      <x:c r="J218" s="22" t="n">
        <x:v>46304</x:v>
      </x:c>
      <x:c r="K218" s="12" t="str">
        <x:v>Đã thanh toán</x:v>
      </x:c>
      <x:c r="L218" s="12" t="str">
        <x:v>Vũ Khánh Linh</x:v>
      </x:c>
      <x:c r="M218" s="12" t="str">
        <x:v>Thiếu hóa đơn</x:v>
      </x:c>
      <x:c r="N218" s="12" t="str"/>
    </x:row>
    <x:row r="219">
      <x:c r="A219" s="12" t="str">
        <x:v>PR-CTSV-2026-218</x:v>
      </x:c>
      <x:c r="B219" s="22" t="n">
        <x:v>46072</x:v>
      </x:c>
      <x:c r="C219" s="12" t="str">
        <x:v>DT-CTSV-2026-101</x:v>
      </x:c>
      <x:c r="D219" s="12" t="str">
        <x:v>Career Fair</x:v>
      </x:c>
      <x:c r="E219" s="12" t="str">
        <x:v>VinUni Catering</x:v>
      </x:c>
      <x:c r="F219" s="12" t="str">
        <x:v>Thanh toán Career Fair - đợt 2</x:v>
      </x:c>
      <x:c r="G219" s="16" t="n">
        <x:v>69435000</x:v>
      </x:c>
      <x:c r="H219" s="16" t="n">
        <x:f>G219*10%</x:f>
        <x:v>6943500</x:v>
      </x:c>
      <x:c r="I219" s="16" t="n">
        <x:f>G219+H219</x:f>
        <x:v>76378500</x:v>
      </x:c>
      <x:c r="J219" s="22" t="n">
        <x:v>46088</x:v>
      </x:c>
      <x:c r="K219" s="12" t="str">
        <x:v>Chờ phê duyệt</x:v>
      </x:c>
      <x:c r="L219" s="12" t="str">
        <x:v>Lê Thu Hà</x:v>
      </x:c>
      <x:c r="M219" s="12" t="str">
        <x:v>Đang kiểm tra</x:v>
      </x:c>
      <x:c r="N219" s="12" t="str"/>
    </x:row>
    <x:row r="220">
      <x:c r="A220" s="12" t="str">
        <x:v>PR-CTSV-2026-219</x:v>
      </x:c>
      <x:c r="B220" s="22" t="n">
        <x:v>46188</x:v>
      </x:c>
      <x:c r="C220" s="12" t="str">
        <x:v>DT-CTSV-2026-084</x:v>
      </x:c>
      <x:c r="D220" s="12" t="str">
        <x:v>Mental Health Program</x:v>
      </x:c>
      <x:c r="E220" s="12" t="str">
        <x:v>Career Expo JSC</x:v>
      </x:c>
      <x:c r="F220" s="12" t="str">
        <x:v>Thanh toán Mental Health Program - đợt 2</x:v>
      </x:c>
      <x:c r="G220" s="16" t="n">
        <x:v>34818000</x:v>
      </x:c>
      <x:c r="H220" s="16" t="n">
        <x:f>0</x:f>
        <x:v>0</x:v>
      </x:c>
      <x:c r="I220" s="16" t="n">
        <x:f>G220+H220</x:f>
        <x:v>34818000</x:v>
      </x:c>
      <x:c r="J220" s="22" t="n">
        <x:v>46213</x:v>
      </x:c>
      <x:c r="K220" s="12" t="str">
        <x:v>Đã thanh toán</x:v>
      </x:c>
      <x:c r="L220" s="12" t="str">
        <x:v>Trần Hoàng Nam</x:v>
      </x:c>
      <x:c r="M220" s="12" t="str">
        <x:v>Đầy đủ</x:v>
      </x:c>
      <x:c r="N220" s="12" t="str"/>
    </x:row>
    <x:row r="221">
      <x:c r="A221" s="12" t="str">
        <x:v>PR-CTSV-2026-220</x:v>
      </x:c>
      <x:c r="B221" s="22" t="n">
        <x:v>46249</x:v>
      </x:c>
      <x:c r="C221" s="12" t="str">
        <x:v>DT-CTSV-2026-043</x:v>
      </x:c>
      <x:c r="D221" s="12" t="str">
        <x:v>Student Leadership</x:v>
      </x:c>
      <x:c r="E221" s="12" t="str">
        <x:v>Student Life Partner</x:v>
      </x:c>
      <x:c r="F221" s="12" t="str">
        <x:v>Thanh toán Student Leadership - đợt 2</x:v>
      </x:c>
      <x:c r="G221" s="16" t="n">
        <x:v>39741000</x:v>
      </x:c>
      <x:c r="H221" s="16" t="n">
        <x:f>G221*10%</x:f>
        <x:v>3974100</x:v>
      </x:c>
      <x:c r="I221" s="16" t="n">
        <x:f>G221+H221</x:f>
        <x:v>43715100</x:v>
      </x:c>
      <x:c r="J221" s="22" t="n">
        <x:v>46270</x:v>
      </x:c>
      <x:c r="K221" s="12" t="str">
        <x:v>Chờ phê duyệt</x:v>
      </x:c>
      <x:c r="L221" s="12" t="str">
        <x:v>Phạm Quang Huy</x:v>
      </x:c>
      <x:c r="M221" s="12" t="str">
        <x:v>Thiếu biên bản nghiệm thu</x:v>
      </x:c>
      <x:c r="N221" s="12" t="str"/>
    </x:row>
    <x:row r="222">
      <x:c r="A222" s="12" t="str">
        <x:v>PR-CTSV-2026-221</x:v>
      </x:c>
      <x:c r="B222" s="22" t="n">
        <x:v>46059</x:v>
      </x:c>
      <x:c r="C222" s="12" t="str">
        <x:v>DT-CTSV-2026-031</x:v>
      </x:c>
      <x:c r="D222" s="12" t="str">
        <x:v>Student Clubs</x:v>
      </x:c>
      <x:c r="E222" s="12" t="str">
        <x:v>Wellbeing Clinic</x:v>
      </x:c>
      <x:c r="F222" s="12" t="str">
        <x:v>Thanh toán Student Clubs - đợt 1</x:v>
      </x:c>
      <x:c r="G222" s="16" t="n">
        <x:v>97488000</x:v>
      </x:c>
      <x:c r="H222" s="16" t="n">
        <x:f>G222*10%</x:f>
        <x:v>9748800</x:v>
      </x:c>
      <x:c r="I222" s="16" t="n">
        <x:f>G222+H222</x:f>
        <x:v>107236800</x:v>
      </x:c>
      <x:c r="J222" s="22" t="n">
        <x:v>46072</x:v>
      </x:c>
      <x:c r="K222" s="12" t="str">
        <x:v>Chờ phê duyệt</x:v>
      </x:c>
      <x:c r="L222" s="12" t="str">
        <x:v>Trần Hoàng Nam</x:v>
      </x:c>
      <x:c r="M222" s="12" t="str">
        <x:v>Đầy đủ</x:v>
      </x:c>
      <x:c r="N222" s="12" t="str"/>
    </x:row>
    <x:row r="223">
      <x:c r="A223" s="12" t="str">
        <x:v>PR-CTSV-2026-222</x:v>
      </x:c>
      <x:c r="B223" s="22" t="n">
        <x:v>46186</x:v>
      </x:c>
      <x:c r="C223" s="12" t="str">
        <x:v>DT-CTSV-2026-064</x:v>
      </x:c>
      <x:c r="D223" s="12" t="str">
        <x:v>Orientation Week</x:v>
      </x:c>
      <x:c r="E223" s="12" t="str">
        <x:v>Viện Tâm lý Việt Nam</x:v>
      </x:c>
      <x:c r="F223" s="12" t="str">
        <x:v>Thanh toán Orientation Week - đợt 2</x:v>
      </x:c>
      <x:c r="G223" s="16" t="n">
        <x:v>63074000</x:v>
      </x:c>
      <x:c r="H223" s="16" t="n">
        <x:f>G223*10%</x:f>
        <x:v>6307400</x:v>
      </x:c>
      <x:c r="I223" s="16" t="n">
        <x:f>G223+H223</x:f>
        <x:v>69381400</x:v>
      </x:c>
      <x:c r="J223" s="22" t="n">
        <x:v>46193</x:v>
      </x:c>
      <x:c r="K223" s="12" t="str">
        <x:v>Chờ bổ sung chứng từ</x:v>
      </x:c>
      <x:c r="L223" s="12" t="str">
        <x:v>Phạm Quang Huy</x:v>
      </x:c>
      <x:c r="M223" s="12" t="str">
        <x:v>Thiếu hóa đơn</x:v>
      </x:c>
      <x:c r="N223" s="12" t="str"/>
    </x:row>
    <x:row r="224">
      <x:c r="A224" s="12" t="str">
        <x:v>PR-CTSV-2026-223</x:v>
      </x:c>
      <x:c r="B224" s="22" t="n">
        <x:v>46238</x:v>
      </x:c>
      <x:c r="C224" s="12" t="str">
        <x:v>DT-CTSV-2026-025</x:v>
      </x:c>
      <x:c r="D224" s="12" t="str">
        <x:v>Career Fair</x:v>
      </x:c>
      <x:c r="E224" s="12" t="str">
        <x:v>EventPlus Vietnam</x:v>
      </x:c>
      <x:c r="F224" s="12" t="str">
        <x:v>Thanh toán Career Fair - đợt 1</x:v>
      </x:c>
      <x:c r="G224" s="16" t="n">
        <x:v>97055000</x:v>
      </x:c>
      <x:c r="H224" s="16" t="n">
        <x:f>G224*10%</x:f>
        <x:v>9705500</x:v>
      </x:c>
      <x:c r="I224" s="16" t="n">
        <x:f>G224+H224</x:f>
        <x:v>106760500</x:v>
      </x:c>
      <x:c r="J224" s="22" t="n">
        <x:v>46252</x:v>
      </x:c>
      <x:c r="K224" s="12" t="str">
        <x:v>Đã duyệt</x:v>
      </x:c>
      <x:c r="L224" s="12" t="str">
        <x:v>Trần Hoàng Nam</x:v>
      </x:c>
      <x:c r="M224" s="12" t="str">
        <x:v>Đang kiểm tra</x:v>
      </x:c>
      <x:c r="N224" s="12" t="str"/>
    </x:row>
    <x:row r="225">
      <x:c r="A225" s="12" t="str">
        <x:v>PR-CTSV-2026-224</x:v>
      </x:c>
      <x:c r="B225" s="22" t="n">
        <x:v>46347</x:v>
      </x:c>
      <x:c r="C225" s="12" t="str">
        <x:v>DT-CTSV-2026-096</x:v>
      </x:c>
      <x:c r="D225" s="12" t="str">
        <x:v>Student Leadership</x:v>
      </x:c>
      <x:c r="E225" s="12" t="str">
        <x:v>Learning Hub</x:v>
      </x:c>
      <x:c r="F225" s="12" t="str">
        <x:v>Thanh toán Student Leadership - đợt 3</x:v>
      </x:c>
      <x:c r="G225" s="16" t="n">
        <x:v>112696000</x:v>
      </x:c>
      <x:c r="H225" s="16" t="n">
        <x:f>G225*10%</x:f>
        <x:v>11269600</x:v>
      </x:c>
      <x:c r="I225" s="16" t="n">
        <x:f>G225+H225</x:f>
        <x:v>123965600</x:v>
      </x:c>
      <x:c r="J225" s="22" t="n">
        <x:v>46356</x:v>
      </x:c>
      <x:c r="K225" s="12" t="str">
        <x:v>Đã thanh toán</x:v>
      </x:c>
      <x:c r="L225" s="12" t="str">
        <x:v>Nguyễn Minh Anh</x:v>
      </x:c>
      <x:c r="M225" s="12" t="str">
        <x:v>Thiếu hóa đơn</x:v>
      </x:c>
      <x:c r="N225" s="12" t="str"/>
    </x:row>
    <x:row r="226">
      <x:c r="A226" s="12" t="str">
        <x:v>PR-CTSV-2026-225</x:v>
      </x:c>
      <x:c r="B226" s="22" t="n">
        <x:v>46084</x:v>
      </x:c>
      <x:c r="C226" s="12" t="str">
        <x:v>DT-CTSV-2026-114</x:v>
      </x:c>
      <x:c r="D226" s="12" t="str">
        <x:v>Mental Health Program</x:v>
      </x:c>
      <x:c r="E226" s="12" t="str">
        <x:v>Student Life Partner</x:v>
      </x:c>
      <x:c r="F226" s="12" t="str">
        <x:v>Thanh toán Mental Health Program - đợt 1</x:v>
      </x:c>
      <x:c r="G226" s="16" t="n">
        <x:v>108894000</x:v>
      </x:c>
      <x:c r="H226" s="16" t="n">
        <x:f>G226*10%</x:f>
        <x:v>10889400</x:v>
      </x:c>
      <x:c r="I226" s="16" t="n">
        <x:f>G226+H226</x:f>
        <x:v>119783400</x:v>
      </x:c>
      <x:c r="J226" s="22" t="n">
        <x:v>46092</x:v>
      </x:c>
      <x:c r="K226" s="12" t="str">
        <x:v>Chờ bổ sung chứng từ</x:v>
      </x:c>
      <x:c r="L226" s="12" t="str">
        <x:v>Nguyễn Minh Anh</x:v>
      </x:c>
      <x:c r="M226" s="12" t="str">
        <x:v>Thiếu hóa đơn</x:v>
      </x:c>
      <x:c r="N226" s="12" t="str"/>
    </x:row>
    <x:row r="227">
      <x:c r="A227" s="12" t="str">
        <x:v>PR-CTSV-2026-226</x:v>
      </x:c>
      <x:c r="B227" s="22" t="n">
        <x:v>46227</x:v>
      </x:c>
      <x:c r="C227" s="12" t="str">
        <x:v>DT-CTSV-2026-147</x:v>
      </x:c>
      <x:c r="D227" s="12" t="str">
        <x:v>Student Wellbeing</x:v>
      </x:c>
      <x:c r="E227" s="12" t="str">
        <x:v>Community Support Center</x:v>
      </x:c>
      <x:c r="F227" s="12" t="str">
        <x:v>Thanh toán Student Wellbeing - đợt 4</x:v>
      </x:c>
      <x:c r="G227" s="16" t="n">
        <x:v>49214000</x:v>
      </x:c>
      <x:c r="H227" s="16" t="n">
        <x:f>0</x:f>
        <x:v>0</x:v>
      </x:c>
      <x:c r="I227" s="16" t="n">
        <x:f>G227+H227</x:f>
        <x:v>49214000</x:v>
      </x:c>
      <x:c r="J227" s="22" t="n">
        <x:v>46239</x:v>
      </x:c>
      <x:c r="K227" s="12" t="str">
        <x:v>Chờ phê duyệt</x:v>
      </x:c>
      <x:c r="L227" s="12" t="str">
        <x:v>Trần Hoàng Nam</x:v>
      </x:c>
      <x:c r="M227" s="12" t="str">
        <x:v>Thiếu hóa đơn</x:v>
      </x:c>
      <x:c r="N227" s="12" t="str"/>
    </x:row>
    <x:row r="228">
      <x:c r="A228" s="12" t="str">
        <x:v>PR-CTSV-2026-227</x:v>
      </x:c>
      <x:c r="B228" s="22" t="n">
        <x:v>46157</x:v>
      </x:c>
      <x:c r="C228" s="12" t="str">
        <x:v>DT-CTSV-2026-071</x:v>
      </x:c>
      <x:c r="D228" s="12" t="str">
        <x:v>Mental Health Program</x:v>
      </x:c>
      <x:c r="E228" s="12" t="str">
        <x:v>Learning Hub</x:v>
      </x:c>
      <x:c r="F228" s="12" t="str">
        <x:v>Thanh toán Mental Health Program - đợt 2</x:v>
      </x:c>
      <x:c r="G228" s="16" t="n">
        <x:v>106360000</x:v>
      </x:c>
      <x:c r="H228" s="16" t="n">
        <x:f>0</x:f>
        <x:v>0</x:v>
      </x:c>
      <x:c r="I228" s="16" t="n">
        <x:f>G228+H228</x:f>
        <x:v>106360000</x:v>
      </x:c>
      <x:c r="J228" s="22" t="n">
        <x:v>46184</x:v>
      </x:c>
      <x:c r="K228" s="12" t="str">
        <x:v>Chờ phê duyệt</x:v>
      </x:c>
      <x:c r="L228" s="12" t="str">
        <x:v>Phạm Quang Huy</x:v>
      </x:c>
      <x:c r="M228" s="12" t="str">
        <x:v>Đang kiểm tra</x:v>
      </x:c>
      <x:c r="N228" s="12" t="str"/>
    </x:row>
    <x:row r="229">
      <x:c r="A229" s="12" t="str">
        <x:v>PR-CTSV-2026-228</x:v>
      </x:c>
      <x:c r="B229" s="22" t="n">
        <x:v>46236</x:v>
      </x:c>
      <x:c r="C229" s="12" t="str">
        <x:v>DT-CTSV-2026-141</x:v>
      </x:c>
      <x:c r="D229" s="12" t="str">
        <x:v>International Exchange</x:v>
      </x:c>
      <x:c r="E229" s="12" t="str">
        <x:v>PrintPro</x:v>
      </x:c>
      <x:c r="F229" s="12" t="str">
        <x:v>Thanh toán International Exchange - đợt 2</x:v>
      </x:c>
      <x:c r="G229" s="16" t="n">
        <x:v>13263000</x:v>
      </x:c>
      <x:c r="H229" s="16" t="n">
        <x:f>G229*10%</x:f>
        <x:v>1326300</x:v>
      </x:c>
      <x:c r="I229" s="16" t="n">
        <x:f>G229+H229</x:f>
        <x:v>14589300</x:v>
      </x:c>
      <x:c r="J229" s="22" t="n">
        <x:v>46263</x:v>
      </x:c>
      <x:c r="K229" s="12" t="str">
        <x:v>Đã duyệt</x:v>
      </x:c>
      <x:c r="L229" s="12" t="str">
        <x:v>Đỗ Hải Yến</x:v>
      </x:c>
      <x:c r="M229" s="12" t="str">
        <x:v>Đầy đủ</x:v>
      </x:c>
      <x:c r="N229" s="12" t="str"/>
    </x:row>
    <x:row r="230">
      <x:c r="A230" s="12" t="str">
        <x:v>PR-CTSV-2026-229</x:v>
      </x:c>
      <x:c r="B230" s="22" t="n">
        <x:v>46368</x:v>
      </x:c>
      <x:c r="C230" s="12" t="str">
        <x:v>DT-CTSV-2026-098</x:v>
      </x:c>
      <x:c r="D230" s="12" t="str">
        <x:v>Student Clubs</x:v>
      </x:c>
      <x:c r="E230" s="12" t="str">
        <x:v>Student Life Partner</x:v>
      </x:c>
      <x:c r="F230" s="12" t="str">
        <x:v>Thanh toán Student Clubs - đợt 3</x:v>
      </x:c>
      <x:c r="G230" s="16" t="n">
        <x:v>59123000</x:v>
      </x:c>
      <x:c r="H230" s="16" t="n">
        <x:f>G230*10%</x:f>
        <x:v>5912300</x:v>
      </x:c>
      <x:c r="I230" s="16" t="n">
        <x:f>G230+H230</x:f>
        <x:v>65035300</x:v>
      </x:c>
      <x:c r="J230" s="22" t="n">
        <x:v>46387</x:v>
      </x:c>
      <x:c r="K230" s="12" t="str">
        <x:v>Chờ phê duyệt</x:v>
      </x:c>
      <x:c r="L230" s="12" t="str">
        <x:v>Trần Hoàng Nam</x:v>
      </x:c>
      <x:c r="M230" s="12" t="str">
        <x:v>Đầy đủ</x:v>
      </x:c>
      <x:c r="N230" s="12" t="str"/>
    </x:row>
    <x:row r="231">
      <x:c r="A231" s="12" t="str">
        <x:v>PR-CTSV-2026-230</x:v>
      </x:c>
      <x:c r="B231" s="22" t="n">
        <x:v>46303</x:v>
      </x:c>
      <x:c r="C231" s="12" t="str">
        <x:v>DT-CTSV-2026-082</x:v>
      </x:c>
      <x:c r="D231" s="12" t="str">
        <x:v>Student Leadership</x:v>
      </x:c>
      <x:c r="E231" s="12" t="str">
        <x:v>Viện Tâm lý Việt Nam</x:v>
      </x:c>
      <x:c r="F231" s="12" t="str">
        <x:v>Thanh toán Student Leadership - đợt 1</x:v>
      </x:c>
      <x:c r="G231" s="16" t="n">
        <x:v>6428000</x:v>
      </x:c>
      <x:c r="H231" s="16" t="n">
        <x:f>G231*10%</x:f>
        <x:v>642800</x:v>
      </x:c>
      <x:c r="I231" s="16" t="n">
        <x:f>G231+H231</x:f>
        <x:v>7070800</x:v>
      </x:c>
      <x:c r="J231" s="22" t="n">
        <x:v>46325</x:v>
      </x:c>
      <x:c r="K231" s="12" t="str">
        <x:v>Chờ phê duyệt</x:v>
      </x:c>
      <x:c r="L231" s="12" t="str">
        <x:v>Vũ Khánh Linh</x:v>
      </x:c>
      <x:c r="M231" s="12" t="str">
        <x:v>Thiếu hóa đơn</x:v>
      </x:c>
      <x:c r="N231" s="12" t="str"/>
    </x:row>
    <x:row r="232">
      <x:c r="A232" s="12" t="str">
        <x:v>PR-CTSV-2026-231</x:v>
      </x:c>
      <x:c r="B232" s="22" t="n">
        <x:v>46061</x:v>
      </x:c>
      <x:c r="C232" s="12" t="str">
        <x:v>DT-CTSV-2026-041</x:v>
      </x:c>
      <x:c r="D232" s="12" t="str">
        <x:v>Community Service</x:v>
      </x:c>
      <x:c r="E232" s="12" t="str">
        <x:v>Wellbeing Clinic</x:v>
      </x:c>
      <x:c r="F232" s="12" t="str">
        <x:v>Thanh toán Community Service - đợt 1</x:v>
      </x:c>
      <x:c r="G232" s="16" t="n">
        <x:v>79853000</x:v>
      </x:c>
      <x:c r="H232" s="16" t="n">
        <x:f>G232*10%</x:f>
        <x:v>7985300</x:v>
      </x:c>
      <x:c r="I232" s="16" t="n">
        <x:f>G232+H232</x:f>
        <x:v>87838300</x:v>
      </x:c>
      <x:c r="J232" s="22" t="n">
        <x:v>46075</x:v>
      </x:c>
      <x:c r="K232" s="12" t="str">
        <x:v>Chờ bổ sung chứng từ</x:v>
      </x:c>
      <x:c r="L232" s="12" t="str">
        <x:v>Lê Thu Hà</x:v>
      </x:c>
      <x:c r="M232" s="12" t="str">
        <x:v>Thiếu hóa đơn</x:v>
      </x:c>
      <x:c r="N232" s="12" t="str"/>
    </x:row>
    <x:row r="233">
      <x:c r="A233" s="12" t="str">
        <x:v>PR-CTSV-2026-232</x:v>
      </x:c>
      <x:c r="B233" s="22" t="n">
        <x:v>46131</x:v>
      </x:c>
      <x:c r="C233" s="12" t="str">
        <x:v>DT-CTSV-2026-046</x:v>
      </x:c>
      <x:c r="D233" s="12" t="str">
        <x:v>Orientation Week</x:v>
      </x:c>
      <x:c r="E233" s="12" t="str">
        <x:v>Student Life Partner</x:v>
      </x:c>
      <x:c r="F233" s="12" t="str">
        <x:v>Thanh toán Orientation Week - đợt 1</x:v>
      </x:c>
      <x:c r="G233" s="16" t="n">
        <x:v>40206000</x:v>
      </x:c>
      <x:c r="H233" s="16" t="n">
        <x:f>G233*10%</x:f>
        <x:v>4020600</x:v>
      </x:c>
      <x:c r="I233" s="16" t="n">
        <x:f>G233+H233</x:f>
        <x:v>44226600</x:v>
      </x:c>
      <x:c r="J233" s="22" t="n">
        <x:v>46160</x:v>
      </x:c>
      <x:c r="K233" s="12" t="str">
        <x:v>Chờ phê duyệt</x:v>
      </x:c>
      <x:c r="L233" s="12" t="str">
        <x:v>Vũ Khánh Linh</x:v>
      </x:c>
      <x:c r="M233" s="12" t="str">
        <x:v>Thiếu hóa đơn</x:v>
      </x:c>
      <x:c r="N233" s="12" t="str"/>
    </x:row>
    <x:row r="234">
      <x:c r="A234" s="12" t="str">
        <x:v>PR-CTSV-2026-233</x:v>
      </x:c>
      <x:c r="B234" s="22" t="n">
        <x:v>46128</x:v>
      </x:c>
      <x:c r="C234" s="12" t="str">
        <x:v>DT-CTSV-2026-145</x:v>
      </x:c>
      <x:c r="D234" s="12" t="str">
        <x:v>Scholarship Program</x:v>
      </x:c>
      <x:c r="E234" s="12" t="str">
        <x:v>VinUni Catering</x:v>
      </x:c>
      <x:c r="F234" s="12" t="str">
        <x:v>Thanh toán Scholarship Program - đợt 4</x:v>
      </x:c>
      <x:c r="G234" s="16" t="n">
        <x:v>66428000</x:v>
      </x:c>
      <x:c r="H234" s="16" t="n">
        <x:f>0</x:f>
        <x:v>0</x:v>
      </x:c>
      <x:c r="I234" s="16" t="n">
        <x:f>G234+H234</x:f>
        <x:v>66428000</x:v>
      </x:c>
      <x:c r="J234" s="22" t="n">
        <x:v>46136</x:v>
      </x:c>
      <x:c r="K234" s="12" t="str">
        <x:v>Đã thanh toán</x:v>
      </x:c>
      <x:c r="L234" s="12" t="str">
        <x:v>Nguyễn Minh Anh</x:v>
      </x:c>
      <x:c r="M234" s="12" t="str">
        <x:v>Thiếu hóa đơn</x:v>
      </x:c>
      <x:c r="N234" s="12" t="str"/>
    </x:row>
    <x:row r="235">
      <x:c r="A235" s="12" t="str">
        <x:v>PR-CTSV-2026-234</x:v>
      </x:c>
      <x:c r="B235" s="22" t="n">
        <x:v>46039</x:v>
      </x:c>
      <x:c r="C235" s="12" t="str">
        <x:v>DT-CTSV-2026-057</x:v>
      </x:c>
      <x:c r="D235" s="12" t="str">
        <x:v>Scholarship Program</x:v>
      </x:c>
      <x:c r="E235" s="12" t="str">
        <x:v>Student Life Partner</x:v>
      </x:c>
      <x:c r="F235" s="12" t="str">
        <x:v>Thanh toán Scholarship Program - đợt 2</x:v>
      </x:c>
      <x:c r="G235" s="16" t="n">
        <x:v>58924000</x:v>
      </x:c>
      <x:c r="H235" s="16" t="n">
        <x:f>0</x:f>
        <x:v>0</x:v>
      </x:c>
      <x:c r="I235" s="16" t="n">
        <x:f>G235+H235</x:f>
        <x:v>58924000</x:v>
      </x:c>
      <x:c r="J235" s="22" t="n">
        <x:v>46050</x:v>
      </x:c>
      <x:c r="K235" s="12" t="str">
        <x:v>Chờ phê duyệt</x:v>
      </x:c>
      <x:c r="L235" s="12" t="str">
        <x:v>Đỗ Hải Yến</x:v>
      </x:c>
      <x:c r="M235" s="12" t="str">
        <x:v>Thiếu hóa đơn</x:v>
      </x:c>
      <x:c r="N235" s="12" t="str"/>
    </x:row>
    <x:row r="236">
      <x:c r="A236" s="12" t="str">
        <x:v>PR-CTSV-2026-235</x:v>
      </x:c>
      <x:c r="B236" s="22" t="n">
        <x:v>46023</x:v>
      </x:c>
      <x:c r="C236" s="12" t="str">
        <x:v>DT-CTSV-2026-083</x:v>
      </x:c>
      <x:c r="D236" s="12" t="str">
        <x:v>Graduation Ceremony</x:v>
      </x:c>
      <x:c r="E236" s="12" t="str">
        <x:v>VinUni Catering</x:v>
      </x:c>
      <x:c r="F236" s="12" t="str">
        <x:v>Thanh toán Graduation Ceremony - đợt 1</x:v>
      </x:c>
      <x:c r="G236" s="16" t="n">
        <x:v>20282000</x:v>
      </x:c>
      <x:c r="H236" s="16" t="n">
        <x:f>G236*10%</x:f>
        <x:v>2028200</x:v>
      </x:c>
      <x:c r="I236" s="16" t="n">
        <x:f>G236+H236</x:f>
        <x:v>22310200</x:v>
      </x:c>
      <x:c r="J236" s="22" t="n">
        <x:v>46046</x:v>
      </x:c>
      <x:c r="K236" s="12" t="str">
        <x:v>Chờ phê duyệt</x:v>
      </x:c>
      <x:c r="L236" s="12" t="str">
        <x:v>Nguyễn Minh Anh</x:v>
      </x:c>
      <x:c r="M236" s="12" t="str">
        <x:v>Thiếu biên bản nghiệm thu</x:v>
      </x:c>
      <x:c r="N236" s="12" t="str"/>
    </x:row>
    <x:row r="237">
      <x:c r="A237" s="12" t="str">
        <x:v>PR-CTSV-2026-236</x:v>
      </x:c>
      <x:c r="B237" s="22" t="n">
        <x:v>46299</x:v>
      </x:c>
      <x:c r="C237" s="12" t="str">
        <x:v>DT-CTSV-2026-102</x:v>
      </x:c>
      <x:c r="D237" s="12" t="str">
        <x:v>Student Wellbeing</x:v>
      </x:c>
      <x:c r="E237" s="12" t="str">
        <x:v>VinUni Catering</x:v>
      </x:c>
      <x:c r="F237" s="12" t="str">
        <x:v>Thanh toán Student Wellbeing - đợt 4</x:v>
      </x:c>
      <x:c r="G237" s="16" t="n">
        <x:v>42377000</x:v>
      </x:c>
      <x:c r="H237" s="16" t="n">
        <x:f>G237*10%</x:f>
        <x:v>4237700</x:v>
      </x:c>
      <x:c r="I237" s="16" t="n">
        <x:f>G237+H237</x:f>
        <x:v>46614700</x:v>
      </x:c>
      <x:c r="J237" s="22" t="n">
        <x:v>46326</x:v>
      </x:c>
      <x:c r="K237" s="12" t="str">
        <x:v>Chờ bổ sung chứng từ</x:v>
      </x:c>
      <x:c r="L237" s="12" t="str">
        <x:v>Đỗ Hải Yến</x:v>
      </x:c>
      <x:c r="M237" s="12" t="str">
        <x:v>Thiếu biên bản nghiệm thu</x:v>
      </x:c>
      <x:c r="N237" s="12" t="str"/>
    </x:row>
    <x:row r="238">
      <x:c r="A238" s="12" t="str">
        <x:v>PR-CTSV-2026-237</x:v>
      </x:c>
      <x:c r="B238" s="22" t="n">
        <x:v>46374</x:v>
      </x:c>
      <x:c r="C238" s="12" t="str">
        <x:v>DT-CTSV-2026-045</x:v>
      </x:c>
      <x:c r="D238" s="12" t="str">
        <x:v>Career Fair</x:v>
      </x:c>
      <x:c r="E238" s="12" t="str">
        <x:v>Student Life Partner</x:v>
      </x:c>
      <x:c r="F238" s="12" t="str">
        <x:v>Thanh toán Career Fair - đợt 2</x:v>
      </x:c>
      <x:c r="G238" s="16" t="n">
        <x:v>84146000</x:v>
      </x:c>
      <x:c r="H238" s="16" t="n">
        <x:f>G238*10%</x:f>
        <x:v>8414600</x:v>
      </x:c>
      <x:c r="I238" s="16" t="n">
        <x:f>G238+H238</x:f>
        <x:v>92560600</x:v>
      </x:c>
      <x:c r="J238" s="22" t="n">
        <x:v>46402</x:v>
      </x:c>
      <x:c r="K238" s="12" t="str">
        <x:v>Đã duyệt</x:v>
      </x:c>
      <x:c r="L238" s="12" t="str">
        <x:v>Phạm Quang Huy</x:v>
      </x:c>
      <x:c r="M238" s="12" t="str">
        <x:v>Thiếu biên bản nghiệm thu</x:v>
      </x:c>
      <x:c r="N238" s="12" t="str"/>
    </x:row>
    <x:row r="239">
      <x:c r="A239" s="12" t="str">
        <x:v>PR-CTSV-2026-238</x:v>
      </x:c>
      <x:c r="B239" s="22" t="n">
        <x:v>46087</x:v>
      </x:c>
      <x:c r="C239" s="12" t="str">
        <x:v>DT-CTSV-2026-076</x:v>
      </x:c>
      <x:c r="D239" s="12" t="str">
        <x:v>Student Wellbeing</x:v>
      </x:c>
      <x:c r="E239" s="12" t="str">
        <x:v>Learning Hub</x:v>
      </x:c>
      <x:c r="F239" s="12" t="str">
        <x:v>Thanh toán Student Wellbeing - đợt 4</x:v>
      </x:c>
      <x:c r="G239" s="16" t="n">
        <x:v>88273000</x:v>
      </x:c>
      <x:c r="H239" s="16" t="n">
        <x:f>G239*10%</x:f>
        <x:v>8827300</x:v>
      </x:c>
      <x:c r="I239" s="16" t="n">
        <x:f>G239+H239</x:f>
        <x:v>97100300</x:v>
      </x:c>
      <x:c r="J239" s="22" t="n">
        <x:v>46112</x:v>
      </x:c>
      <x:c r="K239" s="12" t="str">
        <x:v>Đã thanh toán</x:v>
      </x:c>
      <x:c r="L239" s="12" t="str">
        <x:v>Trần Hoàng Nam</x:v>
      </x:c>
      <x:c r="M239" s="12" t="str">
        <x:v>Thiếu biên bản nghiệm thu</x:v>
      </x:c>
      <x:c r="N239" s="12" t="str"/>
    </x:row>
    <x:row r="240">
      <x:c r="A240" s="12" t="str">
        <x:v>PR-CTSV-2026-239</x:v>
      </x:c>
      <x:c r="B240" s="22" t="n">
        <x:v>46345</x:v>
      </x:c>
      <x:c r="C240" s="12" t="str">
        <x:v>DT-CTSV-2026-057</x:v>
      </x:c>
      <x:c r="D240" s="12" t="str">
        <x:v>Scholarship Program</x:v>
      </x:c>
      <x:c r="E240" s="12" t="str">
        <x:v>IT Solutions Edu</x:v>
      </x:c>
      <x:c r="F240" s="12" t="str">
        <x:v>Thanh toán Scholarship Program - đợt 2</x:v>
      </x:c>
      <x:c r="G240" s="16" t="n">
        <x:v>15180000</x:v>
      </x:c>
      <x:c r="H240" s="16" t="n">
        <x:f>0</x:f>
        <x:v>0</x:v>
      </x:c>
      <x:c r="I240" s="16" t="n">
        <x:f>G240+H240</x:f>
        <x:v>15180000</x:v>
      </x:c>
      <x:c r="J240" s="22" t="n">
        <x:v>46362</x:v>
      </x:c>
      <x:c r="K240" s="12" t="str">
        <x:v>Đã thanh toán</x:v>
      </x:c>
      <x:c r="L240" s="12" t="str">
        <x:v>Trần Hoàng Nam</x:v>
      </x:c>
      <x:c r="M240" s="12" t="str">
        <x:v>Thiếu biên bản nghiệm thu</x:v>
      </x:c>
      <x:c r="N240" s="12" t="str"/>
    </x:row>
    <x:row r="241">
      <x:c r="A241" s="12" t="str">
        <x:v>PR-CTSV-2026-240</x:v>
      </x:c>
      <x:c r="B241" s="22" t="n">
        <x:v>46102</x:v>
      </x:c>
      <x:c r="C241" s="12" t="str">
        <x:v>DT-CTSV-2026-082</x:v>
      </x:c>
      <x:c r="D241" s="12" t="str">
        <x:v>Student Leadership</x:v>
      </x:c>
      <x:c r="E241" s="12" t="str">
        <x:v>Wellbeing Clinic</x:v>
      </x:c>
      <x:c r="F241" s="12" t="str">
        <x:v>Thanh toán Student Leadership - đợt 3</x:v>
      </x:c>
      <x:c r="G241" s="16" t="n">
        <x:v>106582000</x:v>
      </x:c>
      <x:c r="H241" s="16" t="n">
        <x:f>G241*10%</x:f>
        <x:v>10658200</x:v>
      </x:c>
      <x:c r="I241" s="16" t="n">
        <x:f>G241+H241</x:f>
        <x:v>117240200</x:v>
      </x:c>
      <x:c r="J241" s="22" t="n">
        <x:v>46123</x:v>
      </x:c>
      <x:c r="K241" s="12" t="str">
        <x:v>Đã thanh toán</x:v>
      </x:c>
      <x:c r="L241" s="12" t="str">
        <x:v>Lê Thu Hà</x:v>
      </x:c>
      <x:c r="M241" s="12" t="str">
        <x:v>Thiếu hóa đơn</x:v>
      </x:c>
      <x:c r="N241" s="12" t="str"/>
    </x:row>
    <x:row r="242">
      <x:c r="A242" s="12" t="str">
        <x:v>PR-CTSV-2026-241</x:v>
      </x:c>
      <x:c r="B242" s="22" t="n">
        <x:v>46359</x:v>
      </x:c>
      <x:c r="C242" s="12" t="str">
        <x:v>DT-CTSV-2026-064</x:v>
      </x:c>
      <x:c r="D242" s="12" t="str">
        <x:v>Orientation Week</x:v>
      </x:c>
      <x:c r="E242" s="12" t="str">
        <x:v>Wellbeing Clinic</x:v>
      </x:c>
      <x:c r="F242" s="12" t="str">
        <x:v>Thanh toán Orientation Week - đợt 1</x:v>
      </x:c>
      <x:c r="G242" s="16" t="n">
        <x:v>44006000</x:v>
      </x:c>
      <x:c r="H242" s="16" t="n">
        <x:f>G242*10%</x:f>
        <x:v>4400600</x:v>
      </x:c>
      <x:c r="I242" s="16" t="n">
        <x:f>G242+H242</x:f>
        <x:v>48406600</x:v>
      </x:c>
      <x:c r="J242" s="22" t="n">
        <x:v>46367</x:v>
      </x:c>
      <x:c r="K242" s="12" t="str">
        <x:v>Chờ bổ sung chứng từ</x:v>
      </x:c>
      <x:c r="L242" s="12" t="str">
        <x:v>Phạm Quang Huy</x:v>
      </x:c>
      <x:c r="M242" s="12" t="str">
        <x:v>Đang kiểm tra</x:v>
      </x:c>
      <x:c r="N242" s="12" t="str"/>
    </x:row>
    <x:row r="243">
      <x:c r="A243" s="12" t="str">
        <x:v>PR-CTSV-2026-242</x:v>
      </x:c>
      <x:c r="B243" s="22" t="n">
        <x:v>46219</x:v>
      </x:c>
      <x:c r="C243" s="12" t="str">
        <x:v>DT-CTSV-2026-043</x:v>
      </x:c>
      <x:c r="D243" s="12" t="str">
        <x:v>Student Leadership</x:v>
      </x:c>
      <x:c r="E243" s="12" t="str">
        <x:v>PrintPro</x:v>
      </x:c>
      <x:c r="F243" s="12" t="str">
        <x:v>Thanh toán Student Leadership - đợt 1</x:v>
      </x:c>
      <x:c r="G243" s="16" t="n">
        <x:v>106167000</x:v>
      </x:c>
      <x:c r="H243" s="16" t="n">
        <x:f>G243*10%</x:f>
        <x:v>10616700</x:v>
      </x:c>
      <x:c r="I243" s="16" t="n">
        <x:f>G243+H243</x:f>
        <x:v>116783700</x:v>
      </x:c>
      <x:c r="J243" s="22" t="n">
        <x:v>46241</x:v>
      </x:c>
      <x:c r="K243" s="12" t="str">
        <x:v>Đã duyệt</x:v>
      </x:c>
      <x:c r="L243" s="12" t="str">
        <x:v>Trần Hoàng Nam</x:v>
      </x:c>
      <x:c r="M243" s="12" t="str">
        <x:v>Đang kiểm tra</x:v>
      </x:c>
      <x:c r="N243" s="12" t="str"/>
    </x:row>
    <x:row r="244">
      <x:c r="A244" s="12" t="str">
        <x:v>PR-CTSV-2026-243</x:v>
      </x:c>
      <x:c r="B244" s="22" t="n">
        <x:v>46032</x:v>
      </x:c>
      <x:c r="C244" s="12" t="str">
        <x:v>DT-CTSV-2026-019</x:v>
      </x:c>
      <x:c r="D244" s="12" t="str">
        <x:v>Community Service</x:v>
      </x:c>
      <x:c r="E244" s="12" t="str">
        <x:v>Công ty Đồng phục ABC</x:v>
      </x:c>
      <x:c r="F244" s="12" t="str">
        <x:v>Thanh toán Community Service - đợt 1</x:v>
      </x:c>
      <x:c r="G244" s="16" t="n">
        <x:v>5349000</x:v>
      </x:c>
      <x:c r="H244" s="16" t="n">
        <x:f>G244*10%</x:f>
        <x:v>534900</x:v>
      </x:c>
      <x:c r="I244" s="16" t="n">
        <x:f>G244+H244</x:f>
        <x:v>5883900</x:v>
      </x:c>
      <x:c r="J244" s="22" t="n">
        <x:v>46049</x:v>
      </x:c>
      <x:c r="K244" s="12" t="str">
        <x:v>Đã duyệt</x:v>
      </x:c>
      <x:c r="L244" s="12" t="str">
        <x:v>Phạm Quang Huy</x:v>
      </x:c>
      <x:c r="M244" s="12" t="str">
        <x:v>Thiếu hóa đơn</x:v>
      </x:c>
      <x:c r="N244" s="12" t="str"/>
    </x:row>
    <x:row r="245">
      <x:c r="A245" s="12" t="str">
        <x:v>PR-CTSV-2026-244</x:v>
      </x:c>
      <x:c r="B245" s="22" t="n">
        <x:v>46268</x:v>
      </x:c>
      <x:c r="C245" s="12" t="str">
        <x:v>DT-CTSV-2026-020</x:v>
      </x:c>
      <x:c r="D245" s="12" t="str">
        <x:v>Mental Health Program</x:v>
      </x:c>
      <x:c r="E245" s="12" t="str">
        <x:v>IT Solutions Edu</x:v>
      </x:c>
      <x:c r="F245" s="12" t="str">
        <x:v>Thanh toán Mental Health Program - đợt 1</x:v>
      </x:c>
      <x:c r="G245" s="16" t="n">
        <x:v>42540000</x:v>
      </x:c>
      <x:c r="H245" s="16" t="n">
        <x:f>G245*10%</x:f>
        <x:v>4254000</x:v>
      </x:c>
      <x:c r="I245" s="16" t="n">
        <x:f>G245+H245</x:f>
        <x:v>46794000</x:v>
      </x:c>
      <x:c r="J245" s="22" t="n">
        <x:v>46288</x:v>
      </x:c>
      <x:c r="K245" s="12" t="str">
        <x:v>Đã duyệt</x:v>
      </x:c>
      <x:c r="L245" s="12" t="str">
        <x:v>Vũ Khánh Linh</x:v>
      </x:c>
      <x:c r="M245" s="12" t="str">
        <x:v>Đang kiểm tra</x:v>
      </x:c>
      <x:c r="N245" s="12" t="str"/>
    </x:row>
    <x:row r="246">
      <x:c r="A246" s="12" t="str">
        <x:v>PR-CTSV-2026-245</x:v>
      </x:c>
      <x:c r="B246" s="22" t="n">
        <x:v>46026</x:v>
      </x:c>
      <x:c r="C246" s="12" t="str">
        <x:v>DT-CTSV-2026-041</x:v>
      </x:c>
      <x:c r="D246" s="12" t="str">
        <x:v>Community Service</x:v>
      </x:c>
      <x:c r="E246" s="12" t="str">
        <x:v>PrintPro</x:v>
      </x:c>
      <x:c r="F246" s="12" t="str">
        <x:v>Thanh toán Community Service - đợt 3</x:v>
      </x:c>
      <x:c r="G246" s="16" t="n">
        <x:v>41738000</x:v>
      </x:c>
      <x:c r="H246" s="16" t="n">
        <x:f>G246*10%</x:f>
        <x:v>4173800</x:v>
      </x:c>
      <x:c r="I246" s="16" t="n">
        <x:f>G246+H246</x:f>
        <x:v>45911800</x:v>
      </x:c>
      <x:c r="J246" s="22" t="n">
        <x:v>46054</x:v>
      </x:c>
      <x:c r="K246" s="12" t="str">
        <x:v>Chờ phê duyệt</x:v>
      </x:c>
      <x:c r="L246" s="12" t="str">
        <x:v>Lê Thu Hà</x:v>
      </x:c>
      <x:c r="M246" s="12" t="str">
        <x:v>Thiếu hóa đơn</x:v>
      </x:c>
      <x:c r="N246" s="12" t="str"/>
    </x:row>
    <x:row r="247">
      <x:c r="A247" s="12" t="str">
        <x:v>PR-CTSV-2026-246</x:v>
      </x:c>
      <x:c r="B247" s="22" t="n">
        <x:v>46035</x:v>
      </x:c>
      <x:c r="C247" s="12" t="str">
        <x:v>DT-CTSV-2026-025</x:v>
      </x:c>
      <x:c r="D247" s="12" t="str">
        <x:v>Career Fair</x:v>
      </x:c>
      <x:c r="E247" s="12" t="str">
        <x:v>VinUni Catering</x:v>
      </x:c>
      <x:c r="F247" s="12" t="str">
        <x:v>Thanh toán Career Fair - đợt 1</x:v>
      </x:c>
      <x:c r="G247" s="16" t="n">
        <x:v>69897000</x:v>
      </x:c>
      <x:c r="H247" s="16" t="n">
        <x:f>G247*10%</x:f>
        <x:v>6989700</x:v>
      </x:c>
      <x:c r="I247" s="16" t="n">
        <x:f>G247+H247</x:f>
        <x:v>76886700</x:v>
      </x:c>
      <x:c r="J247" s="22" t="n">
        <x:v>46053</x:v>
      </x:c>
      <x:c r="K247" s="12" t="str">
        <x:v>Đã thanh toán</x:v>
      </x:c>
      <x:c r="L247" s="12" t="str">
        <x:v>Phạm Quang Huy</x:v>
      </x:c>
      <x:c r="M247" s="12" t="str">
        <x:v>Đầy đủ</x:v>
      </x:c>
      <x:c r="N247" s="12" t="str"/>
    </x:row>
    <x:row r="248">
      <x:c r="A248" s="12" t="str">
        <x:v>PR-CTSV-2026-247</x:v>
      </x:c>
      <x:c r="B248" s="22" t="n">
        <x:v>46347</x:v>
      </x:c>
      <x:c r="C248" s="12" t="str">
        <x:v>DT-CTSV-2026-076</x:v>
      </x:c>
      <x:c r="D248" s="12" t="str">
        <x:v>Student Wellbeing</x:v>
      </x:c>
      <x:c r="E248" s="12" t="str">
        <x:v>EventPlus Vietnam</x:v>
      </x:c>
      <x:c r="F248" s="12" t="str">
        <x:v>Thanh toán Student Wellbeing - đợt 2</x:v>
      </x:c>
      <x:c r="G248" s="16" t="n">
        <x:v>73225000</x:v>
      </x:c>
      <x:c r="H248" s="16" t="n">
        <x:f>G248*10%</x:f>
        <x:v>7322500</x:v>
      </x:c>
      <x:c r="I248" s="16" t="n">
        <x:f>G248+H248</x:f>
        <x:v>80547500</x:v>
      </x:c>
      <x:c r="J248" s="22" t="n">
        <x:v>46359</x:v>
      </x:c>
      <x:c r="K248" s="12" t="str">
        <x:v>Chờ phê duyệt</x:v>
      </x:c>
      <x:c r="L248" s="12" t="str">
        <x:v>Nguyễn Minh Anh</x:v>
      </x:c>
      <x:c r="M248" s="12" t="str">
        <x:v>Đang kiểm tra</x:v>
      </x:c>
      <x:c r="N248" s="12" t="str"/>
    </x:row>
    <x:row r="249">
      <x:c r="A249" s="12" t="str">
        <x:v>PR-CTSV-2026-248</x:v>
      </x:c>
      <x:c r="B249" s="22" t="n">
        <x:v>46155</x:v>
      </x:c>
      <x:c r="C249" s="12" t="str">
        <x:v>DT-CTSV-2026-030</x:v>
      </x:c>
      <x:c r="D249" s="12" t="str">
        <x:v>Career Fair</x:v>
      </x:c>
      <x:c r="E249" s="12" t="str">
        <x:v>Viện Tâm lý Việt Nam</x:v>
      </x:c>
      <x:c r="F249" s="12" t="str">
        <x:v>Thanh toán Career Fair - đợt 1</x:v>
      </x:c>
      <x:c r="G249" s="16" t="n">
        <x:v>58100000</x:v>
      </x:c>
      <x:c r="H249" s="16" t="n">
        <x:f>G249*10%</x:f>
        <x:v>5810000</x:v>
      </x:c>
      <x:c r="I249" s="16" t="n">
        <x:f>G249+H249</x:f>
        <x:v>63910000</x:v>
      </x:c>
      <x:c r="J249" s="22" t="n">
        <x:v>46182</x:v>
      </x:c>
      <x:c r="K249" s="12" t="str">
        <x:v>Chờ bổ sung chứng từ</x:v>
      </x:c>
      <x:c r="L249" s="12" t="str">
        <x:v>Trần Hoàng Nam</x:v>
      </x:c>
      <x:c r="M249" s="12" t="str">
        <x:v>Thiếu biên bản nghiệm thu</x:v>
      </x:c>
      <x:c r="N249" s="12" t="str"/>
    </x:row>
    <x:row r="250">
      <x:c r="A250" s="12" t="str">
        <x:v>PR-CTSV-2026-249</x:v>
      </x:c>
      <x:c r="B250" s="22" t="n">
        <x:v>46179</x:v>
      </x:c>
      <x:c r="C250" s="12" t="str">
        <x:v>DT-CTSV-2026-098</x:v>
      </x:c>
      <x:c r="D250" s="12" t="str">
        <x:v>Student Clubs</x:v>
      </x:c>
      <x:c r="E250" s="12" t="str">
        <x:v>IT Solutions Edu</x:v>
      </x:c>
      <x:c r="F250" s="12" t="str">
        <x:v>Thanh toán Student Clubs - đợt 3</x:v>
      </x:c>
      <x:c r="G250" s="16" t="n">
        <x:v>55155000</x:v>
      </x:c>
      <x:c r="H250" s="16" t="n">
        <x:f>G250*10%</x:f>
        <x:v>5515500</x:v>
      </x:c>
      <x:c r="I250" s="16" t="n">
        <x:f>G250+H250</x:f>
        <x:v>60670500</x:v>
      </x:c>
      <x:c r="J250" s="22" t="n">
        <x:v>46193</x:v>
      </x:c>
      <x:c r="K250" s="12" t="str">
        <x:v>Chờ phê duyệt</x:v>
      </x:c>
      <x:c r="L250" s="12" t="str">
        <x:v>Vũ Khánh Linh</x:v>
      </x:c>
      <x:c r="M250" s="12" t="str">
        <x:v>Đầy đủ</x:v>
      </x:c>
      <x:c r="N250" s="12" t="str"/>
    </x:row>
    <x:row r="251">
      <x:c r="A251" s="12" t="str">
        <x:v>PR-CTSV-2026-250</x:v>
      </x:c>
      <x:c r="B251" s="22" t="n">
        <x:v>46378</x:v>
      </x:c>
      <x:c r="C251" s="12" t="str">
        <x:v>DT-CTSV-2026-039</x:v>
      </x:c>
      <x:c r="D251" s="12" t="str">
        <x:v>Community Service</x:v>
      </x:c>
      <x:c r="E251" s="12" t="str">
        <x:v>TravelCare</x:v>
      </x:c>
      <x:c r="F251" s="12" t="str">
        <x:v>Thanh toán Community Service - đợt 4</x:v>
      </x:c>
      <x:c r="G251" s="16" t="n">
        <x:v>14314000</x:v>
      </x:c>
      <x:c r="H251" s="16" t="n">
        <x:f>G251*10%</x:f>
        <x:v>1431400</x:v>
      </x:c>
      <x:c r="I251" s="16" t="n">
        <x:f>G251+H251</x:f>
        <x:v>15745400</x:v>
      </x:c>
      <x:c r="J251" s="22" t="n">
        <x:v>46403</x:v>
      </x:c>
      <x:c r="K251" s="12" t="str">
        <x:v>Đã duyệt</x:v>
      </x:c>
      <x:c r="L251" s="12" t="str">
        <x:v>Vũ Khánh Linh</x:v>
      </x:c>
      <x:c r="M251" s="12" t="str">
        <x:v>Đầy đủ</x:v>
      </x:c>
      <x:c r="N251" s="12" t="str"/>
    </x:row>
  </x:sheetData>
  <x:dataValidations count="1">
    <x:dataValidation type="list" sqref="K2:K251">
      <x:formula1>Danh_muc!$E$2:$E$6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9c8148133544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5" t="str">
        <x:v>DASHBOARD QUẢN TRỊ NGÂN SÁCH - PHÒNG CÔNG TÁC SINH VIÊN 2026</x:v>
      </x:c>
      <x:c r="B1"/>
      <x:c r="C1"/>
    </x:row>
    <x:row r="2">
      <x:c r="A2" t="str"/>
      <x:c r="B2"/>
      <x:c r="C2"/>
    </x:row>
    <x:row r="3">
      <x:c r="A3" s="6" t="str">
        <x:v>KPI</x:v>
      </x:c>
      <x:c r="B3" s="6" t="str">
        <x:v>Giá trị</x:v>
      </x:c>
      <x:c r="C3" s="6" t="str">
        <x:v>Ghi chú</x:v>
      </x:c>
    </x:row>
    <x:row r="4">
      <x:c r="A4" t="str">
        <x:v>Tổng dự toán</x:v>
      </x:c>
      <x:c r="B4" s="28" t="n">
        <x:f>SUM('01_Du_toan_ngan_sach'!M:M)</x:f>
        <x:v>9317038000</x:v>
      </x:c>
      <x:c r="C4" t="str"/>
    </x:row>
    <x:row r="5">
      <x:c r="A5" t="str">
        <x:v>Tổng đề nghị thanh toán</x:v>
      </x:c>
      <x:c r="B5" s="28" t="n">
        <x:f>SUM('03_De_nghi_thanh_toan'!I:I)</x:f>
        <x:v>17110879600</x:v>
      </x:c>
      <x:c r="C5" t="str"/>
    </x:row>
    <x:row r="6">
      <x:c r="A6" t="str">
        <x:v>Đã thanh toán</x:v>
      </x:c>
      <x:c r="B6" s="28" t="n">
        <x:f>SUMIFS('03_De_nghi_thanh_toan'!I:I,'03_De_nghi_thanh_toan'!K:K,"Đã thanh toán")</x:f>
        <x:v>4558776000</x:v>
      </x:c>
      <x:c r="C6" t="str"/>
    </x:row>
    <x:row r="7">
      <x:c r="A7" t="str">
        <x:v>Tỷ lệ đã thanh toán/dự toán</x:v>
      </x:c>
      <x:c r="B7" s="30" t="n">
        <x:f>IFERROR(B6/B4,0)</x:f>
        <x:v>0.4892945590648015</x:v>
      </x:c>
      <x:c r="C7" t="str"/>
    </x:row>
    <x:row r="8">
      <x:c r="A8" t="str">
        <x:v>Số dòng dự toán</x:v>
      </x:c>
      <x:c r="B8" t="n">
        <x:f>COUNTA('01_Du_toan_ngan_sach'!A:A)-1</x:f>
        <x:v>150</x:v>
      </x:c>
      <x:c r="C8" t="str"/>
    </x:row>
    <x:row r="9">
      <x:c r="A9" t="str">
        <x:v>Số đề nghị thanh toán</x:v>
      </x:c>
      <x:c r="B9" t="n">
        <x:f>COUNTA('03_De_nghi_thanh_toan'!A:A)-1</x:f>
        <x:v>250</x:v>
      </x:c>
      <x:c r="C9" t="str"/>
    </x:row>
    <x:row r="10">
      <x:c r="A10" t="str"/>
      <x:c r="B10"/>
      <x:c r="C10"/>
    </x:row>
    <x:row r="11">
      <x:c r="A11" s="6" t="str">
        <x:v>Tổng hợp theo chương trình</x:v>
      </x:c>
      <x:c r="B11" s="6" t="str">
        <x:v>Dự toán</x:v>
      </x:c>
      <x:c r="C11" s="6" t="str">
        <x:v>Thanh toán</x:v>
      </x:c>
    </x:row>
    <x:row r="12">
      <x:c r="A12" t="str">
        <x:v>Orientation Week</x:v>
      </x:c>
      <x:c r="B12" s="28" t="n">
        <x:f>SUMIFS('01_Du_toan_ngan_sach'!$M:$M,'01_Du_toan_ngan_sach'!$F:$F,A12)</x:f>
        <x:v>1081032000</x:v>
      </x:c>
      <x:c r="C12" s="28" t="n">
        <x:f>SUMIFS('03_De_nghi_thanh_toan'!$I:$I,'03_De_nghi_thanh_toan'!$D:$D,A12)</x:f>
        <x:v>1798851400</x:v>
      </x:c>
    </x:row>
    <x:row r="13">
      <x:c r="A13" t="str">
        <x:v>Student Clubs</x:v>
      </x:c>
      <x:c r="B13" s="28" t="n">
        <x:f>SUMIFS('01_Du_toan_ngan_sach'!$M:$M,'01_Du_toan_ngan_sach'!$F:$F,A13)</x:f>
        <x:v>445898000</x:v>
      </x:c>
      <x:c r="C13" s="28" t="n">
        <x:f>SUMIFS('03_De_nghi_thanh_toan'!$I:$I,'03_De_nghi_thanh_toan'!$D:$D,A13)</x:f>
        <x:v>1608271900</x:v>
      </x:c>
    </x:row>
    <x:row r="14">
      <x:c r="A14" t="str">
        <x:v>Scholarship Program</x:v>
      </x:c>
      <x:c r="B14" s="28" t="n">
        <x:f>SUMIFS('01_Du_toan_ngan_sach'!$M:$M,'01_Du_toan_ngan_sach'!$F:$F,A14)</x:f>
        <x:v>312134000</x:v>
      </x:c>
      <x:c r="C14" s="28" t="n">
        <x:f>SUMIFS('03_De_nghi_thanh_toan'!$I:$I,'03_De_nghi_thanh_toan'!$D:$D,A14)</x:f>
        <x:v>835172000</x:v>
      </x:c>
    </x:row>
    <x:row r="15">
      <x:c r="A15" t="str">
        <x:v>Career Fair</x:v>
      </x:c>
      <x:c r="B15" s="28" t="n">
        <x:f>SUMIFS('01_Du_toan_ngan_sach'!$M:$M,'01_Du_toan_ngan_sach'!$F:$F,A15)</x:f>
        <x:v>2780617000</x:v>
      </x:c>
      <x:c r="C15" s="28" t="n">
        <x:f>SUMIFS('03_De_nghi_thanh_toan'!$I:$I,'03_De_nghi_thanh_toan'!$D:$D,A15)</x:f>
        <x:v>3525259900</x:v>
      </x:c>
    </x:row>
    <x:row r="16">
      <x:c r="A16" t="str">
        <x:v>Mental Health Program</x:v>
      </x:c>
      <x:c r="B16" s="28" t="n">
        <x:f>SUMIFS('01_Du_toan_ngan_sach'!$M:$M,'01_Du_toan_ngan_sach'!$F:$F,A16)</x:f>
        <x:v>514141000</x:v>
      </x:c>
      <x:c r="C16" s="28" t="n">
        <x:f>SUMIFS('03_De_nghi_thanh_toan'!$I:$I,'03_De_nghi_thanh_toan'!$D:$D,A16)</x:f>
        <x:v>1856522400</x:v>
      </x:c>
    </x:row>
    <x:row r="17">
      <x:c r="A17" t="str">
        <x:v>Student Leadership</x:v>
      </x:c>
      <x:c r="B17" s="28" t="n">
        <x:f>SUMIFS('01_Du_toan_ngan_sach'!$M:$M,'01_Du_toan_ngan_sach'!$F:$F,A17)</x:f>
        <x:v>571718000</x:v>
      </x:c>
      <x:c r="C17" s="28" t="n">
        <x:f>SUMIFS('03_De_nghi_thanh_toan'!$I:$I,'03_De_nghi_thanh_toan'!$D:$D,A17)</x:f>
        <x:v>1344828900</x:v>
      </x:c>
    </x:row>
    <x:row r="18">
      <x:c r="A18" t="str">
        <x:v>Community Service</x:v>
      </x:c>
      <x:c r="B18" s="28" t="n">
        <x:f>SUMIFS('01_Du_toan_ngan_sach'!$M:$M,'01_Du_toan_ngan_sach'!$F:$F,A18)</x:f>
        <x:v>876465000</x:v>
      </x:c>
      <x:c r="C18" s="28" t="n">
        <x:f>SUMIFS('03_De_nghi_thanh_toan'!$I:$I,'03_De_nghi_thanh_toan'!$D:$D,A18)</x:f>
        <x:v>1958456000</x:v>
      </x:c>
    </x:row>
    <x:row r="19">
      <x:c r="A19" t="str">
        <x:v>Graduation Ceremony</x:v>
      </x:c>
      <x:c r="B19" s="28" t="n">
        <x:f>SUMIFS('01_Du_toan_ngan_sach'!$M:$M,'01_Du_toan_ngan_sach'!$F:$F,A19)</x:f>
        <x:v>1705214000</x:v>
      </x:c>
      <x:c r="C19" s="28" t="n">
        <x:f>SUMIFS('03_De_nghi_thanh_toan'!$I:$I,'03_De_nghi_thanh_toan'!$D:$D,A19)</x:f>
        <x:v>1608255000</x:v>
      </x:c>
    </x:row>
    <x:row r="20">
      <x:c r="A20" t="str">
        <x:v>International Exchange</x:v>
      </x:c>
      <x:c r="B20" s="28" t="n">
        <x:f>SUMIFS('01_Du_toan_ngan_sach'!$M:$M,'01_Du_toan_ngan_sach'!$F:$F,A20)</x:f>
        <x:v>591574000</x:v>
      </x:c>
      <x:c r="C20" s="28" t="n">
        <x:f>SUMIFS('03_De_nghi_thanh_toan'!$I:$I,'03_De_nghi_thanh_toan'!$D:$D,A20)</x:f>
        <x:v>983747600</x:v>
      </x:c>
    </x:row>
    <x:row r="21">
      <x:c r="A21" t="str">
        <x:v>Student Wellbeing</x:v>
      </x:c>
      <x:c r="B21" s="28" t="n">
        <x:f>SUMIFS('01_Du_toan_ngan_sach'!$M:$M,'01_Du_toan_ngan_sach'!$F:$F,A21)</x:f>
        <x:v>438245000</x:v>
      </x:c>
      <x:c r="C21" s="28" t="n">
        <x:f>SUMIFS('03_De_nghi_thanh_toan'!$I:$I,'03_De_nghi_thanh_toan'!$D:$D,A21)</x:f>
        <x:v>1591514500</x:v>
      </x:c>
    </x:row>
    <x:row r="24">
      <x:c r="E24" s="6" t="str">
        <x:v>Tháng</x:v>
      </x:c>
      <x:c r="F24" s="6" t="str">
        <x:v>Kế hoạch</x:v>
      </x:c>
      <x:c r="G24" s="6" t="str">
        <x:v>Đã thanh toán</x:v>
      </x:c>
      <x:c r="H24" s="6" t="str">
        <x:v>Tỷ lệ</x:v>
      </x:c>
    </x:row>
    <x:row r="25">
      <x:c r="E25" s="32" t="n">
        <x:v>46023</x:v>
      </x:c>
      <x:c r="F25" s="28" t="n">
        <x:f>SUMIFS('02_Ke_hoach_chi_tieu'!$D:$D,'02_Ke_hoach_chi_tieu'!$A:$A,E25)</x:f>
        <x:v>1575000000</x:v>
      </x:c>
      <x:c r="G25" s="28" t="n">
        <x:f>SUMIFS('02_Ke_hoach_chi_tieu'!$F:$F,'02_Ke_hoach_chi_tieu'!$A:$A,E25)</x:f>
        <x:v>425764900</x:v>
      </x:c>
      <x:c r="H25" s="30" t="n">
        <x:f>IFERROR(G25/F25,0)</x:f>
        <x:v>0.27032692063492064</x:v>
      </x:c>
    </x:row>
    <x:row r="26">
      <x:c r="E26" s="32" t="n">
        <x:v>46054</x:v>
      </x:c>
      <x:c r="F26" s="28" t="n">
        <x:f>SUMIFS('02_Ke_hoach_chi_tieu'!$D:$D,'02_Ke_hoach_chi_tieu'!$A:$A,E26)</x:f>
        <x:v>1449000000</x:v>
      </x:c>
      <x:c r="G26" s="28" t="n">
        <x:f>SUMIFS('02_Ke_hoach_chi_tieu'!$F:$F,'02_Ke_hoach_chi_tieu'!$A:$A,E26)</x:f>
        <x:v>249044400</x:v>
      </x:c>
      <x:c r="H26" s="30" t="n">
        <x:f>IFERROR(G26/F26,0)</x:f>
        <x:v>0.17187329192546583</x:v>
      </x:c>
    </x:row>
    <x:row r="27">
      <x:c r="E27" s="32" t="n">
        <x:v>46082</x:v>
      </x:c>
      <x:c r="F27" s="28" t="n">
        <x:f>SUMIFS('02_Ke_hoach_chi_tieu'!$D:$D,'02_Ke_hoach_chi_tieu'!$A:$A,E27)</x:f>
        <x:v>903000000</x:v>
      </x:c>
      <x:c r="G27" s="28" t="n">
        <x:f>SUMIFS('02_Ke_hoach_chi_tieu'!$F:$F,'02_Ke_hoach_chi_tieu'!$A:$A,E27)</x:f>
        <x:v>541129600</x:v>
      </x:c>
      <x:c r="H27" s="30" t="n">
        <x:f>IFERROR(G27/F27,0)</x:f>
        <x:v>0.5992575858250276</x:v>
      </x:c>
    </x:row>
    <x:row r="28">
      <x:c r="E28" s="32" t="n">
        <x:v>46113</x:v>
      </x:c>
      <x:c r="F28" s="28" t="n">
        <x:f>SUMIFS('02_Ke_hoach_chi_tieu'!$D:$D,'02_Ke_hoach_chi_tieu'!$A:$A,E28)</x:f>
        <x:v>1271000000</x:v>
      </x:c>
      <x:c r="G28" s="28" t="n">
        <x:f>SUMIFS('02_Ke_hoach_chi_tieu'!$F:$F,'02_Ke_hoach_chi_tieu'!$A:$A,E28)</x:f>
        <x:v>366570900</x:v>
      </x:c>
      <x:c r="H28" s="30" t="n">
        <x:f>IFERROR(G28/F28,0)</x:f>
        <x:v>0.2884114083398899</x:v>
      </x:c>
    </x:row>
    <x:row r="29">
      <x:c r="E29" s="32" t="n">
        <x:v>46143</x:v>
      </x:c>
      <x:c r="F29" s="28" t="n">
        <x:f>SUMIFS('02_Ke_hoach_chi_tieu'!$D:$D,'02_Ke_hoach_chi_tieu'!$A:$A,E29)</x:f>
        <x:v>1468000000</x:v>
      </x:c>
      <x:c r="G29" s="28" t="n">
        <x:f>SUMIFS('02_Ke_hoach_chi_tieu'!$F:$F,'02_Ke_hoach_chi_tieu'!$A:$A,E29)</x:f>
        <x:v>606381100</x:v>
      </x:c>
      <x:c r="H29" s="30" t="n">
        <x:f>IFERROR(G29/F29,0)</x:f>
        <x:v>0.41306614441416895</x:v>
      </x:c>
    </x:row>
    <x:row r="30">
      <x:c r="E30" s="32" t="n">
        <x:v>46174</x:v>
      </x:c>
      <x:c r="F30" s="28" t="n">
        <x:f>SUMIFS('02_Ke_hoach_chi_tieu'!$D:$D,'02_Ke_hoach_chi_tieu'!$A:$A,E30)</x:f>
        <x:v>1453000000</x:v>
      </x:c>
      <x:c r="G30" s="28" t="n">
        <x:f>SUMIFS('02_Ke_hoach_chi_tieu'!$F:$F,'02_Ke_hoach_chi_tieu'!$A:$A,E30)</x:f>
        <x:v>314136600</x:v>
      </x:c>
      <x:c r="H30" s="30" t="n">
        <x:f>IFERROR(G30/F30,0)</x:f>
        <x:v>0.2161986235375086</x:v>
      </x:c>
    </x:row>
    <x:row r="31">
      <x:c r="E31" s="32" t="n">
        <x:v>46204</x:v>
      </x:c>
      <x:c r="F31" s="28" t="n">
        <x:f>SUMIFS('02_Ke_hoach_chi_tieu'!$D:$D,'02_Ke_hoach_chi_tieu'!$A:$A,E31)</x:f>
        <x:v>1240000000</x:v>
      </x:c>
      <x:c r="G31" s="28" t="n">
        <x:f>SUMIFS('02_Ke_hoach_chi_tieu'!$F:$F,'02_Ke_hoach_chi_tieu'!$A:$A,E31)</x:f>
        <x:v>197733800</x:v>
      </x:c>
      <x:c r="H31" s="30" t="n">
        <x:f>IFERROR(G31/F31,0)</x:f>
        <x:v>0.15946274193548388</x:v>
      </x:c>
    </x:row>
    <x:row r="32">
      <x:c r="E32" s="32" t="n">
        <x:v>46235</x:v>
      </x:c>
      <x:c r="F32" s="28" t="n">
        <x:f>SUMIFS('02_Ke_hoach_chi_tieu'!$D:$D,'02_Ke_hoach_chi_tieu'!$A:$A,E32)</x:f>
        <x:v>1437000000</x:v>
      </x:c>
      <x:c r="G32" s="28" t="n">
        <x:f>SUMIFS('02_Ke_hoach_chi_tieu'!$F:$F,'02_Ke_hoach_chi_tieu'!$A:$A,E32)</x:f>
        <x:v>248609900</x:v>
      </x:c>
      <x:c r="H32" s="30" t="n">
        <x:f>IFERROR(G32/F32,0)</x:f>
        <x:v>0.1730061934585943</x:v>
      </x:c>
    </x:row>
    <x:row r="33">
      <x:c r="E33" s="32" t="n">
        <x:v>46266</x:v>
      </x:c>
      <x:c r="F33" s="28" t="n">
        <x:f>SUMIFS('02_Ke_hoach_chi_tieu'!$D:$D,'02_Ke_hoach_chi_tieu'!$A:$A,E33)</x:f>
        <x:v>1572000000</x:v>
      </x:c>
      <x:c r="G33" s="28" t="n">
        <x:f>SUMIFS('02_Ke_hoach_chi_tieu'!$F:$F,'02_Ke_hoach_chi_tieu'!$A:$A,E33)</x:f>
        <x:v>728946800</x:v>
      </x:c>
      <x:c r="H33" s="30" t="n">
        <x:f>IFERROR(G33/F33,0)</x:f>
        <x:v>0.4637066157760814</x:v>
      </x:c>
    </x:row>
    <x:row r="34">
      <x:c r="E34" s="32" t="n">
        <x:v>46296</x:v>
      </x:c>
      <x:c r="F34" s="28" t="n">
        <x:f>SUMIFS('02_Ke_hoach_chi_tieu'!$D:$D,'02_Ke_hoach_chi_tieu'!$A:$A,E34)</x:f>
        <x:v>1074000000</x:v>
      </x:c>
      <x:c r="G34" s="28" t="n">
        <x:f>SUMIFS('02_Ke_hoach_chi_tieu'!$F:$F,'02_Ke_hoach_chi_tieu'!$A:$A,E34)</x:f>
        <x:v>376986500</x:v>
      </x:c>
      <x:c r="H34" s="30" t="n">
        <x:f>IFERROR(G34/F34,0)</x:f>
        <x:v>0.3510116387337058</x:v>
      </x:c>
    </x:row>
    <x:row r="35">
      <x:c r="E35" s="32" t="n">
        <x:v>46327</x:v>
      </x:c>
      <x:c r="F35" s="28" t="n">
        <x:f>SUMIFS('02_Ke_hoach_chi_tieu'!$D:$D,'02_Ke_hoach_chi_tieu'!$A:$A,E35)</x:f>
        <x:v>1334000000</x:v>
      </x:c>
      <x:c r="G35" s="28" t="n">
        <x:f>SUMIFS('02_Ke_hoach_chi_tieu'!$F:$F,'02_Ke_hoach_chi_tieu'!$A:$A,E35)</x:f>
        <x:v>388679500</x:v>
      </x:c>
      <x:c r="H35" s="30" t="n">
        <x:f>IFERROR(G35/F35,0)</x:f>
        <x:v>0.2913639430284858</x:v>
      </x:c>
    </x:row>
    <x:row r="36">
      <x:c r="E36" s="32" t="n">
        <x:v>46357</x:v>
      </x:c>
      <x:c r="F36" s="28" t="n">
        <x:f>SUMIFS('02_Ke_hoach_chi_tieu'!$D:$D,'02_Ke_hoach_chi_tieu'!$A:$A,E36)</x:f>
        <x:v>1422000000</x:v>
      </x:c>
      <x:c r="G36" s="28" t="n">
        <x:f>SUMIFS('02_Ke_hoach_chi_tieu'!$F:$F,'02_Ke_hoach_chi_tieu'!$A:$A,E36)</x:f>
        <x:v>114792000</x:v>
      </x:c>
      <x:c r="H36" s="30" t="n">
        <x:f>IFERROR(G36/F36,0)</x:f>
        <x:v>0.08072573839662447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ef4ad2d07b74505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6" t="str">
        <x:v>Chương trình</x:v>
      </x:c>
      <x:c r="B1" s="6" t="str">
        <x:v>Loại hoạt động</x:v>
      </x:c>
      <x:c r="C1" s="6" t="str">
        <x:v>Ưu tiên</x:v>
      </x:c>
      <x:c r="E1" s="6" t="str">
        <x:v>Trạng thái</x:v>
      </x:c>
      <x:c r="G1" s="6" t="str">
        <x:v>Ưu tiên</x:v>
      </x:c>
    </x:row>
    <x:row r="2">
      <x:c r="A2" t="str">
        <x:v>Orientation Week</x:v>
      </x:c>
      <x:c r="B2" t="str">
        <x:v>Sự kiện</x:v>
      </x:c>
      <x:c r="C2" t="str">
        <x:v>Cao</x:v>
      </x:c>
      <x:c r="E2" t="str">
        <x:v>Dự kiến</x:v>
      </x:c>
      <x:c r="G2" t="str">
        <x:v>Cao</x:v>
      </x:c>
    </x:row>
    <x:row r="3">
      <x:c r="A3" t="str">
        <x:v>Student Clubs</x:v>
      </x:c>
      <x:c r="B3" t="str">
        <x:v>Hoạt động sinh viên</x:v>
      </x:c>
      <x:c r="C3" t="str">
        <x:v>Cao</x:v>
      </x:c>
      <x:c r="E3" t="str">
        <x:v>Đã duyệt</x:v>
      </x:c>
      <x:c r="G3" t="str">
        <x:v>Trung bình</x:v>
      </x:c>
    </x:row>
    <x:row r="4">
      <x:c r="A4" t="str">
        <x:v>Scholarship Program</x:v>
      </x:c>
      <x:c r="B4" t="str">
        <x:v>Học bổng</x:v>
      </x:c>
      <x:c r="C4" t="str">
        <x:v>Cao</x:v>
      </x:c>
      <x:c r="E4" t="str">
        <x:v>Đã ký hợp đồng</x:v>
      </x:c>
      <x:c r="G4" t="str">
        <x:v>Thấp</x:v>
      </x:c>
    </x:row>
    <x:row r="5">
      <x:c r="A5" t="str">
        <x:v>Career Fair</x:v>
      </x:c>
      <x:c r="B5" t="str">
        <x:v>Nghề nghiệp</x:v>
      </x:c>
      <x:c r="C5" t="str">
        <x:v>Cao</x:v>
      </x:c>
      <x:c r="E5" t="str">
        <x:v>Đã thanh toán</x:v>
      </x:c>
    </x:row>
    <x:row r="6">
      <x:c r="A6" t="str">
        <x:v>Mental Health Program</x:v>
      </x:c>
      <x:c r="B6" t="str">
        <x:v>Tư vấn</x:v>
      </x:c>
      <x:c r="C6" t="str">
        <x:v>Cao</x:v>
      </x:c>
      <x:c r="E6" t="str">
        <x:v>Chờ bổ sung chứng từ</x:v>
      </x:c>
    </x:row>
    <x:row r="7">
      <x:c r="A7" t="str">
        <x:v>Student Leadership</x:v>
      </x:c>
      <x:c r="B7" t="str">
        <x:v>Đào tạo</x:v>
      </x:c>
      <x:c r="C7" t="str">
        <x:v>Trung bình</x:v>
      </x:c>
    </x:row>
    <x:row r="8">
      <x:c r="A8" t="str">
        <x:v>Community Service</x:v>
      </x:c>
      <x:c r="B8" t="str">
        <x:v>Cộng đồng</x:v>
      </x:c>
      <x:c r="C8" t="str">
        <x:v>Trung bình</x:v>
      </x:c>
    </x:row>
    <x:row r="9">
      <x:c r="A9" t="str">
        <x:v>Graduation Ceremony</x:v>
      </x:c>
      <x:c r="B9" t="str">
        <x:v>Sự kiện</x:v>
      </x:c>
      <x:c r="C9" t="str">
        <x:v>Cao</x:v>
      </x:c>
    </x:row>
    <x:row r="10">
      <x:c r="A10" t="str">
        <x:v>International Exchange</x:v>
      </x:c>
      <x:c r="B10" t="str">
        <x:v>Quốc tế</x:v>
      </x:c>
      <x:c r="C10" t="str">
        <x:v>Trung bình</x:v>
      </x:c>
    </x:row>
    <x:row r="11">
      <x:c r="A11" t="str">
        <x:v>Student Wellbeing</x:v>
      </x:c>
      <x:c r="B11" t="str">
        <x:v>Đời sống</x:v>
      </x:c>
      <x:c r="C11" t="str">
        <x:v>Cao</x:v>
      </x:c>
    </x:row>
  </x:sheetData>
  <x:pageMargins left="0.7" right="0.7" top="0.75" bottom="0.75" header="0.3" footer="0.3"/>
</x:worksheet>
</file>